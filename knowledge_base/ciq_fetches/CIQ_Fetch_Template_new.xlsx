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zhangyu29\Downloads\"/>
    </mc:Choice>
  </mc:AlternateContent>
  <xr:revisionPtr revIDLastSave="0" documentId="13_ncr:1_{74F6D90D-324B-4D9C-B904-FBFE43925EB6}" xr6:coauthVersionLast="47" xr6:coauthVersionMax="47" xr10:uidLastSave="{00000000-0000-0000-0000-000000000000}"/>
  <bookViews>
    <workbookView xWindow="-96" yWindow="-96" windowWidth="19392" windowHeight="11472" firstSheet="1" activeTab="1" xr2:uid="{00000000-000D-0000-FFFF-FFFF00000000}"/>
  </bookViews>
  <sheets>
    <sheet name="_CIQHiddenCacheSheet" sheetId="9" state="veryHidden" r:id="rId1"/>
    <sheet name="CIQ_Data" sheetId="1" r:id="rId2"/>
    <sheet name="_RowMap" sheetId="2" r:id="rId3"/>
  </sheets>
  <definedNames>
    <definedName name="CIQWBGuid" hidden="1">"337be783-91b2-4304-88ef-183527b5ba41"</definedName>
    <definedName name="CIQWBInfo" hidden="1">"{ ""CIQVersion"":""9.52.4409.4666""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"03/06/2026 01:57:37"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RCIQ_DataA333" hidden="1">CIQ_Data!$A$334:$A$343</definedName>
    <definedName name="IQRCIQ_DataB333" hidden="1">CIQ_Data!$B$334:$B$343</definedName>
    <definedName name="IQRCIQ_DataC333" hidden="1">CIQ_Data!$A$334:$A$338</definedName>
    <definedName name="IQRCIQ_DataC339" hidden="1">CIQ_Data!$C$340:$C$344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4" i="1" l="1"/>
  <c r="C335" i="1"/>
  <c r="C336" i="1"/>
  <c r="C337" i="1"/>
  <c r="C338" i="1"/>
  <c r="C339" i="1"/>
  <c r="C340" i="1"/>
  <c r="C341" i="1"/>
  <c r="C342" i="1"/>
  <c r="C343" i="1"/>
  <c r="C334" i="1"/>
  <c r="C326" i="1"/>
  <c r="C327" i="1"/>
  <c r="C329" i="1"/>
  <c r="C322" i="1"/>
  <c r="C323" i="1"/>
  <c r="C324" i="1"/>
  <c r="C331" i="1"/>
  <c r="C316" i="1"/>
  <c r="C318" i="1"/>
  <c r="C319" i="1"/>
  <c r="C330" i="1"/>
  <c r="C312" i="1"/>
  <c r="C313" i="1"/>
  <c r="C314" i="1"/>
  <c r="C325" i="1"/>
  <c r="C307" i="1"/>
  <c r="C308" i="1"/>
  <c r="C310" i="1"/>
  <c r="C320" i="1"/>
  <c r="C303" i="1"/>
  <c r="C304" i="1"/>
  <c r="C305" i="1"/>
  <c r="C315" i="1"/>
  <c r="C298" i="1"/>
  <c r="C299" i="1"/>
  <c r="C300" i="1"/>
  <c r="C311" i="1"/>
  <c r="C294" i="1"/>
  <c r="C295" i="1"/>
  <c r="C296" i="1"/>
  <c r="C306" i="1"/>
  <c r="C290" i="1"/>
  <c r="C291" i="1"/>
  <c r="C292" i="1"/>
  <c r="C301" i="1"/>
  <c r="C286" i="1"/>
  <c r="C287" i="1"/>
  <c r="C288" i="1"/>
  <c r="C297" i="1"/>
  <c r="C282" i="1"/>
  <c r="C283" i="1"/>
  <c r="C284" i="1"/>
  <c r="C293" i="1"/>
  <c r="C278" i="1"/>
  <c r="C279" i="1"/>
  <c r="C280" i="1"/>
  <c r="C289" i="1"/>
  <c r="C274" i="1"/>
  <c r="C275" i="1"/>
  <c r="C276" i="1"/>
  <c r="C285" i="1"/>
  <c r="C270" i="1"/>
  <c r="C271" i="1"/>
  <c r="C272" i="1"/>
  <c r="C281" i="1"/>
  <c r="C266" i="1"/>
  <c r="C267" i="1"/>
  <c r="C268" i="1"/>
  <c r="C277" i="1"/>
  <c r="C262" i="1"/>
  <c r="C263" i="1"/>
  <c r="C264" i="1"/>
  <c r="C273" i="1"/>
  <c r="C258" i="1"/>
  <c r="C259" i="1"/>
  <c r="C260" i="1"/>
  <c r="C269" i="1"/>
  <c r="C254" i="1"/>
  <c r="C255" i="1"/>
  <c r="C256" i="1"/>
  <c r="C265" i="1"/>
  <c r="C250" i="1"/>
  <c r="C251" i="1"/>
  <c r="C252" i="1"/>
  <c r="C261" i="1"/>
  <c r="C246" i="1"/>
  <c r="C247" i="1"/>
  <c r="C248" i="1"/>
  <c r="C257" i="1"/>
  <c r="C242" i="1"/>
  <c r="C243" i="1"/>
  <c r="C244" i="1"/>
  <c r="C253" i="1"/>
  <c r="C238" i="1"/>
  <c r="C239" i="1"/>
  <c r="C240" i="1"/>
  <c r="C249" i="1"/>
  <c r="C233" i="1"/>
  <c r="C234" i="1"/>
  <c r="C236" i="1"/>
  <c r="C245" i="1"/>
  <c r="C229" i="1"/>
  <c r="C230" i="1"/>
  <c r="C231" i="1"/>
  <c r="C241" i="1"/>
  <c r="C225" i="1"/>
  <c r="C226" i="1"/>
  <c r="C227" i="1"/>
  <c r="C237" i="1"/>
  <c r="C221" i="1"/>
  <c r="C222" i="1"/>
  <c r="C223" i="1"/>
  <c r="C232" i="1"/>
  <c r="C217" i="1"/>
  <c r="C218" i="1"/>
  <c r="C219" i="1"/>
  <c r="C228" i="1"/>
  <c r="C213" i="1"/>
  <c r="C214" i="1"/>
  <c r="C215" i="1"/>
  <c r="C224" i="1"/>
  <c r="C209" i="1"/>
  <c r="C210" i="1"/>
  <c r="C211" i="1"/>
  <c r="C220" i="1"/>
  <c r="C205" i="1"/>
  <c r="C206" i="1"/>
  <c r="C207" i="1"/>
  <c r="C216" i="1"/>
  <c r="C201" i="1"/>
  <c r="C202" i="1"/>
  <c r="C203" i="1"/>
  <c r="C212" i="1"/>
  <c r="C197" i="1"/>
  <c r="C198" i="1"/>
  <c r="C199" i="1"/>
  <c r="C208" i="1"/>
  <c r="C193" i="1"/>
  <c r="C194" i="1"/>
  <c r="C195" i="1"/>
  <c r="C204" i="1"/>
  <c r="C189" i="1"/>
  <c r="C190" i="1"/>
  <c r="C191" i="1"/>
  <c r="C200" i="1"/>
  <c r="C185" i="1"/>
  <c r="C186" i="1"/>
  <c r="C187" i="1"/>
  <c r="C196" i="1"/>
  <c r="C181" i="1"/>
  <c r="C182" i="1"/>
  <c r="C183" i="1"/>
  <c r="C192" i="1"/>
  <c r="C177" i="1"/>
  <c r="C178" i="1"/>
  <c r="C179" i="1"/>
  <c r="C188" i="1"/>
  <c r="C173" i="1"/>
  <c r="C174" i="1"/>
  <c r="C175" i="1"/>
  <c r="C184" i="1"/>
  <c r="C169" i="1"/>
  <c r="C170" i="1"/>
  <c r="C171" i="1"/>
  <c r="C180" i="1"/>
  <c r="C165" i="1"/>
  <c r="C166" i="1"/>
  <c r="C167" i="1"/>
  <c r="C176" i="1"/>
  <c r="C161" i="1"/>
  <c r="C162" i="1"/>
  <c r="C163" i="1"/>
  <c r="C172" i="1"/>
  <c r="C157" i="1"/>
  <c r="C158" i="1"/>
  <c r="C159" i="1"/>
  <c r="C168" i="1"/>
  <c r="C153" i="1"/>
  <c r="C154" i="1"/>
  <c r="C155" i="1"/>
  <c r="C164" i="1"/>
  <c r="C149" i="1"/>
  <c r="C150" i="1"/>
  <c r="C151" i="1"/>
  <c r="C160" i="1"/>
  <c r="C145" i="1"/>
  <c r="C146" i="1"/>
  <c r="C147" i="1"/>
  <c r="C156" i="1"/>
  <c r="C141" i="1"/>
  <c r="C142" i="1"/>
  <c r="C143" i="1"/>
  <c r="C152" i="1"/>
  <c r="C136" i="1"/>
  <c r="C137" i="1"/>
  <c r="C139" i="1"/>
  <c r="C148" i="1"/>
  <c r="C132" i="1"/>
  <c r="C133" i="1"/>
  <c r="C134" i="1"/>
  <c r="C144" i="1"/>
  <c r="C128" i="1"/>
  <c r="C129" i="1"/>
  <c r="C130" i="1"/>
  <c r="C140" i="1"/>
  <c r="C124" i="1"/>
  <c r="C125" i="1"/>
  <c r="C126" i="1"/>
  <c r="C135" i="1"/>
  <c r="C120" i="1"/>
  <c r="C121" i="1"/>
  <c r="C122" i="1"/>
  <c r="C131" i="1"/>
  <c r="C116" i="1"/>
  <c r="C117" i="1"/>
  <c r="C118" i="1"/>
  <c r="C127" i="1"/>
  <c r="C112" i="1"/>
  <c r="C113" i="1"/>
  <c r="C114" i="1"/>
  <c r="C123" i="1"/>
  <c r="C108" i="1"/>
  <c r="C109" i="1"/>
  <c r="C110" i="1"/>
  <c r="C119" i="1"/>
  <c r="C104" i="1"/>
  <c r="C105" i="1"/>
  <c r="C106" i="1"/>
  <c r="C115" i="1"/>
  <c r="C100" i="1"/>
  <c r="C101" i="1"/>
  <c r="C102" i="1"/>
  <c r="C111" i="1"/>
  <c r="C96" i="1"/>
  <c r="C97" i="1"/>
  <c r="C98" i="1"/>
  <c r="C107" i="1"/>
  <c r="C92" i="1"/>
  <c r="C93" i="1"/>
  <c r="C94" i="1"/>
  <c r="C103" i="1"/>
  <c r="C88" i="1"/>
  <c r="C89" i="1"/>
  <c r="C90" i="1"/>
  <c r="C99" i="1"/>
  <c r="C84" i="1"/>
  <c r="C85" i="1"/>
  <c r="C86" i="1"/>
  <c r="C95" i="1"/>
  <c r="C80" i="1"/>
  <c r="C81" i="1"/>
  <c r="C82" i="1"/>
  <c r="C91" i="1"/>
  <c r="C76" i="1"/>
  <c r="C77" i="1"/>
  <c r="C78" i="1"/>
  <c r="C87" i="1"/>
  <c r="C72" i="1"/>
  <c r="C73" i="1"/>
  <c r="C74" i="1"/>
  <c r="C83" i="1"/>
  <c r="C68" i="1"/>
  <c r="C69" i="1"/>
  <c r="C70" i="1"/>
  <c r="C79" i="1"/>
  <c r="C64" i="1"/>
  <c r="C65" i="1"/>
  <c r="C66" i="1"/>
  <c r="C75" i="1"/>
  <c r="C60" i="1"/>
  <c r="C61" i="1"/>
  <c r="C62" i="1"/>
  <c r="C71" i="1"/>
  <c r="C56" i="1"/>
  <c r="C57" i="1"/>
  <c r="C58" i="1"/>
  <c r="C67" i="1"/>
  <c r="C52" i="1"/>
  <c r="C53" i="1"/>
  <c r="C54" i="1"/>
  <c r="C63" i="1"/>
  <c r="C48" i="1"/>
  <c r="C49" i="1"/>
  <c r="C50" i="1"/>
  <c r="C59" i="1"/>
  <c r="C44" i="1"/>
  <c r="C45" i="1"/>
  <c r="C46" i="1"/>
  <c r="C55" i="1"/>
  <c r="C40" i="1"/>
  <c r="C41" i="1"/>
  <c r="C42" i="1"/>
  <c r="C51" i="1"/>
  <c r="C36" i="1"/>
  <c r="C37" i="1"/>
  <c r="C38" i="1"/>
  <c r="C47" i="1"/>
  <c r="C32" i="1"/>
  <c r="C33" i="1"/>
  <c r="C34" i="1"/>
  <c r="C43" i="1"/>
  <c r="C28" i="1"/>
  <c r="C29" i="1"/>
  <c r="C30" i="1"/>
  <c r="C39" i="1"/>
  <c r="C24" i="1"/>
  <c r="C25" i="1"/>
  <c r="C26" i="1"/>
  <c r="C35" i="1"/>
  <c r="C20" i="1"/>
  <c r="C21" i="1"/>
  <c r="C22" i="1"/>
  <c r="C31" i="1"/>
  <c r="C16" i="1"/>
  <c r="C17" i="1"/>
  <c r="C18" i="1"/>
  <c r="C27" i="1"/>
  <c r="C12" i="1"/>
  <c r="C13" i="1"/>
  <c r="C14" i="1"/>
  <c r="C23" i="1"/>
  <c r="C8" i="1"/>
  <c r="C9" i="1"/>
  <c r="C10" i="1"/>
  <c r="C19" i="1"/>
  <c r="C11" i="1"/>
  <c r="C6" i="1"/>
  <c r="C7" i="1"/>
  <c r="C15" i="1"/>
  <c r="B333" i="1"/>
  <c r="B334" i="1"/>
  <c r="B338" i="1"/>
  <c r="B339" i="1"/>
  <c r="B340" i="1"/>
  <c r="B341" i="1"/>
  <c r="B342" i="1"/>
  <c r="B343" i="1"/>
  <c r="B335" i="1"/>
  <c r="B336" i="1"/>
  <c r="B337" i="1"/>
  <c r="A3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3" i="1"/>
  <c r="D304" i="1"/>
  <c r="D305" i="1"/>
  <c r="D306" i="1"/>
  <c r="D307" i="1"/>
  <c r="D308" i="1"/>
  <c r="D310" i="1"/>
  <c r="D311" i="1"/>
  <c r="D312" i="1"/>
  <c r="D313" i="1"/>
  <c r="D314" i="1"/>
  <c r="D315" i="1"/>
  <c r="D316" i="1"/>
  <c r="D318" i="1"/>
  <c r="D319" i="1"/>
  <c r="D320" i="1"/>
  <c r="D322" i="1"/>
  <c r="D323" i="1"/>
  <c r="D324" i="1"/>
  <c r="D325" i="1"/>
  <c r="D326" i="1"/>
  <c r="D327" i="1"/>
  <c r="D329" i="1"/>
  <c r="D330" i="1"/>
  <c r="A334" i="1"/>
  <c r="A335" i="1"/>
  <c r="A336" i="1"/>
  <c r="A337" i="1"/>
  <c r="A341" i="1"/>
  <c r="A343" i="1"/>
  <c r="A338" i="1"/>
  <c r="A339" i="1"/>
  <c r="A340" i="1"/>
  <c r="A342" i="1"/>
</calcChain>
</file>

<file path=xl/sharedStrings.xml><?xml version="1.0" encoding="utf-8"?>
<sst xmlns="http://schemas.openxmlformats.org/spreadsheetml/2006/main" count="2022" uniqueCount="246">
  <si>
    <t>Ticker:</t>
  </si>
  <si>
    <t>← Change this ticker, then wait for CIQ to resolve all formulas, then Save.</t>
  </si>
  <si>
    <t>Instructions:</t>
  </si>
  <si>
    <t>1) Enter ticker in B1  2) Wait for #GETTING_DATA to disappear  3) Save (Ctrl+S)  4) Load in app</t>
  </si>
  <si>
    <t>Variable</t>
  </si>
  <si>
    <t>Period</t>
  </si>
  <si>
    <t>CIQ Formula</t>
  </si>
  <si>
    <t>Resolved Value</t>
  </si>
  <si>
    <t>Description</t>
  </si>
  <si>
    <t>INCOME STATEMENT (Annual)</t>
  </si>
  <si>
    <t>revenues</t>
  </si>
  <si>
    <t>IQ_FY-0</t>
  </si>
  <si>
    <t>Total Revenue</t>
  </si>
  <si>
    <t>IQ_FY-1</t>
  </si>
  <si>
    <t>IQ_FY-2</t>
  </si>
  <si>
    <t>IQ_FY-3</t>
  </si>
  <si>
    <t>IQ_FY-4</t>
  </si>
  <si>
    <t>IQ_FY-5</t>
  </si>
  <si>
    <t>IQ_FY-6</t>
  </si>
  <si>
    <t>IQ_FY-7</t>
  </si>
  <si>
    <t>IQ_FY-8</t>
  </si>
  <si>
    <t>IQ_FY-9</t>
  </si>
  <si>
    <t>IQ_FY-10</t>
  </si>
  <si>
    <t>ebit</t>
  </si>
  <si>
    <t>Operating Income (EBIT)</t>
  </si>
  <si>
    <t>ebitda</t>
  </si>
  <si>
    <t>EBITDA</t>
  </si>
  <si>
    <t>net_income</t>
  </si>
  <si>
    <t>Net Income</t>
  </si>
  <si>
    <t>interest_expense</t>
  </si>
  <si>
    <t>Interest Expense</t>
  </si>
  <si>
    <t>d_a</t>
  </si>
  <si>
    <t>Depreciation &amp; Amortization (from Cash Flow)</t>
  </si>
  <si>
    <t>r_and_d_expense</t>
  </si>
  <si>
    <t>R&amp;D Expense</t>
  </si>
  <si>
    <t>r_and_d_expense_fn</t>
  </si>
  <si>
    <t>R&amp;D Expense (footnote fallback)</t>
  </si>
  <si>
    <t>capex</t>
  </si>
  <si>
    <t>Capital Expenditures</t>
  </si>
  <si>
    <t>operating_lease_expense</t>
  </si>
  <si>
    <t>Operating Lease Payments</t>
  </si>
  <si>
    <t>earnings_before_tax</t>
  </si>
  <si>
    <t>Earnings Before Tax (excl unusual items)</t>
  </si>
  <si>
    <t>total_tax_expense</t>
  </si>
  <si>
    <t>Income Tax Expense</t>
  </si>
  <si>
    <t>INCOME STATEMENT (Quarterly — for LTM)</t>
  </si>
  <si>
    <t>IQ_FQ-0</t>
  </si>
  <si>
    <t>IQ_FQ-1</t>
  </si>
  <si>
    <t>IQ_FQ-2</t>
  </si>
  <si>
    <t>IQ_FQ-3</t>
  </si>
  <si>
    <t>IQ_FQ-4</t>
  </si>
  <si>
    <t>IQ_FQ-5</t>
  </si>
  <si>
    <t>IQ_FQ-6</t>
  </si>
  <si>
    <t>IQ_FQ-7</t>
  </si>
  <si>
    <t>BALANCE SHEET (Annual)</t>
  </si>
  <si>
    <t>cash_and_marketable_securities</t>
  </si>
  <si>
    <t>Cash &amp; Equivalents</t>
  </si>
  <si>
    <t>bv_equity</t>
  </si>
  <si>
    <t>Total Stockholders' Equity</t>
  </si>
  <si>
    <t>bv_debt</t>
  </si>
  <si>
    <t>Total Debt</t>
  </si>
  <si>
    <t>shares_outstanding</t>
  </si>
  <si>
    <t>Total Shares Outstanding (Filing Date)</t>
  </si>
  <si>
    <t>cross_holdings</t>
  </si>
  <si>
    <t>Long-term Investments (Cross Holdings)</t>
  </si>
  <si>
    <t>minority_interests</t>
  </si>
  <si>
    <t>Minority Interests</t>
  </si>
  <si>
    <t>BALANCE SHEET (Quarterly — latest 10-Q)</t>
  </si>
  <si>
    <t>Cash &amp; Equivalents (latest quarter)</t>
  </si>
  <si>
    <t>Total Stockholders' Equity (latest quarter)</t>
  </si>
  <si>
    <t>Total Debt (latest quarter)</t>
  </si>
  <si>
    <t>Total Shares Outstanding (Filing Date) (latest quarter)</t>
  </si>
  <si>
    <t>Long-term Investments (Cross Holdings) (latest quarter)</t>
  </si>
  <si>
    <t>Minority Interests (latest quarter)</t>
  </si>
  <si>
    <t>MARKET DATA (Current)</t>
  </si>
  <si>
    <t>stock_price</t>
  </si>
  <si>
    <t>current</t>
  </si>
  <si>
    <t>Closing Stock Price (listing currency)</t>
  </si>
  <si>
    <t>mv_equity</t>
  </si>
  <si>
    <t>Market Capitalization (listing currency)</t>
  </si>
  <si>
    <t>stock_price_reporting</t>
  </si>
  <si>
    <t>Closing Stock Price (reporting currency)</t>
  </si>
  <si>
    <t>mv_equity_reporting</t>
  </si>
  <si>
    <t>Market Capitalization (reporting currency)</t>
  </si>
  <si>
    <t>reporting_currency</t>
  </si>
  <si>
    <t>Filing/Reporting Currency</t>
  </si>
  <si>
    <t>primary_exchange</t>
  </si>
  <si>
    <t>Primary Exchange Listing</t>
  </si>
  <si>
    <t>effective_tax_rate_ciq</t>
  </si>
  <si>
    <t>IQ_FY</t>
  </si>
  <si>
    <t>Effective Tax Rate (CIQ, /100)</t>
  </si>
  <si>
    <t>EMPLOYEE OPTIONS (Current)</t>
  </si>
  <si>
    <t>options_outstanding</t>
  </si>
  <si>
    <t>Options Outstanding (End of Period)</t>
  </si>
  <si>
    <t>options_avg_strike</t>
  </si>
  <si>
    <t>Weighted Avg Strike Price (Outstanding)</t>
  </si>
  <si>
    <t>options_avg_maturity</t>
  </si>
  <si>
    <t>Weighted Avg Remaining Life</t>
  </si>
  <si>
    <t>OPERATING LEASE COMMITMENTS (Current)</t>
  </si>
  <si>
    <t>lease_commitment_yr1</t>
  </si>
  <si>
    <t>Op Lease Commitment Year 1</t>
  </si>
  <si>
    <t>lease_commitment_yr2</t>
  </si>
  <si>
    <t>Op Lease Commitment Year 2</t>
  </si>
  <si>
    <t>lease_commitment_yr3</t>
  </si>
  <si>
    <t>Op Lease Commitment Year 3</t>
  </si>
  <si>
    <t>lease_commitment_yr4</t>
  </si>
  <si>
    <t>Op Lease Commitment Year 4</t>
  </si>
  <si>
    <t>lease_commitment_yr5</t>
  </si>
  <si>
    <t>Op Lease Commitment Year 5</t>
  </si>
  <si>
    <t>lease_commitment_beyond</t>
  </si>
  <si>
    <t>Op Lease Commitment Beyond Year 5</t>
  </si>
  <si>
    <t>PERIOD DATES</t>
  </si>
  <si>
    <t>period_date_annual</t>
  </si>
  <si>
    <t>Most recent 10-K period end date</t>
  </si>
  <si>
    <t>period_date_quarterly</t>
  </si>
  <si>
    <t>Most recent 10-Q period end date</t>
  </si>
  <si>
    <t>row</t>
  </si>
  <si>
    <t>variable</t>
  </si>
  <si>
    <t>period</t>
  </si>
  <si>
    <t>mnemonic</t>
  </si>
  <si>
    <t>IQ_TOTAL_REV</t>
  </si>
  <si>
    <t>IQ_EBIT</t>
  </si>
  <si>
    <t>IQ_EBITDA</t>
  </si>
  <si>
    <t>IQ_NI</t>
  </si>
  <si>
    <t>IQ_INTEREST_EXP</t>
  </si>
  <si>
    <t>IQ_DA_CF</t>
  </si>
  <si>
    <t>IQ_RD_EXP</t>
  </si>
  <si>
    <t>IQ_RD_EXP_FN</t>
  </si>
  <si>
    <t>IQ_CAPEX</t>
  </si>
  <si>
    <t>IQ_OPERATING_LEASE_PAYMENTS</t>
  </si>
  <si>
    <t>IQ_EBT_EXCL</t>
  </si>
  <si>
    <t>IQ_INC_TAX</t>
  </si>
  <si>
    <t>IQ_CASH_EQUIV</t>
  </si>
  <si>
    <t>IQ_TOTAL_EQUITY</t>
  </si>
  <si>
    <t>IQ_TOTAL_DEBT</t>
  </si>
  <si>
    <t>IQ_TOTAL_OUTSTANDING_FILING_DATE</t>
  </si>
  <si>
    <t>IQ_LT_INVEST</t>
  </si>
  <si>
    <t>IQ_MINORITY_INTEREST</t>
  </si>
  <si>
    <t>IQ_CLOSEPRICE</t>
  </si>
  <si>
    <t>IQ_MARKETCAP</t>
  </si>
  <si>
    <t>IQ_FILING_CURRENCY</t>
  </si>
  <si>
    <t>IQ_EXCHANGE</t>
  </si>
  <si>
    <t>IQ_EFFECT_TAX_RATE</t>
  </si>
  <si>
    <t>IQ_OPTIONS_END_OS</t>
  </si>
  <si>
    <t>IQ_OPTIONS_STRIKE_PRICE_OS</t>
  </si>
  <si>
    <t>IQ_OPTIONS_AVG_LIFE</t>
  </si>
  <si>
    <t>IQ_OL_COMM_CY</t>
  </si>
  <si>
    <t>IQ_OL_COMM_CY1</t>
  </si>
  <si>
    <t>IQ_OL_COMM_CY2</t>
  </si>
  <si>
    <t>IQ_OL_COMM_CY3</t>
  </si>
  <si>
    <t>IQ_OL_COMM_CY4</t>
  </si>
  <si>
    <t>IQ_OL_COMM_NEXT_FIVE</t>
  </si>
  <si>
    <t>IQ_PERIODDATE</t>
  </si>
  <si>
    <t>B</t>
    <phoneticPr fontId="7" type="noConversion"/>
  </si>
  <si>
    <t>R0VPX1NFR19SRVZfQUJTAgAAAAVJUV9GWQQxMDAwCAAAAAExATGvmbuuz6beCDw67K7Ppt4IJ0NJUS5CQUJBLklRX0dFT19TRUdfUkVWX0FCUy4xMDAwLi4uLi4uMQEAAAARJYICAgAAAAY5OTYzNDcBBgAAAAUAAAABNAEAAAALLTE5MzE3MzUzMTACAAAABDM1MTUDAAAAAjMyBAAAAAEwBgAAAAk5MTU5Mzc1MjSvmbuuz6beCDw67K7Ppt4IPUNJUVJBTkdFLkJBQkEuSVFfR0VPX1NFR19OQU1FX0FCUy4xLjEwLjEwMDAuLi4uLi5TRUdNRU5UIE5BTUUDAAAAESWCAgEAAAAAAAAABAAAAAAAAAAGIkJBQkEiBEJBQkEBAAAAFSJJUV9HRU9fU0VHX05BTUVfQUJTIhNJUV9HRU9fU0VHX05BTUVfQUJTAgAAAAVJUV9GWQQxMDAwCAAAAAExATGvmbuuz6beCDw67K7Ppt4IKENJUS5CQUJBLklRX0dFT19TRUdfTkFNRV9BQlMuMTAwMC4uLi4uLjEBAAAAESWCAgMAAAAgUGVvcGxlJ3MgUmVwdWJsaWMgb2YgQ2hpbmEgKFBSQykAr5m7rs+m3gg8Ouyuz6beCCVDSVEuQkFCQS5JUV9HRU9fU0VHX1JFVl9UT1RBTC5JUV9GUS0wAQAAABElggICAAAABjI4NDg0MwEGAAAABQAAAAE0AQAAAAstMTkwMDk4MTAxMAIAAAAFMjQxMTgDAAAAAjMyBAAAAAEwBgAAAAIxMK+Zu67Ppt4I4hLsrs+m3ggXQ0lRLkJBQkEuSVFfT0xfQ09NTV9DWTQBAAAAESWCAgMAAAAAAK+Zu67Ppt4I4hLsrs+m3ggdQ0lRLkJBQkEuSVFfT0xfQ09N</t>
  </si>
  <si>
    <t>TV9ORVhUX0ZJVkUBAAAAESWCAgMAAAAAAK+Zu67Ppt4I4hLsrs+m3ggeQ0lRLkJBQkEuSVFfUEVSSU9EREFURS5JUV9GWS0wAQAAABElggIFAAAACTIwMjUvMy8zMQCvmbuuz6beCOIS7K7Ppt4IHkNJUS5CQUJBLklRX1BFUklPRERBVEUuSVFfRlEtMAEAAAARJYICBQAAAAoyMDI1LzEyLzMxAK+Zu67Ppt4I4hLsrs+m3ggWQ0lRLkJBQkEuSVFfT0xfQ09NTV9DWQEAAAARJYICAwAAAAAAr5m7rs+m3gjiEuyuz6beCBdDSVEuQkFCQS5JUV9PTF9DT01NX0NZMQEAAAARJYICAwAAAAAAr5m7rs+m3gjiEuyuz6beCBdDSVEuQkFCQS5JUV9PTF9DT01NX0NZMgEAAAARJYICAwAAAAAAr5m7rs+m3gjiEuyuz6beCBdDSVEuQkFCQS5JUV9PTF9DT01NX0NZMwEAAAARJYICAwAAAAAAr5m7rs+m3gjiEuyuz6beCCFDSVEuQkFCQS5JUV9FRkZFQ1RfVEFYX1JBVEUuSVFfRlkBAAAAESWCAgIAAAAHMjEuOTU4MQEIAAAABQAAAAExAQAAAAstMTkzMTczNTMxMAMAAAACMzICAAAABDQzNzYEAAAAATAHAAAACTQvMzAvMjAyNggAAAAJMy8zMS8yMDI1CQAAAAEwr5m7rs+m3gjiEuyuz6beCBpDSVEuQkFCQS5JUV9PUFRJT05TX0VORF9PUwEAAAARJYICAwAAAAAAr5m7rs+m3gjiEuyuz6beCCNDSVEuQkFCQS5JUV9PUFRJT05TX1NUUklLRV9QUklDRV9PUwEAAAARJYICAwAAAAAAr5m7rs+m3gjiEuyuz6beCBtDSVEuQkFC</t>
  </si>
  <si>
    <t>QS5JUV9GSUxJTkdfQ1VSUkVOQ1kBAAAAESWCAgMAAAADQ05ZAK+Zu67Ppt4I4hLsrs+m3ggdQ0lRLkJBQkEuSVFfTFRfSU5WRVNULklRX0ZRLTABAAAAESWCAgIAAAAGNjQ5MjE2AQgAAAAFAAAAATEBAAAACy0xOTAwOTgxMDEwAwAAAAIzMgIAAAAEMTA1NAQAAAABMAcAAAAJNC8zMC8yMDI2CAAAAAoxMi8zMS8yMDI1CQAAAAEwr5m7rs+m3giP6+uuz6beCCVDSVEuQkFCQS5JUV9NSU5PUklUWV9JTlRFUkVTVC5JUV9GUS0wAQAAABElggICAAAABTY2MjczAQgAAAAFAAAAATEBAAAACy0xOTAwOTgxMDEwAwAAAAIzMgIAAAAEMTA1MgQAAAABMAcAAAAJNC8zMC8yMDI2CAAAAAoxMi8zMS8yMDI1CQAAAAEwr5m7rs+m3giP6+uuz6beCB5DSVEuQkFCQS5JUV9DQVNIX0VRVUlWLklRX0ZRLTABAAAAESWCAgIAAAAGMTI4MTc0AQgAAAAFAAAAATEBAAAACy0xOTAwOTgxMDEwAwAAAAIzMgIAAAAEMTA5NgQAAAABMAcAAAAJNC8zMC8yMDI2CAAAAAoxMi8zMS8yMDI1CQAAAAEwr5m7rs+m3giP6+uuz6beCCBDSVEuQkFCQS5JUV9UT1RBTF9FUVVJVFkuSVFfRlEtMAEAAAARJYICAgAAAAcxMTA1OTI4AQgAAAAFAAAAATEBAAAACy0xOTAwOTgxMDEwAwAAAAIzMgIAAAAEMTI3NQQAAAABMAcAAAAJNC8zMC8yMDI2CAAAAAoxMi8zMS8yMDI1CQAAAAEwr5m7rs+m3giP6+uuz6beCB5DSVEuQkFCQS5JUV9UT1RBTF9E</t>
  </si>
  <si>
    <t>RUJULklRX0ZRLTABAAAAESWCAgIAAAAGMjg2NTI5AQgAAAAFAAAAATEBAAAACy0xOTAwOTgxMDEwAwAAAAIzMgIAAAAENDE3MwQAAAABMAcAAAAJNC8zMC8yMDI2CAAAAAoxMi8zMS8yMDI1CQAAAAEwr5m7rs+m3giP6+uuz6beCDFDSVEuQkFCQS5JUV9UT1RBTF9PVVRTVEFORElOR19GSUxJTkdfREFURS5JUV9GUS0wAQAAABElggICAAAABDIzMjEBBAAAAAUAAAABNQEAAAALLTE5MDA5ODEwMTACAAAABTI0MTUzBgAAAAEwr5m7rs+m3giP6+uuz6beCCVDSVEuQkFCQS5JUV9NSU5PUklUWV9JTlRFUkVTVC5JUV9GWS03AQAAABElggICAAAABTcwNjE2AQgAAAAFAAAAATEBAAAACjIwNzg2MDA5MzcDAAAAAjMyAgAAAAQxMDUyBAAAAAEwBwAAAAk0LzMwLzIwMjYIAAAACTMvMzEvMjAxOAkAAAABMK+Zu67Ppt4Ij+vrrs+m3gglQ0lRLkJBQkEuSVFfTUlOT1JJVFlfSU5URVJFU1QuSVFfRlktOAEAAAARJYICAgAAAAU0MjMzMAEIAAAABQAAAAExAQAAAAoxOTY3NDc0MTUzAwAAAAIzMgIAAAAEMTA1MgQAAAABMAcAAAAJNC8zMC8yMDI2CAAAAAkzLzMxLzIwMTcJAAAAATCvmbuuz6beCI/r667Ppt4IJUNJUS5CQUJBLklRX01JTk9SSVRZX0lOVEVSRVNULklRX0ZZLTkBAAAAESWCAgIAAAAFMzI1NTIBCAAAAAUAAAABMQEAAAAKMTg5NzQ1NDY0MAMAAAACMzICAAAABDEwNTIEAAAAATAHAAAACTQvMzAvMjAy</t>
  </si>
  <si>
    <t>NggAAAAJMy8zMS8yMDE2CQAAAAEwr5m7rs+m3giP6+uuz6beCCZDSVEuQkFCQS5JUV9NSU5PUklUWV9JTlRFUkVTVC5JUV9GWS0xMAEAAAARJYICAgAAAAUxMTk3NAEIAAAABQAAAAExAQAAAAoxODQ3MTEzMjA5AwAAAAIzMgIAAAAEMTA1MgQAAAABMAcAAAAJNC8zMC8yMDI2CAAAAAkzLzMxLzIwMTUJAAAAATCvmbuuz6beCEzX667Ppt4IJUNJUS5CQUJBLklRX01JTk9SSVRZX0lOVEVSRVNULklRX0ZZLTMBAAAAESWCAgIAAAAGMTMzNzE0AQgAAAAFAAAAATEBAAAACy0xOTkyNDc1NTc3AwAAAAIzMgIAAAAEMTA1MgQAAAABMAcAAAAJNC8zMC8yMDI2CAAAAAkzLzMxLzIwMjIJAAAAATCvmbuuz6beCEzX667Ppt4IJUNJUS5CQUJBLklRX01JTk9SSVRZX0lOVEVSRVNULklRX0ZZLTQBAAAAESWCAgIAAAAGMTQ2MTY0AQgAAAAFAAAAATEBAAAACy0yMDM3NTQ4MzIxAwAAAAIzMgIAAAAEMTA1MgQAAAABMAcAAAAJNC8zMC8yMDI2CAAAAAkzLzMxLzIwMjEJAAAAATCvmbuuz6beCEzX667Ppt4IJUNJUS5CQUJBLklRX01JTk9SSVRZX0lOVEVSRVNULklRX0ZZLTUBAAAAESWCAgIAAAAGMTI0MjUwAQgAAAAFAAAAATEBAAAACy0yMDg4MTA1MTIzAwAAAAIzMgIAAAAEMTA1MgQAAAABMAcAAAAJNC8zMC8yMDI2CAAAAAkzLzMxLzIwMjAJAAAAATCvmbuuz6beCI/r667Ppt4IJUNJUS5CQUJBLklRX01JTk9SSVRZ</t>
  </si>
  <si>
    <t>X0lOVEVSRVNULklRX0ZZLTYBAAAAESWCAgIAAAAGMTE2MzI2AQgAAAAFAAAAATEBAAAACy0yMTQxNTIwNzI4AwAAAAIzMgIAAAAEMTA1MgQAAAABMAcAAAAJNC8zMC8yMDI2CAAAAAkzLzMxLzIwMTkJAAAAATCvmbuuz6beCEzX667Ppt4IHkNJUS5CQUJBLklRX0xUX0lOVkVTVC5JUV9GWS0xMAEAAAARJYICAgAAAAU0ODQ4OAEIAAAABQAAAAExAQAAAAoxODQ3MTEzMjA5AwAAAAIzMgIAAAAEMTA1NAQAAAABMAcAAAAJNC8zMC8yMDI2CAAAAAkzLzMxLzIwMTUJAAAAATCvmbuuz6beCEzX667Ppt4IJUNJUS5CQUJBLklRX01JTk9SSVRZX0lOVEVSRVNULklRX0ZZLTABAAAAESWCAgIAAAAFODAyNDgBCAAAAAUAAAABMQEAAAALLTE5MzE3MzUzMTADAAAAAjMyAgAAAAQxMDUyBAAAAAEwBwAAAAk0LzMwLzIwMjYIAAAACTMvMzEvMjAyNQkAAAABMK+Zu67Ppt4ITNfrrs+m3gglQ0lRLkJBQkEuSVFfTUlOT1JJVFlfSU5URVJFU1QuSVFfRlktMQEAAAARJYICAgAAAAYxMjYwNTUBCAAAAAUAAAABMQEAAAALLTE5MzE3MzUyOTIDAAAAAjMyAgAAAAQxMDUyBAAAAAEwBwAAAAk0LzMwLzIwMjYIAAAACTMvMzEvMjAyNAkAAAABMK+Zu67Ppt4ITNfrrs+m3gglQ0lRLkJBQkEuSVFfTUlOT1JJVFlfSU5URVJFU1QuSVFfRlktMgEAAAARJYICAgAAAAYxMzMyNjQBCAAAAAUAAAABMQEAAAALLTE5MzE3MzUyODMDAAAA</t>
  </si>
  <si>
    <t>AjMyAgAAAAQxMDUyBAAAAAEwBwAAAAk0LzMwLzIwMjYIAAAACTMvMzEvMjAyMwkAAAABMK+Zu67Ppt4IQbDrrs+m3ggdQ0lRLkJBQkEuSVFfTFRfSU5WRVNULklRX0ZZLTYBAAAAESWCAgIAAAAGMjQxNTQ0AQgAAAAFAAAAATEBAAAACy0yMTQxNTIwNzI4AwAAAAIzMgIAAAAEMTA1NAQAAAABMAcAAAAJNC8zMC8yMDI2CAAAAAkzLzMxLzIwMTkJAAAAATCvmbuuz6beCEGw667Ppt4IHUNJUS5CQUJBLklRX0xUX0lOVkVTVC5JUV9GWS03AQAAABElggICAAAABjE3ODQzNAEIAAAABQAAAAExAQAAAAoyMDc4NjAwOTM3AwAAAAIzMgIAAAAEMTA1NAQAAAABMAcAAAAJNC8zMC8yMDI2CAAAAAkzLzMxLzIwMTgJAAAAATCvmbuuz6beCEGw667Ppt4IHUNJUS5CQUJBLklRX0xUX0lOVkVTVC5JUV9GWS04AQAAABElggICAAAABjE1MjI1NgEIAAAABQAAAAExAQAAAAoxOTY3NDc0MTUzAwAAAAIzMgIAAAAEMTA1NAQAAAABMAcAAAAJNC8zMC8yMDI2CAAAAAkzLzMxLzIwMTcJAAAAATCvmbuuz6beCEGw667Ppt4IHUNJUS5CQUJBLklRX0xUX0lOVkVTVC5JUV9GWS05AQAAABElggICAAAABjEyMDg1MwEIAAAABQAAAAExAQAAAAoxODk3NDU0NjQwAwAAAAIzMgIAAAAEMTA1NAQAAAABMAcAAAAJNC8zMC8yMDI2CAAAAAkzLzMxLzIwMTYJAAAAATCvmbuuz6beCEGw667Ppt4IHUNJUS5CQUJBLklRX0xUX0lOVkVTVC5J</t>
  </si>
  <si>
    <t>UV9GWS0yAQAAABElggICAAAABjQ1MzExNwEIAAAABQAAAAExAQAAAAstMTkzMTczNTI4MwMAAAACMzICAAAABDEwNTQEAAAAATAHAAAACTQvMzAvMjAyNggAAAAJMy8zMS8yMDIzCQAAAAEwr5m7rs+m3ghBsOuuz6beCB1DSVEuQkFCQS5JUV9MVF9JTlZFU1QuSVFfRlktMwEAAAARJYICAgAAAAY0NDMyNTMBCAAAAAUAAAABMQEAAAALLTE5OTI0NzU1NzcDAAAAAjMyAgAAAAQxMDU0BAAAAAEwBwAAAAk0LzMwLzIwMjYIAAAACTMvMzEvMjAyMgkAAAABMK+Zu67Ppt4IQbDrrs+m3ggdQ0lRLkJBQkEuSVFfTFRfSU5WRVNULklRX0ZZLTQBAAAAESWCAgIAAAAGNDM3NDEwAQgAAAAFAAAAATEBAAAACy0yMDM3NTQ4MzIxAwAAAAIzMgIAAAAEMTA1NAQAAAABMAcAAAAJNC8zMC8yMDI2CAAAAAkzLzMxLzIwMjEJAAAAATCvmbuuz6beCEGw667Ppt4IHUNJUS5CQUJBLklRX0xUX0lOVkVTVC5JUV9GWS01AQAAABElggICAAAABjM1MDk2MQEIAAAABQAAAAExAQAAAAstMjA4ODEwNTEyMwMAAAACMzICAAAABDEwNTQEAAAAATAHAAAACTQvMzAvMjAyNggAAAAJMy8zMS8yMDIwCQAAAAEwr5m7rs+m3ghBsOuuz6beCDFDSVEuQkFCQS5JUV9UT1RBTF9PVVRTVEFORElOR19GSUxJTkdfREFURS5JUV9GWS05AQAAABElggICAAAACzI0OTUuMjc2NjgyAQQAAAAFAAAAATUBAAAACjE4OTc0NTQ2NDACAAAABTI0MTUzBgAA</t>
  </si>
  <si>
    <t>AAEwr5m7rs+m3ghBsOuuz6beCDJDSVEuQkFCQS5JUV9UT1RBTF9PVVRTVEFORElOR19GSUxJTkdfREFURS5JUV9GWS0xMAEAAAARJYICAgAAAAsyNTEyLjQyNzUwNAEEAAAABQAAAAE1AQAAAAoxODQ3MTEzMjA5AgAAAAUyNDE1MwYAAAABMK+Zu67Ppt4IQbDrrs+m3ggdQ0lRLkJBQkEuSVFfTFRfSU5WRVNULklRX0ZZLTABAAAAESWCAgIAAAAGNTY2OTg3AQgAAAAFAAAAATEBAAAACy0xOTMxNzM1MzEwAwAAAAIzMgIAAAAEMTA1NAQAAAABMAcAAAAJNC8zMC8yMDI2CAAAAAkzLzMxLzIwMjUJAAAAATCvmbuuz6beCEGw667Ppt4IHUNJUS5CQUJBLklRX0xUX0lOVkVTVC5JUV9GWS0xAQAAABElggICAAAABjQyNDA3MwEIAAAABQAAAAExAQAAAAstMTkzMTczNTI5MgMAAAACMzICAAAABDEwNTQEAAAAATAHAAAACTQvMzAvMjAyNggAAAAJMy8zMS8yMDI0CQAAAAEwr5m7rs+m3gi0ieuuz6beCDFDSVEuQkFCQS5JUV9UT1RBTF9PVVRTVEFORElOR19GSUxJTkdfREFURS5JUV9GWS01AQAAABElggICAAAACzI3MDQuNjYzMTUzAQQAAAAFAAAAATUBAAAACy0yMDg4MTA1MTIzAgAAAAUyNDE1MwYAAAABMK+Zu67Ppt4ItInrrs+m3ggxQ0lRLkJBQkEuSVFfVE9UQUxfT1VUU1RBTkRJTkdfRklMSU5HX0RBVEUuSVFfRlktNgEAAAARJYICAgAAAAsyNjAzLjUzMTY5MwEEAAAABQAAAAE1AQAAAAstMjE0MTUyMDcy</t>
  </si>
  <si>
    <t>OAIAAAAFMjQxNTMGAAAAATCvmbuuz6beCLSJ667Ppt4IMUNJUS5CQUJBLklRX1RPVEFMX09VVFNUQU5ESU5HX0ZJTElOR19EQVRFLklRX0ZZLTcBAAAAESWCAgIAAAAIMjU1My4xMjUBBAAAAAUAAAABNQEAAAAKMjA3ODYwMDkzNwIAAAAFMjQxNTMGAAAAATCvmbuuz6beCEGw667Ppt4IMUNJUS5CQUJBLklRX1RPVEFMX09VVFNUQU5ESU5HX0ZJTElOR19EQVRFLklRX0ZZLTgBAAAAESWCAgIAAAAEMjUzMAEEAAAABQAAAAE1AQAAAAoxOTY3NDc0MTUzAgAAAAUyNDE1MwYAAAABMK+Zu67Ppt4ItInrrs+m3ggxQ0lRLkJBQkEuSVFfVE9UQUxfT1VUU1RBTkRJTkdfRklMSU5HX0RBVEUuSVFfRlktMQEAAAARJYICAgAAAAsyNDE4LjE4NTY3NQEEAAAABQAAAAE1AQAAAAstMTkzMTczNTI5MgIAAAAFMjQxNTMGAAAAATCvmbuuz6beCLSJ667Ppt4IMUNJUS5CQUJBLklRX1RPVEFMX09VVFNUQU5ESU5HX0ZJTElOR19EQVRFLklRX0ZZLTIBAAAAESWCAgIAAAALMjU0Ni43Nzk3NTUBBAAAAAUAAAABNQEAAAALLTE5MzE3MzUyODMCAAAABTI0MTUzBgAAAAEwr5m7rs+m3gi0ieuuz6beCDFDSVEuQkFCQS5JUV9UT1RBTF9PVVRTVEFORElOR19GSUxJTkdfREFURS5JUV9GWS0zAQAAABElggICAAAACzI2NDguMTM4NDQzAQQAAAAFAAAAATUBAAAACy0xOTkyNDc1NTc3AgAAAAUyNDE1MwYAAAABMK+Zu67Ppt4ItInr</t>
  </si>
  <si>
    <t>rs+m3ggxQ0lRLkJBQkEuSVFfVE9UQUxfT1VUU1RBTkRJTkdfRklMSU5HX0RBVEUuSVFfRlktNAEAAAARJYICAgAAAAsyNzE4LjE3OTI0OAEEAAAABQAAAAE1AQAAAAstMjAzNzU0ODMyMQIAAAAFMjQxNTMGAAAAATCvmbuuz6beCLSJ667Ppt4IHkNJUS5CQUJBLklRX1RPVEFMX0RFQlQuSVFfRlktOAEAAAARJYICAgAAAAU5MTczMgEIAAAABQAAAAExAQAAAAoxOTY3NDc0MTUzAwAAAAIzMgIAAAAENDE3MwQAAAABMAcAAAAJNC8zMC8yMDI2CAAAAAkzLzMxLzIwMTcJAAAAATCvmbuuz6beCLSJ667Ppt4IHkNJUS5CQUJBLklRX1RPVEFMX0RFQlQuSVFfRlktOQEAAAARJYICAgAAAAU1NzU2NgEIAAAABQAAAAExAQAAAAoxODk3NDU0NjQwAwAAAAIzMgIAAAAENDE3MwQAAAABMAcAAAAJNC8zMC8yMDI2CAAAAAkzLzMxLzIwMTYJAAAAATCvmbuuz6beCLSJ667Ppt4IH0NJUS5CQUJBLklRX1RPVEFMX0RFQlQuSVFfRlktMTABAAAAESWCAgIAAAAFNTI1OTMBCAAAAAUAAAABMQEAAAAKMTg0NzExMzIwOQMAAAACMzICAAAABDQxNzMEAAAAATAHAAAACTQvMzAvMjAyNggAAAAJMy8zMS8yMDE1CQAAAAEwr5m7rs+m3gi0ieuuz6beCDFDSVEuQkFCQS5JUV9UT1RBTF9PVVRTVEFORElOR19GSUxJTkdfREFURS5JUV9GWS0wAQAAABElggICAAAACzIzMTkuMTU4MDE2AQQAAAAFAAAAATUBAAAACy0xOTMxNzM1MzEw</t>
  </si>
  <si>
    <t>AgAAAAUyNDE1MwYAAAABMK+Zu67Ppt4IcWLrrs+m3ggeQ0lRLkJBQkEuSVFfVE9UQUxfREVCVC5JUV9GWS00AQAAABElggICAAAABjE4MTQzOQEIAAAABQAAAAExAQAAAAstMjAzNzU0ODMyMQMAAAACMzICAAAABDQxNzMEAAAAATAHAAAACTQvMzAvMjAyNggAAAAJMy8zMS8yMDIxCQAAAAEwr5m7rs+m3ghxYuuuz6beCB5DSVEuQkFCQS5JUV9UT1RBTF9ERUJULklRX0ZZLTUBAAAAESWCAgIAAAAGMTQ3Mjg3AQgAAAAFAAAAATEBAAAACy0yMDg4MTA1MTIzAwAAAAIzMgIAAAAENDE3MwQAAAABMAcAAAAJNC8zMC8yMDI2CAAAAAkzLzMxLzIwMjAJAAAAATCvmbuuz6beCHFi667Ppt4IHkNJUS5CQUJBLklRX1RPVEFMX0RFQlQuSVFfRlktNgEAAAARJYICAgAAAAYxMzQzMDABCAAAAAUAAAABMQEAAAALLTIxNDE1MjA3MjgDAAAAAjMyAgAAAAQ0MTczBAAAAAEwBwAAAAk0LzMwLzIwMjYIAAAACTMvMzEvMjAxOQkAAAABMK+Zu67Ppt4ItInrrs+m3ggeQ0lRLkJBQkEuSVFfVE9UQUxfREVCVC5JUV9GWS03AQAAABElggICAAAABjEyNTU1MwEIAAAABQAAAAExAQAAAAoyMDc4NjAwOTM3AwAAAAIzMgIAAAAENDE3MwQAAAABMAcAAAAJNC8zMC8yMDI2CAAAAAkzLzMxLzIwMTgJAAAAATCvmbuuz6beCHFi667Ppt4IHkNJUS5CQUJBLklRX1RPVEFMX0RFQlQuSVFfRlktMAEAAAARJYICAgAAAAYyNDgxMTABCAAA</t>
  </si>
  <si>
    <t>AAUAAAABMQEAAAALLTE5MzE3MzUzMTADAAAAAjMyAgAAAAQ0MTczBAAAAAEwBwAAAAk0LzMwLzIwMjYIAAAACTMvMzEvMjAyNQkAAAABMK+Zu67Ppt4IcWLrrs+m3ggeQ0lRLkJBQkEuSVFfVE9UQUxfREVCVC5JUV9GWS0xAQAAABElggICAAAABjIwNTYxNAEIAAAABQAAAAExAQAAAAstMTkzMTczNTI5MgMAAAACMzICAAAABDQxNzMEAAAAATAHAAAACTQvMzAvMjAyNggAAAAJMy8zMS8yMDI0CQAAAAEwr5m7rs+m3ghxYuuuz6beCB5DSVEuQkFCQS5JUV9UT1RBTF9ERUJULklRX0ZZLTIBAAAAESWCAgIAAAAGMTk1NTY5AQgAAAAFAAAAATEBAAAACy0xOTMxNzM1MjgzAwAAAAIzMgIAAAAENDE3MwQAAAABMAcAAAAJNC8zMC8yMDI2CAAAAAkzLzMxLzIwMjMJAAAAATCvmbuuz6beCHFi667Ppt4IHkNJUS5CQUJBLklRX1RPVEFMX0RFQlQuSVFfRlktMwEAAAARJYICAgAAAAYxNzY1OTcBCAAAAAUAAAABMQEAAAALLTE5OTI0NzU1NzcDAAAAAjMyAgAAAAQ0MTczBAAAAAEwBwAAAAk0LzMwLzIwMjYIAAAACTMvMzEvMjAyMgkAAAABMK+Zu67Ppt4IcWLrrs+m3gggQ0lRLkJBQkEuSVFfVE9UQUxfRVFVSVRZLklRX0ZZLTcBAAAAESWCAgIAAAAGNDM2NDM4AQgAAAAFAAAAATEBAAAACjIwNzg2MDA5MzcDAAAAAjMyAgAAAAQxMjc1BAAAAAEwBwAAAAk0LzMwLzIwMjYIAAAACTMvMzEvMjAxOAkAAAABMK+Zu67P</t>
  </si>
  <si>
    <t>pt4IcWLrrs+m3gggQ0lRLkJBQkEuSVFfVE9UQUxfRVFVSVRZLklRX0ZZLTgBAAAAESWCAgIAAAAGMzIxMTI5AQgAAAAFAAAAATEBAAAACjE5Njc0NzQxNTMDAAAAAjMyAgAAAAQxMjc1BAAAAAEwBwAAAAk0LzMwLzIwMjYIAAAACTMvMzEvMjAxNwkAAAABMK+Zu67Ppt4IcWLrrs+m3gggQ0lRLkJBQkEuSVFfVE9UQUxfRVFVSVRZLklRX0ZZLTkBAAAAESWCAgIAAAAGMjQ5NTM5AQgAAAAFAAAAATEBAAAACjE4OTc0NTQ2NDADAAAAAjMyAgAAAAQxMjc1BAAAAAEwBwAAAAk0LzMwLzIwMjYIAAAACTMvMzEvMjAxNgkAAAABMK+Zu67Ppt4IcWLrrs+m3gghQ0lRLkJBQkEuSVFfVE9UQUxfRVFVSVRZLklRX0ZZLTEwAQAAABElggICAAAABjE1NzQxMwEIAAAABQAAAAExAQAAAAoxODQ3MTEzMjA5AwAAAAIzMgIAAAAEMTI3NQQAAAABMAcAAAAJNC8zMC8yMDI2CAAAAAkzLzMxLzIwMTUJAAAAATCvmbuuz6beCHFi667Ppt4IIENJUS5CQUJBLklRX1RPVEFMX0VRVUlUWS5JUV9GWS0zAQAAABElggICAAAABzEwODIxOTMBCAAAAAUAAAABMQEAAAALLTE5OTI0NzU1NzcDAAAAAjMyAgAAAAQxMjc1BAAAAAEwBwAAAAk0LzMwLzIwMjYIAAAACTMvMzEvMjAyMgkAAAABMK+Zu67Ppt4IcWLrrs+m3gggQ0lRLkJBQkEuSVFfVE9UQUxfRVFVSVRZLklRX0ZZLTQBAAAAESWCAgIAAAAHMTA4MzYzNAEIAAAABQAAAAExAQAA</t>
  </si>
  <si>
    <t>AAstMjAzNzU0ODMyMQMAAAACMzICAAAABDEyNzUEAAAAATAHAAAACTQvMzAvMjAyNggAAAAJMy8zMS8yMDIxCQAAAAEwr5m7rs+m3ghxYuuuz6beCCBDSVEuQkFCQS5JUV9UT1RBTF9FUVVJVFkuSVFfRlktNQEAAAARJYICAgAAAAY4Nzk2NTEBCAAAAAUAAAABMQEAAAALLTIwODgxMDUxMjMDAAAAAjMyAgAAAAQxMjc1BAAAAAEwBwAAAAk0LzMwLzIwMjYIAAAACTMvMzEvMjAyMAkAAAABMK+Zu67Ppt4IcWLrrs+m3gggQ0lRLkJBQkEuSVFfVE9UQUxfRVFVSVRZLklRX0ZZLTYBAAAAESWCAgIAAAAGNjA4NTgzAQgAAAAFAAAAATEBAAAACy0yMTQxNTIwNzI4AwAAAAIzMgIAAAAEMTI3NQQAAAABMAcAAAAJNC8zMC8yMDI2CAAAAAkzLzMxLzIwMTkJAAAAATCvmbuuz6beCH07667Ppt4IH0NJUS5CQUJBLklRX0NBU0hfRVFVSVYuSVFfRlktMTABAAAAESWCAgIAAAAGMTA4MTkzAQgAAAAFAAAAATEBAAAACjE4NDcxMTMyMDkDAAAAAjMyAgAAAAQxMDk2BAAAAAEwBwAAAAk0LzMwLzIwMjYIAAAACTMvMzEvMjAxNQkAAAABMK+Zu67Ppt4IfTvrrs+m3gggQ0lRLkJBQkEuSVFfVE9UQUxfRVFVSVRZLklRX0ZZLTABAAAAESWCAgIAAAAHMTA5MDEwNgEIAAAABQAAAAExAQAAAAstMTkzMTczNTMxMAMAAAACMzICAAAABDEyNzUEAAAAATAHAAAACTQvMzAvMjAyNggAAAAJMy8zMS8yMDI1CQAAAAEwr5m7rs+m3gh9</t>
  </si>
  <si>
    <t>O+uuz6beCCBDSVEuQkFCQS5JUV9UT1RBTF9FUVVJVFkuSVFfRlktMQEAAAARJYICAgAAAAcxMTEyNTk5AQgAAAAFAAAAATEBAAAACy0xOTMxNzM1MjkyAwAAAAIzMgIAAAAEMTI3NQQAAAABMAcAAAAJNC8zMC8yMDI2CAAAAAkzLzMxLzIwMjQJAAAAATCvmbuuz6beCH07667Ppt4IIENJUS5CQUJBLklRX1RPVEFMX0VRVUlUWS5JUV9GWS0yAQAAABElggICAAAABzExMjI5MjEBCAAAAAUAAAABMQEAAAALLTE5MzE3MzUyODMDAAAAAjMyAgAAAAQxMjc1BAAAAAEwBwAAAAk0LzMwLzIwMjYIAAAACTMvMzEvMjAyMwkAAAABMK+Zu67Ppt4IfTvrrs+m3ggeQ0lRLkJBQkEuSVFfQ0FTSF9FUVVJVi5JUV9GWS02AQAAABElggICAAAABjE4OTk3NgEIAAAABQAAAAExAQAAAAstMjE0MTUyMDcyOAMAAAACMzICAAAABDEwOTYEAAAAATAHAAAACTQvMzAvMjAyNggAAAAJMy8zMS8yMDE5CQAAAAEwr5m7rs+m3gh9O+uuz6beCB5DSVEuQkFCQS5JUV9DQVNIX0VRVUlWLklRX0ZZLTcBAAAAESWCAgIAAAAGMTk5MzA5AQgAAAAFAAAAATEBAAAACjIwNzg2MDA5MzcDAAAAAjMyAgAAAAQxMDk2BAAAAAEwBwAAAAk0LzMwLzIwMjYIAAAACTMvMzEvMjAxOAkAAAABMK+Zu67Ppt4IfTvrrs+m3ggeQ0lRLkJBQkEuSVFfQ0FTSF9FUVVJVi5JUV9GWS04AQAAABElggICAAAABjE0MzczNgEIAAAABQAAAAExAQAAAAoxOTY3NDc0</t>
  </si>
  <si>
    <t>MTUzAwAAAAIzMgIAAAAEMTA5NgQAAAABMAcAAAAJNC8zMC8yMDI2CAAAAAkzLzMxLzIwMTcJAAAAATCvmbuuz6beCH07667Ppt4IHkNJUS5CQUJBLklRX0NBU0hfRVFVSVYuSVFfRlktOQEAAAARJYICAgAAAAYxMDY4MTgBCAAAAAUAAAABMQEAAAAKMTg5NzQ1NDY0MAMAAAACMzICAAAABDEwOTYEAAAAATAHAAAACTQvMzAvMjAyNggAAAAJMy8zMS8yMDE2CQAAAAEwr5m7rs+m3gh9O+uuz6beCB5DSVEuQkFCQS5JUV9DQVNIX0VRVUlWLklRX0ZZLTIBAAAAESWCAgIAAAAGMTkzMDg2AQgAAAAFAAAAATEBAAAACy0xOTMxNzM1MjgzAwAAAAIzMgIAAAAEMTA5NgQAAAABMAcAAAAJNC8zMC8yMDI2CAAAAAkzLzMxLzIwMjMJAAAAATCvmbuuz6beCH07667Ppt4IHkNJUS5CQUJBLklRX0NBU0hfRVFVSVYuSVFfRlktMwEAAAARJYICAgAAAAYxODk4OTgBCAAAAAUAAAABMQEAAAALLTE5OTI0NzU1NzcDAAAAAjMyAgAAAAQxMDk2BAAAAAEwBwAAAAk0LzMwLzIwMjYIAAAACTMvMzEvMjAyMgkAAAABMK+Zu67Ppt4IfTvrrs+m3ggeQ0lRLkJBQkEuSVFfQ0FTSF9FUVVJVi5JUV9GWS00AQAAABElggICAAAABjMyMTI2MgEIAAAABQAAAAExAQAAAAstMjAzNzU0ODMyMQMAAAACMzICAAAABDEwOTYEAAAAATAHAAAACTQvMzAvMjAyNggAAAAJMy8zMS8yMDIxCQAAAAEwr5m7rs+m3gh9O+uuz6beCBtDSVEuQkFCQS5J</t>
  </si>
  <si>
    <t>TOTAL</t>
    <phoneticPr fontId="7" type="noConversion"/>
  </si>
  <si>
    <t>BAABTAVMT0NBTAFI/////wFQtwEAABxDSVEuQkFCQS5JUV9PUFRJT05TX0FWR19MSUZFBQAAAAAAAAAIAAAAFihJbnZhbGlkIEZvcm11bGEgTmFtZSmvmbuuz6beCI/r667Ppt4IFENJUS5CQUJBLklRX0VYQ0hBTkdFAQAAABElggIDAAAABE5ZU0UAr5m7rs+m3giP6+uuz6beCCBDSVEuQkFCQS5JUV9DTE9TRVBSSUNFLi5SRVBPUlRFRAEAAAARJYICAgAAAAo4OTEuOTA2NDI2AK+Zu67Ppt4I4hLsrs+m3ggfQ0lRLkJBQkEuSVFfTUFSS0VUQ0FQLi5SRVBPUlRFRAEAAAARJYICAgAAAA8yMDA0MTg2LjI5MzEzMjYBBgAAAAUAAAABMQEAAAALLTE5MDA5ODEwMTADAAAAAjMyAgAAAAYxMDAwNTQEAAAAATAHAAAACTQvMjkvMjAyNq+Zu67Ppt4I4hLsrs+m3ggWQ0lRLkJBQkEuSVFfQ0xPU0VQUklDRQEAAAARJYICAgAAAAYxMzAuNDMAr5m7rs+m3giP6+uuz6beCBVDSVEuQkFCQS5JUV9NQVJLRVRDQVABAAAAESWCAgIAAAANMjkzMDg2LjgyMDA4OQEGAAAABQAAAAExAQAAAAstMTkwMDk4MTAxMAMAAAADMTYwAgAAAAYxMDAwNTQEAAAAATAHAAAACTQvMjkvMjAyNq+Zu67Ppt4Ij+vrrs+m3gg3Q0lRUkFOR0UuQkFCQS5JUV9HRU9fU0VHX1JFVl9BQlMuMS4xMC4xMDAwLi4uLi4uUkVWRU5VRQMAAAARJYICAQAAAAAAAAAEAAAAAAAAAAYiQkFCQSIEQkFCQQEAAAAUIklRX0dFT19TRUdfUkVWX0FCUyISSVFf</t>
  </si>
  <si>
    <t>UV9JTkNfVEFYLklRX0ZRLTcBAAAAESWCAgIAAAAENTcyMgEIAAAABQAAAAExAQAAAAstMTkzMTczMjY1NAMAAAACMzICAAAAAjc1BAAAAAEwBwAAAAk0LzMwLzIwMjYIAAAACTMvMzEvMjAyNAkAAAABMK+Zu67Ppt4IfTvrrs+m3ggeQ0lRLkJBQkEuSVFfQ0FTSF9FUVVJVi5JUV9GWS0wAQAAABElggICAAAABjE0NTQ4NwEIAAAABQAAAAExAQAAAAstMTkzMTczNTMxMAMAAAACMzICAAAABDEwOTYEAAAAATAHAAAACTQvMzAvMjAyNggAAAAJMy8zMS8yMDI1CQAAAAEwr5m7rs+m3gh9O+uuz6beCBxDSVEuQkFCQS5JUV9FQlRfRVhDTC5JUV9GUS0yAQAAABElggICAAAABTUxMjQ3AQgAAAAFAAAAATEBAAAACy0xOTI2MjQwODA0AwAAAAIzMgIAAAABNAQAAAABMAcAAAAJNC8zMC8yMDI2CAAAAAk2LzMwLzIwMjUJAAAAATCvmbuuz6beCGIU667Ppt4IHENJUS5CQUJBLklRX0VCVF9FWENMLklRX0ZRLTMBAAAAESWCAgIAAAAFMjM0MzgBCAAAAAUAAAABMQEAAAALLTE5MzE3MzI2MjkDAAAAAjMyAgAAAAE0BAAAAAEwBwAAAAk0LzMwLzIwMjYIAAAACTMvMzEvMjAyNQkAAAABMK+Zu67Ppt4IYhTrrs+m3ggcQ0lRLkJBQkEuSVFfRUJUX0VYQ0wuSVFfRlEtNAEAAAARJYICAgAAAAU2NDM4MAEIAAAABQAAAAExAQAAAAstMTkxMjc2NTYxNAMAAAACMzICAAAAATQEAAAAATAHAAAACTQvMzAvMjAyNggAAAAKMTIv</t>
  </si>
  <si>
    <t>MzEvMjAyNAkAAAABMK+Zu67Ppt4IYhTrrs+m3ggcQ0lRLkJBQkEuSVFfRUJUX0VYQ0wuSVFfRlEtMAEAAAARJYICAgAAAAUzMzYwNgEIAAAABQAAAAExAQAAAAstMTkwMDk4MTAxMAMAAAACMzICAAAAATQEAAAAATAHAAAACTQvMzAvMjAyNggAAAAKMTIvMzEvMjAyNQkAAAABMK+Zu67Ppt4IYhTrrs+m3ggbQ0lRLjk5Mi5JUV9PUFRJT05TX0FWR19MSUZFBQAAAAAAAAAIAAAAFihJbnZhbGlkIEZvcm11bGEgTmFtZSl10wm8z6beCEJ6O7zPpt4IE0NJUS45OTIuSVFfRVhDSEFOR0UBAAAACEIGAAMAAAAEU0VISwB10wm8z6beCEJ6O7zPpt4IFENJUS45OTIuSVFfTUFSS0VUQ0FQAQAAAAhCBgACAAAADTE0NzExOS4yNTkzMjIBBgAAAAUAAAABMQEAAAALLTE5MDcxNjAyNzQDAAAAAjY0AgAAAAYxMDAwNTQEAAAAATAHAAAACTQvMjkvMjAyNnXTCbzPpt4IQno7vM+m3ggVQ0lRLjk5Mi5JUV9DTE9TRVBSSUNFAQAAAAhCBgACAAAABTExLjg2AHXTCbzPpt4IQno7vM+m3ggfQ0lRLjk5Mi5JUV9DTE9TRVBSSUNFLi5SRVBPUlRFRAEAAAAIQgYAAgAAAA0xLjUxMzQwNTYzMDA2AHXTCbzPpt4ImVM7vM+m3ggeQ0lRLjk5Mi5JUV9NQVJLRVRDQVAuLlJFUE9SVEVEAQAAAAhCBgACAAAAEDE4NzczLjI4MTIyNjY1ODcBBgAAAAUAAAABMQEAAAALLTE5MDcxNjAyNzQDAAAAAzE2MAIAAAAGMTAwMDU0BAAAAAEwBwAA</t>
  </si>
  <si>
    <t>AAk0LzI5LzIwMjZ10wm8z6beCJlTO7zPpt4IHENJUS45OTIuSVFfVE9UQUxfUkVWLklRX0ZZLTUBAAAACEIGAAIAAAAJNTA3MTYuMzQ5AQgAAAAFAAAAATEBAAAACy0yMTQ2NjE2MzI1AwAAAAMxNjACAAAAAjI4BAAAAAEwBwAAAAk0LzMwLzIwMjYIAAAACTMvMzEvMjAyMAkAAAABMHXTCbzPpt4I2Zw+vM+m3ggcQ0lRLjk5Mi5JUV9UT1RBTF9SRVYuSVFfRlktMAEAAAAIQgYAAgAAAAk2OTA3Ni45NjgBCAAAAAUAAAABMQEAAAALLTE5Mzc2NjQ4ODADAAAAAzE2MAIAAAACMjgEAAAAATAHAAAACTQvMzAvMjAyNggAAAAJMy8zMS8yMDI1CQAAAAEwddMJvM+m3gjZnD68z6beCBxDSVEuOTkyLklRX1RPVEFMX1JFVi5JUV9GWS0xAQAAAAhCBgACAAAACTU2ODYzLjc4NAEIAAAABQAAAAExAQAAAAstMTkzNzY2NDg4OAMAAAADMTYwAgAAAAIyOAQAAAABMAcAAAAJNC8zMC8yMDI2CAAAAAkzLzMxLzIwMjQJAAAAATB10wm8z6beCPTDPrzPpt4IHENJUS45OTIuSVFfVE9UQUxfUkVWLklRX0ZZLTkBAAAACEIGAAIAAAAJNDQ5MTIuMDk3AQgAAAAFAAAAATEBAAAACjE4NDYxNDc5ODMDAAAAAzE2MAIAAAACMjgEAAAAATAHAAAACTQvMzAvMjAyNggAAAAJMy8zMS8yMDE2CQAAAAEwddMJvM+m3gj0wz68z6beCBxDSVEuOTkyLklRX1RPVEFMX1JFVi5JUV9GWS0yAQAAAAhCBgACAAAACTYxOTQ2Ljg1NAEIAAAABQAA</t>
  </si>
  <si>
    <t>AAExAQAAAAstMTk4OTI4NzUxMgMAAAADMTYwAgAAAAIyOAQAAAABMAcAAAAJNC8zMC8yMDI2CAAAAAkzLzMxLzIwMjMJAAAAATB10wm8z6beCNmcPrzPpt4IHENJUS45OTIuSVFfVE9UQUxfUkVWLklRX0ZZLTMBAAAACEIGAAIAAAAJNzE2MTguMjE2AQgAAAAFAAAAATEBAAAACy0yMDM5NDYwNzAyAwAAAAMxNjACAAAAAjI4BAAAAAEwBwAAAAk0LzMwLzIwMjYIAAAACTMvMzEvMjAyMgkAAAABMHXTCbzPpt4I2Zw+vM+m3ggcQ0lRLjk5Mi5JUV9UT1RBTF9SRVYuSVFfRlktNAEAAAAIQgYAAgAAAAk2MDc0Mi4zMTIBCAAAAAUAAAABMQEAAAALLTIwOTE1NzA3MDYDAAAAAzE2MAIAAAACMjgEAAAAATAHAAAACTQvMzAvMjAyNggAAAAJMy8zMS8yMDIxCQAAAAEwddMJvM+m3gjZnD68z6beCBdDSVEuOTkyLklRX0VCSVQuSVFfRlktMgEAAAAIQgYAAgAAAAgyNDQ0LjI1NgEIAAAABQAAAAExAQAAAAstMTk4OTI4NzUxMgMAAAADMTYwAgAAAAM0MDAEAAAAATAHAAAACTQvMzAvMjAyNggAAAAJMy8zMS8yMDIzCQAAAAEwddMJvM+m3gjZnD68z6beCBxDSVEuOTkyLklRX1RPVEFMX1JFVi5JUV9GWS02AQAAAAhCBgACAAAACTUxMDM3Ljk0MwEIAAAABQAAAAExAQAAAAoyMDQwMTU1ODMzAwAAAAMxNjACAAAAAjI4BAAAAAEwBwAAAAk0LzMwLzIwMjYIAAAACTMvMzEvMjAxOQkAAAABMHXTCbzPpt4I2Zw+vM+m3ggc</t>
  </si>
  <si>
    <t>Q0lRLjk5Mi5JUV9UT1RBTF9SRVYuSVFfRlktNwEAAAAIQgYAAgAAAAk0NTM0OS45NDMBCAAAAAUAAAABMQEAAAAKMTk2NzQ0NzkyNAMAAAADMTYwAgAAAAIyOAQAAAABMAcAAAAJNC8zMC8yMDI2CAAAAAkzLzMxLzIwMTgJAAAAATB10wm8z6beCNmcPrzPpt4IHENJUS45OTIuSVFfVE9UQUxfUkVWLklRX0ZZLTgBAAAACEIGAAIAAAAJNDMwMzQuNzMxAQgAAAAFAAAAATEBAAAACjE4OTIyNDU3NTIDAAAAAzE2MAIAAAACMjgEAAAAATAHAAAACTQvMzAvMjAyNggAAAAJMy8zMS8yMDE3CQAAAAEwddMJvM+m3gjZnD68z6beCBdDSVEuOTkyLklRX0VCSVQuSVFfRlktNgEAAAAIQgYAAgAAAAcxMDQ5LjkyAQgAAAAFAAAAATEBAAAACjIwNDAxNTU4MzMDAAAAAzE2MAIAAAADNDAwBAAAAAEwBwAAAAk0LzMwLzIwMjYIAAAACTMvMzEvMjAxOQkAAAABMHXTCbzPpt4I2Zw+vM+m3ggdQ0lRLjk5Mi5JUV9UT1RBTF9SRVYuSVFfRlktMTABAAAACEIGAAIAAAAJNDYyOTUuNTkzAQgAAAAFAAAAATEBAAAACjE3OTU1Mzg1OTkDAAAAAzE2MAIAAAACMjgEAAAAATAHAAAACTQvMzAvMjAyNggAAAAJMy8zMS8yMDE1CQAAAAEwddMJvM+m3gjZnD68z6beCBdDSVEuOTkyLklRX0VCSVQuSVFfRlktMAEAAAAIQgYAAgAAAAgyMDA2LjkwMgEIAAAABQAAAAExAQAAAAstMTkzNzY2NDg4MAMAAAADMTYwAgAAAAM0MDAEAAAAATAH</t>
  </si>
  <si>
    <t>AAAACTQvMzAvMjAyNggAAAAJMy8zMS8yMDI1CQAAAAEwddMJvM+m3gjZnD68z6beCBdDSVEuOTkyLklRX0VCSVQuSVFfRlktMQEAAAAIQgYAAgAAAAgxOTkwLjgyMgEIAAAABQAAAAExAQAAAAstMTkzNzY2NDg4OAMAAAADMTYwAgAAAAM0MDAEAAAAATAHAAAACTQvMzAvMjAyNggAAAAJMy8zMS8yMDI0CQAAAAEwddMJvM+m3gjZnD68z6beCBhDSVEuOTkyLklRX0VCSVQuSVFfRlktMTABAAAACEIGAAIAAAAHOTk2Ljg4OQEIAAAABQAAAAExAQAAAAoxNzk1NTM4NTk5AwAAAAMxNjACAAAAAzQwMAQAAAABMAcAAAAJNC8zMC8yMDI2CAAAAAkzLzMxLzIwMTUJAAAAATB10wm8z6beCNmcPrzPpt4IF0NJUS45OTIuSVFfRUJJVC5JUV9GWS0zAQAAAAhCBgACAAAACDI5NzEuMzE1AQgAAAAFAAAAATEBAAAACy0yMDM5NDYwNzAyAwAAAAMxNjACAAAAAzQwMAQAAAABMAcAAAAJNC8zMC8yMDI2CAAAAAkzLzMxLzIwMjIJAAAAATB10wm8z6beCMh1PrzPpt4IF0NJUS45OTIuSVFfRUJJVC5JUV9GWS00AQAAAAhCBgACAAAACDI0NDEuNzYxAQgAAAAFAAAAATEBAAAACy0yMDkxNTcwNzA2AwAAAAMxNjACAAAAAzQwMAQAAAABMAcAAAAJNC8zMC8yMDI2CAAAAAkzLzMxLzIwMjEJAAAAATB10wm8z6beCMh1PrzPpt4IF0NJUS45OTIuSVFfRUJJVC5JUV9GWS01AQAAAAhCBgACAAAACDE0MDAuMzgxAQgAAAAFAAAAATEB</t>
  </si>
  <si>
    <t>AAAACy0yMTQ2NjE2MzI1AwAAAAMxNjACAAAAAzQwMAQAAAABMAcAAAAJNC8zMC8yMDI2CAAAAAkzLzMxLzIwMjAJAAAAATB10wm8z6beCNmcPrzPpt4IGUNJUS45OTIuSVFfRUJJVERBLklRX0ZZLTMBAAAACEIGAAIAAAAIMzg4MC42NDYBCAAAAAUAAAABMQEAAAALLTIwMzk0NjA3MDIDAAAAAzE2MAIAAAAENDA1MQQAAAABMAcAAAAJNC8zMC8yMDI2CAAAAAkzLzMxLzIwMjIJAAAAATB10wm8z6beCNmcPrzPpt4IF0NJUS45OTIuSVFfRUJJVC5JUV9GWS03AQAAAAhCBgACAAAABzcxNC4zNjkBCAAAAAUAAAABMQEAAAAKMTk2NzQ0NzkyNAMAAAADMTYwAgAAAAM0MDAEAAAAATAHAAAACTQvMzAvMjAyNggAAAAJMy8zMS8yMDE4CQAAAAEwddMJvM+m3gjIdT68z6beCBdDSVEuOTkyLklRX0VCSVQuSVFfRlktOAEAAAAIQgYAAgAAAAc1ODEuNzQxAQgAAAAFAAAAATEBAAAACjE4OTIyNDU3NTIDAAAAAzE2MAIAAAADNDAwBAAAAAEwBwAAAAk0LzMwLzIwMjYIAAAACTMvMzEvMjAxNwkAAAABMHXTCbzPpt4IyHU+vM+m3ggXQ0lRLjk5Mi5JUV9FQklULklRX0ZZLTkBAAAACEIGAAIAAAAHNTY2Ljc1OQEIAAAABQAAAAExAQAAAAoxODQ2MTQ3OTgzAwAAAAMxNjACAAAAAzQwMAQAAAABMAcAAAAJNC8zMC8yMDI2CAAAAAkzLzMxLzIwMTYJAAAAATB10wm8z6beCMh1PrzPpt4IGUNJUS45OTIuSVFfRUJJVERBLklR</t>
  </si>
  <si>
    <t>X0ZZLTcBAAAACEIGAAIAAAAIMTM1Ny43NDIBCAAAAAUAAAABMQEAAAAKMTk2NzQ0NzkyNAMAAAADMTYwAgAAAAQ0MDUxBAAAAAEwBwAAAAk0LzMwLzIwMjYIAAAACTMvMzEvMjAxOAkAAAABMHXTCbzPpt4IyHU+vM+m3ggZQ0lRLjk5Mi5JUV9FQklUREEuSVFfRlktMAEAAAAIQgYAAgAAAAgzMDU5Ljc0MwEIAAAABQAAAAExAQAAAAstMTkzNzY2NDg4MAMAAAADMTYwAgAAAAQ0MDUxBAAAAAEwBwAAAAk0LzMwLzIwMjYIAAAACTMvMzEvMjAyNQkAAAABMHXTCbzPpt4IyHU+vM+m3ggZQ0lRLjk5Mi5JUV9FQklUREEuSVFfRlktMQEAAAAIQgYAAgAAAAgzMDI0LjYzMgEIAAAABQAAAAExAQAAAAstMTkzNzY2NDg4OAMAAAADMTYwAgAAAAQ0MDUxBAAAAAEwBwAAAAk0LzMwLzIwMjYIAAAACTMvMzEvMjAyNAkAAAABMHXTCbzPpt4IyHU+vM+m3ggZQ0lRLjk5Mi5JUV9FQklUREEuSVFfRlktMgEAAAAIQgYAAgAAAAgzNDA4LjYyOAEIAAAABQAAAAExAQAAAAstMTk4OTI4NzUxMgMAAAADMTYwAgAAAAQ0MDUxBAAAAAEwBwAAAAk0LzMwLzIwMjYIAAAACTMvMzEvMjAyMwkAAAABMHXTCbzPpt4IyHU+vM+m3ggVQ0lRLjk5Mi5JUV9OSS5JUV9GWS0wAQAAAAhCBgACAAAACDEzODQuNDQ1AQgAAAAFAAAAATEBAAAACy0xOTM3NjY0ODgwAwAAAAMxNjACAAAAAjE1BAAAAAEwBwAAAAk0LzMwLzIwMjYIAAAACTMvMzEv</t>
  </si>
  <si>
    <t>MjAyNQkAAAABMHXTCbzPpt4IyHU+vM+m3ggZQ0lRLjk5Mi5JUV9FQklUREEuSVFfRlktNAEAAAAIQgYAAgAAAAgzMjExLjE5OAEIAAAABQAAAAExAQAAAAstMjA5MTU3MDcwNgMAAAADMTYwAgAAAAQ0MDUxBAAAAAEwBwAAAAk0LzMwLzIwMjYIAAAACTMvMzEvMjAyMQkAAAABMHXTCbzPpt4IyHU+vM+m3ggZQ0lRLjk5Mi5JUV9FQklUREEuSVFfRlktNQEAAAAIQgYAAgAAAAgyMTE0LjU3OQEIAAAABQAAAAExAQAAAAstMjE0NjYxNjMyNQMAAAADMTYwAgAAAAQ0MDUxBAAAAAEwBwAAAAk0LzMwLzIwMjYIAAAACTMvMzEvMjAyMAkAAAABMHXTCbzPpt4IyHU+vM+m3ggZQ0lRLjk5Mi5JUV9FQklUREEuSVFfRlktNgEAAAAIQgYAAgAAAAgxNzE2LjQwMgEIAAAABQAAAAExAQAAAAoyMDQwMTU1ODMzAwAAAAMxNjACAAAABDQwNTEEAAAAATAHAAAACTQvMzAvMjAyNggAAAAJMy8zMS8yMDE5CQAAAAEwddMJvM+m3gjIdT68z6beCBVDSVEuOTkyLklRX05JLklRX0ZZLTQBAAAACEIGAAIAAAAIMTIxMC44MzkBCAAAAAUAAAABMQEAAAALLTIwOTE1NzA3MDYDAAAAAzE2MAIAAAACMTUEAAAAATAHAAAACTQvMzAvMjAyNggAAAAJMy8zMS8yMDIxCQAAAAEwddMJvM+m3gjIdT68z6beCBlDSVEuOTkyLklRX0VCSVREQS5JUV9GWS04AQAAAAhCBgACAAAACDExODEuNTc3AQgAAAAFAAAAATEBAAAACjE4OTIyNDU3NTID</t>
  </si>
  <si>
    <t>AAAAAzE2MAIAAAAENDA1MQQAAAABMAcAAAAJNC8zMC8yMDI2CAAAAAkzLzMxLzIwMTcJAAAAATB10wm8z6beCLxOPrzPpt4IGUNJUS45OTIuSVFfRUJJVERBLklRX0ZZLTkBAAAACEIGAAIAAAAIMTIwMi42NjUBCAAAAAUAAAABMQEAAAAKMTg0NjE0Nzk4MwMAAAADMTYwAgAAAAQ0MDUxBAAAAAEwBwAAAAk0LzMwLzIwMjYIAAAACTMvMzEvMjAxNgkAAAABMHXTCbzPpt4IvE4+vM+m3ggaQ0lRLjk5Mi5JUV9FQklUREEuSVFfRlktMTABAAAACEIGAAIAAAAIMTQxNC4xODcBCAAAAAUAAAABMQEAAAAKMTc5NTUzODU5OQMAAAADMTYwAgAAAAQ0MDUxBAAAAAEwBwAAAAk0LzMwLzIwMjYIAAAACTMvMzEvMjAxNQkAAAABMHXTCbzPpt4IyHU+vM+m3ggVQ0lRLjk5Mi5JUV9OSS5JUV9GWS04AQAAAAhCBgACAAAABzUzNi45NTYBCAAAAAUAAAABMQEAAAAKMTg5MjI0NTc1MgMAAAADMTYwAgAAAAIxNQQAAAABMAcAAAAJNC8zMC8yMDI2CAAAAAkzLzMxLzIwMTcJAAAAATB10wm8z6beCMh1PrzPpt4IFUNJUS45OTIuSVFfTkkuSVFfRlktMQEAAAAIQgYAAgAAAAgxMDEwLjUwNgEIAAAABQAAAAExAQAAAAstMTkzNzY2NDg4OAMAAAADMTYwAgAAAAIxNQQAAAABMAcAAAAJNC8zMC8yMDI2CAAAAAkzLzMxLzIwMjQJAAAAATB10wm8z6beCLxOPrzPpt4IFUNJUS45OTIuSVFfTkkuSVFfRlktMgEAAAAIQgYAAgAAAAgx</t>
  </si>
  <si>
    <t>NjA3LjcyMgEIAAAABQAAAAExAQAAAAstMTk4OTI4NzUxMgMAAAADMTYwAgAAAAIxNQQAAAABMAcAAAAJNC8zMC8yMDI2CAAAAAkzLzMxLzIwMjMJAAAAATB10wm8z6beCLxOPrzPpt4IFUNJUS45OTIuSVFfTkkuSVFfRlktMwEAAAAIQgYAAgAAAAgyMDI5LjgxOAEIAAAABQAAAAExAQAAAAstMjAzOTQ2MDcwMgMAAAADMTYwAgAAAAIxNQQAAAABMAcAAAAJNC8zMC8yMDI2CAAAAAkzLzMxLzIwMjIJAAAAATB10wm8z6beCLxOPrzPpt4IH0NJUS45OTIuSVFfSU5URVJFU1RfRVhQLklRX0ZZLTEBAAAACEIGAAIAAAAILTI3NS4yMDMBCAAAAAUAAAABMQEAAAALLTE5Mzc2NjQ4ODgDAAAAAzE2MAIAAAACODIEAAAAATAHAAAACTQvMzAvMjAyNggAAAAJMy8zMS8yMDI0CQAAAAEwddMJvM+m3gi8Tj68z6beCBVDSVEuOTkyLklRX05JLklRX0ZZLTUBAAAACEIGAAIAAAAHNzE4Ljg1MQEIAAAABQAAAAExAQAAAAstMjE0NjYxNjMyNQMAAAADMTYwAgAAAAIxNQQAAAABMAcAAAAJNC8zMC8yMDI2CAAAAAkzLzMxLzIwMjAJAAAAATB10wm8z6beCLxOPrzPpt4IFUNJUS45OTIuSVFfTkkuSVFfRlktNgEAAAAIQgYAAgAAAAc2NTAuMTAzAQgAAAAFAAAAATEBAAAACjIwNDAxNTU4MzMDAAAAAzE2MAIAAAACMTUEAAAAATAHAAAACTQvMzAvMjAyNggAAAAJMy8zMS8yMDE5CQAAAAEwddMJvM+m3gi8Tj68z6beCBVDSVEu</t>
  </si>
  <si>
    <t>OTkyLklRX05JLklRX0ZZLTcBAAAACEIGAAIAAAAILTEzNS42NDMBCAAAAAUAAAABMQEAAAAKMTk2NzQ0NzkyNAMAAAADMTYwAgAAAAIxNQQAAAABMAcAAAAJNC8zMC8yMDI2CAAAAAkzLzMxLzIwMTgJAAAAATB10wm8z6beCLxOPrzPpt4IH0NJUS45OTIuSVFfSU5URVJFU1RfRVhQLklRX0ZZLTUBAAAACEIGAAIAAAAILTI2MS43MDIBCAAAAAUAAAABMQEAAAALLTIxNDY2MTYzMjUDAAAAAzE2MAIAAAACODIEAAAAATAHAAAACTQvMzAvMjAyNggAAAAJMy8zMS8yMDIwCQAAAAEwddMJvM+m3gi8Tj68z6beCBVDSVEuOTkyLklRX05JLklRX0ZZLTkBAAAACEIGAAIAAAAILTEyOC4xNDYBCAAAAAUAAAABMQEAAAAKMTg0NjE0Nzk4MwMAAAADMTYwAgAAAAIxNQQAAAABMAcAAAAJNC8zMC8yMDI2CAAAAAkzLzMxLzIwMTYJAAAAATB10wm8z6beCLxOPrzPpt4IFkNJUS45OTIuSVFfTkkuSVFfRlktMTABAAAACEIGAAIAAAAHODI4LjcxNQEIAAAABQAAAAExAQAAAAoxNzk1NTM4NTk5AwAAAAMxNjACAAAAAjE1BAAAAAEwBwAAAAk0LzMwLzIwMjYIAAAACTMvMzEvMjAxNQkAAAABMHXTCbzPpt4IvE4+vM+m3ggfQ0lRLjk5Mi5JUV9JTlRFUkVTVF9FWFAuSVFfRlktMAEAAAAIQgYAAgAAAAgtMjkzLjU5NQEIAAAABQAAAAExAQAAAAstMTkzNzY2NDg4MAMAAAADMTYwAgAAAAI4MgQAAAABMAcAAAAJNC8zMC8yMDI2</t>
  </si>
  <si>
    <t>CAAAAAkzLzMxLzIwMjUJAAAAATB10wm8z6beCLxOPrzPpt4IH0NJUS45OTIuSVFfSU5URVJFU1RfRVhQLklRX0ZZLTkBAAAACEIGAAIAAAAILTE3OC42MTgBCAAAAAUAAAABMQEAAAAKMTg0NjE0Nzk4MwMAAAADMTYwAgAAAAI4MgQAAAABMAcAAAAJNC8zMC8yMDI2CAAAAAkzLzMxLzIwMTYJAAAAATB10wm8z6beCLxOPrzPpt4IH0NJUS45OTIuSVFfSU5URVJFU1RfRVhQLklRX0ZZLTIBAAAACEIGAAIAAAAILTMxNi4xMTIBCAAAAAUAAAABMQEAAAALLTE5ODkyODc1MTIDAAAAAzE2MAIAAAACODIEAAAAATAHAAAACTQvMzAvMjAyNggAAAAJMy8zMS8yMDIzCQAAAAEwddMJvM+m3gioJz68z6beCB9DSVEuOTkyLklRX0lOVEVSRVNUX0VYUC5JUV9GWS0zAQAAAAhCBgACAAAACC0yNTguNTUzAQgAAAAFAAAAATEBAAAACy0yMDM5NDYwNzAyAwAAAAMxNjACAAAAAjgyBAAAAAEwBwAAAAk0LzMwLzIwMjYIAAAACTMvMzEvMjAyMgkAAAABMHXTCbzPpt4IqCc+vM+m3ggfQ0lRLjk5Mi5JUV9JTlRFUkVTVF9FWFAuSVFfRlktNAEAAAAIQgYAAgAAAAgtMjY3LjAxNQEIAAAABQAAAAExAQAAAAstMjA5MTU3MDcwNgMAAAADMTYwAgAAAAI4MgQAAAABMAcAAAAJNC8zMC8yMDI2CAAAAAkzLzMxLzIwMjEJAAAAATB10wm8z6beCLxOPrzPpt4IGENJUS45OTIuSVFfREFfQ0YuSVFfRlktMgEAAAAIQgYAAgAAAAgxMTE1</t>
  </si>
  <si>
    <t>LjY5OAEIAAAABQAAAAExAQAAAAstMTk4OTI4NzUxMgMAAAADMTYwAgAAAAQyMTYwBAAAAAEwBwAAAAk0LzMwLzIwMjYIAAAACTMvMzEvMjAyMwkAAAABMHXTCbzPpt4IvE4+vM+m3ggfQ0lRLjk5Mi5JUV9JTlRFUkVTVF9FWFAuSVFfRlktNgEAAAAIQgYAAgAAAAgtMjM3LjM5OAEIAAAABQAAAAExAQAAAAoyMDQwMTU1ODMzAwAAAAMxNjACAAAAAjgyBAAAAAEwBwAAAAk0LzMwLzIwMjYIAAAACTMvMzEvMjAxOQkAAAABMHXTCbzPpt4IqCc+vM+m3ggfQ0lRLjk5Mi5JUV9JTlRFUkVTVF9FWFAuSVFfRlktNwEAAAAIQgYAAgAAAAgtMTg3LjMwNAEIAAAABQAAAAExAQAAAAoxOTY3NDQ3OTI0AwAAAAMxNjACAAAAAjgyBAAAAAEwBwAAAAk0LzMwLzIwMjYIAAAACTMvMzEvMjAxOAkAAAABMHXTCbzPpt4IqCc+vM+m3ggfQ0lRLjk5Mi5JUV9JTlRFUkVTVF9FWFAuSVFfRlktOAEAAAAIQgYAAgAAAAgtMTk4LjIxNQEIAAAABQAAAAExAQAAAAoxODkyMjQ1NzUyAwAAAAMxNjACAAAAAjgyBAAAAAEwBwAAAAk0LzMwLzIwMjYIAAAACTMvMzEvMjAxNwkAAAABMHXTCbzPpt4IqCc+vM+m3ggYQ0lRLjk5Mi5JUV9EQV9DRi5JUV9GWS02AQAAAAhCBgACAAAABzY2Ni40ODIBCAAAAAUAAAABMQEAAAAKMjA0MDE1NTgzMwMAAAADMTYwAgAAAAQyMTYwBAAAAAEwBwAAAAk0LzMwLzIwMjYIAAAACTMvMzEvMjAxOQkAAAAB</t>
  </si>
  <si>
    <t>MHXTCbzPpt4IqCc+vM+m3gggQ0lRLjk5Mi5JUV9JTlRFUkVTVF9FWFAuSVFfRlktMTABAAAACEIGAAIAAAAHLTExNy4yNQEIAAAABQAAAAExAQAAAAoxNzk1NTM4NTk5AwAAAAMxNjACAAAAAjgyBAAAAAEwBwAAAAk0LzMwLzIwMjYIAAAACTMvMzEvMjAxNQkAAAABMHXTCbzPpt4IqCc+vM+m3ggYQ0lRLjk5Mi5JUV9EQV9DRi5JUV9GWS0wAQAAAAhCBgACAAAACDExNjguODA2AQgAAAAFAAAAATEBAAAACy0xOTM3NjY0ODgwAwAAAAMxNjACAAAABDIxNjAEAAAAATAHAAAACTQvMzAvMjAyNggAAAAJMy8zMS8yMDI1CQAAAAEwddMJvM+m3gioJz68z6beCBhDSVEuOTkyLklRX0RBX0NGLklRX0ZZLTEBAAAACEIGAAIAAAAIMTE4NS43MDkBCAAAAAUAAAABMQEAAAALLTE5Mzc2NjQ4ODgDAAAAAzE2MAIAAAAEMjE2MAQAAAABMAcAAAAJNC8zMC8yMDI2CAAAAAkzLzMxLzIwMjQJAAAAATB10wm8z6beCKgnPrzPpt4IGUNJUS45OTIuSVFfREFfQ0YuSVFfRlktMTABAAAACEIGAAIAAAAHNDE3LjI5OAEIAAAABQAAAAExAQAAAAoxNzk1NTM4NTk5AwAAAAMxNjACAAAABDIxNjAEAAAAATAHAAAACTQvMzAvMjAyNggAAAAJMy8zMS8yMDE1CQAAAAEwddMJvM+m3gioJz68z6beCBhDSVEuOTkyLklRX0RBX0NGLklRX0ZZLTMBAAAACEIGAAIAAAAIMTA0Ni4zMjQBCAAAAAUAAAABMQEAAAALLTIwMzk0NjA3MDIDAAAA</t>
  </si>
  <si>
    <t>AzE2MAIAAAAEMjE2MAQAAAABMAcAAAAJNC8zMC8yMDI2CAAAAAkzLzMxLzIwMjIJAAAAATB10wm8z6beCKgnPrzPpt4IGENJUS45OTIuSVFfREFfQ0YuSVFfRlktNAEAAAAIQgYAAgAAAAc4NjkuMjMyAQgAAAAFAAAAATEBAAAACy0yMDkxNTcwNzA2AwAAAAMxNjACAAAABDIxNjAEAAAAATAHAAAACTQvMzAvMjAyNggAAAAJMy8zMS8yMDIxCQAAAAEwddMJvM+m3gioJz68z6beCBhDSVEuOTkyLklRX0RBX0NGLklRX0ZZLTUBAAAACEIGAAIAAAAHODE3Ljc5OAEIAAAABQAAAAExAQAAAAstMjE0NjYxNjMyNQMAAAADMTYwAgAAAAQyMTYwBAAAAAEwBwAAAAk0LzMwLzIwMjYIAAAACTMvMzEvMjAyMAkAAAABMHXTCbzPpt4IqCc+vM+m3ggZQ0lRLjk5Mi5JUV9SRF9FWFAuSVFfRlktMwEAAAAIQgYAAgAAAAgyMDczLjQ2MQEIAAAABQAAAAExAQAAAAstMjAzOTQ2MDcwMgMAAAADMTYwAgAAAAMxMDAEAAAAATAHAAAACTQvMzAvMjAyNggAAAAJMy8zMS8yMDIyCQAAAAEwddMJvM+m3gioJz68z6beCBhDSVEuOTkyLklRX0RBX0NGLklRX0ZZLTcBAAAACEIGAAIAAAAHNjQzLjM3MwEIAAAABQAAAAExAQAAAAoxOTY3NDQ3OTI0AwAAAAMxNjACAAAABDIxNjAEAAAAATAHAAAACTQvMzAvMjAyNggAAAAJMy8zMS8yMDE4CQAAAAEwhPoJvM+m3gg8AD68z6beCBhDSVEuOTkyLklRX0RBX0NGLklRX0ZZLTgBAAAACEIG</t>
  </si>
  <si>
    <t>AAIAAAAHNTk5LjgzNgEIAAAABQAAAAExAQAAAAoxODkyMjQ1NzUyAwAAAAMxNjACAAAABDIxNjAEAAAAATAHAAAACTQvMzAvMjAyNggAAAAJMy8zMS8yMDE3CQAAAAEwhPoJvM+m3gg8AD68z6beCBhDSVEuOTkyLklRX0RBX0NGLklRX0ZZLTkBAAAACEIGAAIAAAAHNjM1LjkwNgEIAAAABQAAAAExAQAAAAoxODQ2MTQ3OTgzAwAAAAMxNjACAAAABDIxNjAEAAAAATAHAAAACTQvMzAvMjAyNggAAAAJMy8zMS8yMDE2CQAAAAEwhPoJvM+m3gioJz68z6beCBlDSVEuOTkyLklRX1JEX0VYUC5JUV9GWS03AQAAAAhCBgACAAAACDEyNzMuNzI5AQgAAAAFAAAAATEBAAAACjE5Njc0NDc5MjQDAAAAAzE2MAIAAAADMTAwBAAAAAEwBwAAAAk0LzMwLzIwMjYIAAAACTMvMzEvMjAxOAkAAAABMIT6CbzPpt4IqCc+vM+m3ggZQ0lRLjk5Mi5JUV9SRF9FWFAuSVFfRlktMAEAAAAIQgYAAgAAAAgyMjg4LjIwNAEIAAAABQAAAAExAQAAAAstMTkzNzY2NDg4MAMAAAADMTYwAgAAAAMxMDAEAAAAATAHAAAACTQvMzAvMjAyNggAAAAJMy8zMS8yMDI1CQAAAAEwhPoJvM+m3gg8AD68z6beCBlDSVEuOTkyLklRX1JEX0VYUC5JUV9GWS0xAQAAAAhCBgACAAAACDIwMjcuNTMyAQgAAAAFAAAAATEBAAAACy0xOTM3NjY0ODg4AwAAAAMxNjACAAAAAzEwMAQAAAABMAcAAAAJNC8zMC8yMDI2CAAAAAkzLzMxLzIwMjQJAAAAATCE+gm8</t>
  </si>
  <si>
    <t>z6beCDwAPrzPpt4IGUNJUS45OTIuSVFfUkRfRVhQLklRX0ZZLTIBAAAACEIGAAIAAAAIMjE5NS4zMjkBCAAAAAUAAAABMQEAAAALLTE5ODkyODc1MTIDAAAAAzE2MAIAAAADMTAwBAAAAAEwBwAAAAk0LzMwLzIwMjYIAAAACTMvMzEvMjAyMwkAAAABMIT6CbzPpt4IPAA+vM+m3ggcQ0lRLjk5Mi5JUV9SRF9FWFBfRk4uSVFfRlktMAEAAAAIQgYAAgAAAAgyMjg4LjIwNAEIAAAABQAAAAExAQAAAAstMTkzNzY2NDg4MAMAAAADMTYwAgAAAAQzMTY4BAAAAAEwBwAAAAk0LzMwLzIwMjYIAAAACTMvMzEvMjAyNQkAAAABMIT6CbzPpt4IPAA+vM+m3ggZQ0lRLjk5Mi5JUV9SRF9FWFAuSVFfRlktNAEAAAAIQgYAAgAAAAgxNDUzLjkxMgEIAAAABQAAAAExAQAAAAstMjA5MTU3MDcwNgMAAAADMTYwAgAAAAMxMDAEAAAAATAHAAAACTQvMzAvMjAyNggAAAAJMy8zMS8yMDIxCQAAAAEwhPoJvM+m3gg8AD68z6beCBlDSVEuOTkyLklRX1JEX0VYUC5JUV9GWS01AQAAAAhCBgACAAAACDEzMzUuNzQ0AQgAAAAFAAAAATEBAAAACy0yMTQ2NjE2MzI1AwAAAAMxNjACAAAAAzEwMAQAAAABMAcAAAAJNC8zMC8yMDI2CAAAAAkzLzMxLzIwMjAJAAAAATCE+gm8z6beCDwAPrzPpt4IGUNJUS45OTIuSVFfUkRfRVhQLklRX0ZZLTYBAAAACEIGAAIAAAAIMTI2Ni4zNDEBCAAAAAUAAAABMQEAAAAKMjA0MDE1NTgzMwMAAAADMTYw</t>
  </si>
  <si>
    <t>AgAAAAMxMDAEAAAAATAHAAAACTQvMzAvMjAyNggAAAAJMy8zMS8yMDE5CQAAAAEwhPoJvM+m3gg8AD68z6beCBxDSVEuOTkyLklRX1JEX0VYUF9GTi5JUV9GWS00AQAAAAhCBgACAAAACDE0NTMuOTEyAQgAAAAFAAAAATEBAAAACy0yMDkxNTcwNzA2AwAAAAMxNjACAAAABDMxNjgEAAAAATAHAAAACTQvMzAvMjAyNggAAAAJMy8zMS8yMDIxCQAAAAEwhPoJvM+m3gg8AD68z6beCBlDSVEuOTkyLklRX1JEX0VYUC5JUV9GWS04AQAAAAhCBgACAAAACDEzNjEuNjkxAQgAAAAFAAAAATEBAAAACjE4OTIyNDU3NTIDAAAAAzE2MAIAAAADMTAwBAAAAAEwBwAAAAk0LzMwLzIwMjYIAAAACTMvMzEvMjAxNwkAAAABMIT6CbzPpt4IPAA+vM+m3ggZQ0lRLjk5Mi5JUV9SRF9FWFAuSVFfRlktOQEAAAAIQgYAAgAAAAcxNDkxLjM3AQgAAAAFAAAAATEBAAAACjE4NDYxNDc5ODMDAAAAAzE2MAIAAAADMTAwBAAAAAEwBwAAAAk0LzMwLzIwMjYIAAAACTMvMzEvMjAxNgkAAAABMIT6CbzPpt4IPAA+vM+m3ggaQ0lRLjk5Mi5JUV9SRF9FWFAuSVFfRlktMTABAAAACEIGAAIAAAAIMTIyMC45MTkBCAAAAAUAAAABMQEAAAAKMTc5NTUzODU5OQMAAAADMTYwAgAAAAMxMDAEAAAAATAHAAAACTQvMzAvMjAyNggAAAAJMy8zMS8yMDE1CQAAAAEwhPoJvM+m3gg8AD68z6beCBxDSVEuOTkyLklRX1JEX0VYUF9GTi5JUV9GWS04AQAA</t>
  </si>
  <si>
    <t>AAhCBgACAAAACDEzNjEuNjkxAQgAAAAFAAAAATEBAAAACjE4OTIyNDU3NTIDAAAAAzE2MAIAAAAEMzE2OAQAAAABMAcAAAAJNC8zMC8yMDI2CAAAAAkzLzMxLzIwMTcJAAAAATCE+gm8z6beCDwAPrzPpt4IHENJUS45OTIuSVFfUkRfRVhQX0ZOLklRX0ZZLTEBAAAACEIGAAIAAAAIMjAyNy41MzIBCAAAAAUAAAABMQEAAAALLTE5Mzc2NjQ4ODgDAAAAAzE2MAIAAAAEMzE2OAQAAAABMAcAAAAJNC8zMC8yMDI2CAAAAAkzLzMxLzIwMjQJAAAAATCE+gm8z6beCCjZPbzPpt4IHENJUS45OTIuSVFfUkRfRVhQX0ZOLklRX0ZZLTIBAAAACEIGAAIAAAAIMjE5NS4zMjkBCAAAAAUAAAABMQEAAAALLTE5ODkyODc1MTIDAAAAAzE2MAIAAAAEMzE2OAQAAAABMAcAAAAJNC8zMC8yMDI2CAAAAAkzLzMxLzIwMjMJAAAAATCE+gm8z6beCCjZPbzPpt4IHENJUS45OTIuSVFfUkRfRVhQX0ZOLklRX0ZZLTMBAAAACEIGAAIAAAAIMjA3My40NjEBCAAAAAUAAAABMQEAAAALLTIwMzk0NjA3MDIDAAAAAzE2MAIAAAAEMzE2OAQAAAABMAcAAAAJNC8zMC8yMDI2CAAAAAkzLzMxLzIwMjIJAAAAATCE+gm8z6beCDwAPrzPpt4IGENJUS45OTIuSVFfQ0FQRVguSVFfRlktMQEAAAAIQgYAAgAAAAgtNzI5Ljc3NwEIAAAABQAAAAExAQAAAAstMTkzNzY2NDg4OAMAAAADMTYwAgAAAAQyMDIxBAAAAAEwBwAAAAk0LzMwLzIwMjYIAAAA</t>
  </si>
  <si>
    <t>CTMvMzEvMjAyNAkAAAABMIT6CbzPpt4IPAA+vM+m3ggcQ0lRLjk5Mi5JUV9SRF9FWFBfRk4uSVFfRlktNQEAAAAIQgYAAgAAAAgxMzM1Ljc0NAEIAAAABQAAAAExAQAAAAstMjE0NjYxNjMyNQMAAAADMTYwAgAAAAQzMTY4BAAAAAEwBwAAAAk0LzMwLzIwMjYIAAAACTMvMzEvMjAyMAkAAAABMIT6CbzPpt4IKNk9vM+m3ggcQ0lRLjk5Mi5JUV9SRF9FWFBfRk4uSVFfRlktNgEAAAAIQgYAAgAAAAgxMjY2LjM0MQEIAAAABQAAAAExAQAAAAoyMDQwMTU1ODMzAwAAAAMxNjACAAAABDMxNjgEAAAAATAHAAAACTQvMzAvMjAyNggAAAAJMy8zMS8yMDE5CQAAAAEwhPoJvM+m3ggo2T28z6beCBxDSVEuOTkyLklRX1JEX0VYUF9GTi5JUV9GWS03AQAAAAhCBgACAAAACDEyNzMuNzI5AQgAAAAFAAAAATEBAAAACjE5Njc0NDc5MjQDAAAAAzE2MAIAAAAEMzE2OAQAAAABMAcAAAAJNC8zMC8yMDI2CAAAAAkzLzMxLzIwMTgJAAAAATCE+gm8z6beCCjZPbzPpt4IGENJUS45OTIuSVFfQ0FQRVguSVFfRlktNQEAAAAIQgYAAgAAAAgtNjY0LjIxNQEIAAAABQAAAAExAQAAAAstMjE0NjYxNjMyNQMAAAADMTYwAgAAAAQyMDIxBAAAAAEwBwAAAAk0LzMwLzIwMjYIAAAACTMvMzEvMjAyMAkAAAABMIT6CbzPpt4IKNk9vM+m3ggcQ0lRLjk5Mi5JUV9SRF9FWFBfRk4uSVFfRlktOQEAAAAIQgYAAgAAAAcxNDkxLjM3AQgAAAAF</t>
  </si>
  <si>
    <t>AAAAATEBAAAACjE4NDYxNDc5ODMDAAAAAzE2MAIAAAAEMzE2OAQAAAABMAcAAAAJNC8zMC8yMDI2CAAAAAkzLzMxLzIwMTYJAAAAATCE+gm8z6beCCjZPbzPpt4IHUNJUS45OTIuSVFfUkRfRVhQX0ZOLklRX0ZZLTEwAQAAAAhCBgACAAAACDEyMjAuOTE5AQgAAAAFAAAAATEBAAAACjE3OTU1Mzg1OTkDAAAAAzE2MAIAAAAEMzE2OAQAAAABMAcAAAAJNC8zMC8yMDI2CAAAAAkzLzMxLzIwMTUJAAAAATCE+gm8z6beCCjZPbzPpt4IGENJUS45OTIuSVFfQ0FQRVguSVFfRlktMAEAAAAIQgYAAgAAAAgtNjY2LjQ3OAEIAAAABQAAAAExAQAAAAstMTkzNzY2NDg4MAMAAAADMTYwAgAAAAQyMDIxBAAAAAEwBwAAAAk0LzMwLzIwMjYIAAAACTMvMzEvMjAyNQkAAAABMIT6CbzPpt4IKNk9vM+m3ggYQ0lRLjk5Mi5JUV9DQVBFWC5JUV9GWS05AQAAAAhCBgACAAAACC02MDMuODE2AQgAAAAFAAAAATEBAAAACjE4NDYxNDc5ODMDAAAAAzE2MAIAAAAEMjAyMQQAAAABMAcAAAAJNC8zMC8yMDI2CAAAAAkzLzMxLzIwMTYJAAAAATCE+gm8z6beCCjZPbzPpt4IGENJUS45OTIuSVFfQ0FQRVguSVFfRlktMgEAAAAIQgYAAgAAAAktMTExNy4wNjIBCAAAAAUAAAABMQEAAAALLTE5ODkyODc1MTIDAAAAAzE2MAIAAAAEMjAyMQQAAAABMAcAAAAJNC8zMC8yMDI2CAAAAAkzLzMxLzIwMjMJAAAAATCE+gm8z6beCCjZPbzPpt4I</t>
  </si>
  <si>
    <t>GENJUS45OTIuSVFfQ0FQRVguSVFfRlktMwEAAAAIQgYAAgAAAAgtOTk4LjMwNAEIAAAABQAAAAExAQAAAAstMjAzOTQ2MDcwMgMAAAADMTYwAgAAAAQyMDIxBAAAAAEwBwAAAAk0LzMwLzIwMjYIAAAACTMvMzEvMjAyMgkAAAABMIT6CbzPpt4IKNk9vM+m3ggYQ0lRLjk5Mi5JUV9DQVBFWC5JUV9GWS00AQAAAAhCBgACAAAACC02OTcuMDA0AQgAAAAFAAAAATEBAAAACy0yMDkxNTcwNzA2AwAAAAMxNjACAAAABDIwMjEEAAAAATAHAAAACTQvMzAvMjAyNggAAAAJMy8zMS8yMDIxCQAAAAEwhPoJvM+m3ggo2T28z6beCCtDSVEuOTkyLklRX09QRVJBVElOR19MRUFTRV9QQVlNRU5UUy5JUV9GWS0yAQAAAAhCBgACAAAACC0xNjguNjM4AQgAAAAFAAAAATEBAAAACy0xOTg5Mjg3NTEyAwAAAAMxNjACAAAABTQ4MzU5BAAAAAEwBwAAAAk0LzMwLzIwMjYIAAAACTMvMzEvMjAyMwkAAAABMIT6CbzPpt4IKNk9vM+m3ggYQ0lRLjk5Mi5JUV9DQVBFWC5JUV9GWS02AQAAAAhCBgACAAAACC01MzcuNzI3AQgAAAAFAAAAATEBAAAACjIwNDAxNTU4MzMDAAAAAzE2MAIAAAAEMjAyMQQAAAABMAcAAAAJNC8zMC8yMDI2CAAAAAkzLzMxLzIwMTkJAAAAATCE+gm8z6beCB+yPbzPpt4IGENJUS45OTIuSVFfQ0FQRVguSVFfRlktNwEAAAAIQgYAAgAAAAgtNTAzLjI5NgEIAAAABQAAAAExAQAAAAoxOTY3NDQ3OTI0AwAAAAMx</t>
  </si>
  <si>
    <t>NjACAAAABDIwMjEEAAAAATAHAAAACTQvMzAvMjAyNggAAAAJMy8zMS8yMDE4CQAAAAEwhPoJvM+m3ggfsj28z6beCBhDSVEuOTkyLklRX0NBUEVYLklRX0ZZLTgBAAAACEIGAAIAAAAILTQ2My41NTgBCAAAAAUAAAABMQEAAAAKMTg5MjI0NTc1MgMAAAADMTYwAgAAAAQyMDIxBAAAAAEwBwAAAAk0LzMwLzIwMjYIAAAACTMvMzEvMjAxNwkAAAABMIT6CbzPpt4IH7I9vM+m3ggrQ0lRLjk5Mi5JUV9PUEVSQVRJTkdfTEVBU0VfUEFZTUVOVFMuSVFfRlktNgEAAAAIQgYAAwAAAAAAhPoJvM+m3ggfsj28z6beCBlDSVEuOTkyLklRX0NBUEVYLklRX0ZZLTEwAQAAAAhCBgACAAAACC02MDYuMTA1AQgAAAAFAAAAATEBAAAACjE3OTU1Mzg1OTkDAAAAAzE2MAIAAAAEMjAyMQQAAAABMAcAAAAJNC8zMC8yMDI2CAAAAAkzLzMxLzIwMTUJAAAAATCE+gm8z6beCB+yPbzPpt4IK0NJUS45OTIuSVFfT1BFUkFUSU5HX0xFQVNFX1BBWU1FTlRTLklRX0ZZLTABAAAACEIGAAIAAAAILTEyMS4wNzEBCAAAAAUAAAABMQEAAAALLTE5Mzc2NjQ4ODADAAAAAzE2MAIAAAAFNDgzNTkEAAAAATAHAAAACTQvMzAvMjAyNggAAAAJMy8zMS8yMDI1CQAAAAEwhPoJvM+m3ggfsj28z6beCCtDSVEuOTkyLklRX09QRVJBVElOR19MRUFTRV9QQVlNRU5UUy5JUV9GWS0xAQAAAAhCBgACAAAACC0xMzQuNTQ1AQgAAAAFAAAAATEBAAAACy0x</t>
  </si>
  <si>
    <t>OTM3NjY0ODg4AwAAAAMxNjACAAAABTQ4MzU5BAAAAAEwBwAAAAk0LzMwLzIwMjYIAAAACTMvMzEvMjAyNAkAAAABMIT6CbzPpt4IH7I9vM+m3ggsQ0lRLjk5Mi5JUV9PUEVSQVRJTkdfTEVBU0VfUEFZTUVOVFMuSVFfRlktMTABAAAACEIGAAMAAAAAAIT6CbzPpt4IH7I9vM+m3ggrQ0lRLjk5Mi5JUV9PUEVSQVRJTkdfTEVBU0VfUEFZTUVOVFMuSVFfRlktMwEAAAAIQgYAAgAAAAgtMTQ2LjQ4NQEIAAAABQAAAAExAQAAAAstMjAzOTQ2MDcwMgMAAAADMTYwAgAAAAU0ODM1OQQAAAABMAcAAAAJNC8zMC8yMDI2CAAAAAkzLzMxLzIwMjIJAAAAATCE+gm8z6beCB+yPbzPpt4IK0NJUS45OTIuSVFfT1BFUkFUSU5HX0xFQVNFX1BBWU1FTlRTLklRX0ZZLTQBAAAACEIGAAIAAAAHLTE2NS4xNQEIAAAABQAAAAExAQAAAAstMjA5MTU3MDcwNgMAAAADMTYwAgAAAAU0ODM1OQQAAAABMAcAAAAJNC8zMC8yMDI2CAAAAAkzLzMxLzIwMjEJAAAAATCE+gm8z6beCB+yPbzPpt4IK0NJUS45OTIuSVFfT1BFUkFUSU5HX0xFQVNFX1BBWU1FTlRTLklRX0ZZLTUBAAAACEIGAAIAAAAILTEzMC45OTMBCAAAAAUAAAABMQEAAAALLTIxNDY2MTYzMjUDAAAAAzE2MAIAAAAFNDgzNTkEAAAAATAHAAAACTQvMzAvMjAyNggAAAAJMy8zMS8yMDIwCQAAAAEwhPoJvM+m3ggfsj28z6beCBtDSVEuOTkyLklRX0VCVF9FWENMLklRX0ZZ</t>
  </si>
  <si>
    <t>LTMBAAAACEIGAAIAAAAIMjc2OS45OTYBCAAAAAUAAAABMQEAAAALLTIwMzk0NjA3MDIDAAAAAzE2MAIAAAABNAQAAAABMAcAAAAJNC8zMC8yMDI2CAAAAAkzLzMxLzIwMjIJAAAAATCE+gm8z6beCB+yPbzPpt4IK0NJUS45OTIuSVFfT1BFUkFUSU5HX0xFQVNFX1BBWU1FTlRTLklRX0ZZLTcBAAAACEIGAAMAAAAAAIT6CbzPpt4IDIs9vM+m3ggrQ0lRLjk5Mi5JUV9PUEVSQVRJTkdfTEVBU0VfUEFZTUVOVFMuSVFfRlktOAEAAAAIQgYAAwAAAAAAhPoJvM+m3ggMiz28z6beCCtDSVEuOTkyLklRX09QRVJBVElOR19MRUFTRV9QQVlNRU5UUy5JUV9GWS05AQAAAAhCBgADAAAAAACE+gm8z6beCB+yPbzPpt4IG0NJUS45OTIuSVFfRUJUX0VYQ0wuSVFfRlktNwEAAAAIQgYAAgAAAAYyMDMuMDQBCAAAAAUAAAABMQEAAAAKMTk2NzQ0NzkyNAMAAAADMTYwAgAAAAE0BAAAAAEwBwAAAAk0LzMwLzIwMjYIAAAACTMvMzEvMjAxOAkAAAABMIT6CbzPpt4IH7I9vM+m3ggbQ0lRLjk5Mi5JUV9FQlRfRVhDTC5JUV9GWS0wAQAAAAhCBgACAAAACDE0ODQuNDY2AQgAAAAFAAAAATEBAAAACy0xOTM3NjY0ODgwAwAAAAMxNjACAAAAATQEAAAAATAHAAAACTQvMzAvMjAyNggAAAAJMy8zMS8yMDI1CQAAAAEwhPoJvM+m3ggMiz28z6beCBtDSVEuOTkyLklRX0VCVF9FWENMLklRX0ZZLTEBAAAACEIGAAIAAAAIMTM2NC44NzIB</t>
  </si>
  <si>
    <t>CAAAAAUAAAABMQEAAAALLTE5Mzc2NjQ4ODgDAAAAAzE2MAIAAAABNAQAAAABMAcAAAAJNC8zMC8yMDI2CAAAAAkzLzMxLzIwMjQJAAAAATCE+gm8z6beCAyLPbzPpt4IG0NJUS45OTIuSVFfRUJUX0VYQ0wuSVFfRlktMgEAAAAIQgYAAgAAAAgyMTM2LjAyMwEIAAAABQAAAAExAQAAAAstMTk4OTI4NzUxMgMAAAADMTYwAgAAAAE0BAAAAAEwBwAAAAk0LzMwLzIwMjYIAAAACTMvMzEvMjAyMwkAAAABMIT6CbzPpt4IDIs9vM+m3ggaQ0lRLjk5Mi5JUV9JTkNfVEFYLklRX0ZZLTABAAAACEIGAAIAAAAGMTguOTE4AQgAAAAFAAAAATEBAAAACy0xOTM3NjY0ODgwAwAAAAMxNjACAAAAAjc1BAAAAAEwBwAAAAk0LzMwLzIwMjYIAAAACTMvMzEvMjAyNQkAAAABMIT6CbzPpt4IDIs9vM+m3ggbQ0lRLjk5Mi5JUV9FQlRfRVhDTC5JUV9GWS00AQAAAAhCBgACAAAACDE2NjQuMTk0AQgAAAAFAAAAATEBAAAACy0yMDkxNTcwNzA2AwAAAAMxNjACAAAAATQEAAAAATAHAAAACTQvMzAvMjAyNggAAAAJMy8zMS8yMDIxCQAAAAEwhPoJvM+m3ggMiz28z6beCBtDSVEuOTkyLklRX0VCVF9FWENMLklRX0ZZLTUBAAAACEIGAAIAAAAIMTAyOS4xNzQBCAAAAAUAAAABMQEAAAALLTIxNDY2MTYzMjUDAAAAAzE2MAIAAAABNAQAAAABMAcAAAAJNC8zMC8yMDI2CAAAAAkzLzMxLzIwMjAJAAAAATCE+gm8z6beCAyLPbzPpt4IG0NJ</t>
  </si>
  <si>
    <t>US45OTIuSVFfRUJUX0VYQ0wuSVFfRlktNgEAAAAIQgYAAgAAAAc4NjEuNjM0AQgAAAAFAAAAATEBAAAACjIwNDAxNTU4MzMDAAAAAzE2MAIAAAABNAQAAAABMAcAAAAJNC8zMC8yMDI2CAAAAAkzLzMxLzIwMTkJAAAAATCE+gm8z6beCAyLPbzPpt4IGkNJUS45OTIuSVFfSU5DX1RBWC5JUV9GWS00AQAAAAhCBgACAAAABzQ2MS4xOTkBCAAAAAUAAAABMQEAAAALLTIwOTE1NzA3MDYDAAAAAzE2MAIAAAACNzUEAAAAATAHAAAACTQvMzAvMjAyNggAAAAJMy8zMS8yMDIxCQAAAAEwhPoJvM+m3ggMiz28z6beCBtDSVEuOTkyLklRX0VCVF9FWENMLklRX0ZZLTgBAAAACEIGAAIAAAAHMzAyLjY2NgEIAAAABQAAAAExAQAAAAoxODkyMjQ1NzUyAwAAAAMxNjACAAAAATQEAAAAATAHAAAACTQvMzAvMjAyNggAAAAJMy8zMS8yMDE3CQAAAAEwhPoJvM+m3ggMiz28z6beCBtDSVEuOTkyLklRX0VCVF9FWENMLklRX0ZZLTkBAAAACEIGAAIAAAAHMzExLjgyOAEIAAAABQAAAAExAQAAAAoxODQ2MTQ3OTgzAwAAAAMxNjACAAAAATQEAAAAATAHAAAACTQvMzAvMjAyNggAAAAJMy8zMS8yMDE2CQAAAAEwhPoJvM+m3ggMiz28z6beCBxDSVEuOTkyLklRX0VCVF9FWENMLklRX0ZZLTEwAQAAAAhCBgACAAAABzk2OS45NDQBCAAAAAUAAAABMQEAAAAKMTc5NTUzODU5OQMAAAADMTYwAgAAAAE0BAAAAAEwBwAAAAk0LzMwLzIw</t>
  </si>
  <si>
    <t>MjYIAAAACTMvMzEvMjAxNQkAAAABMIT6CbzPpt4IDIs9vM+m3ggaQ0lRLjk5Mi5JUV9JTkNfVEFYLklRX0ZZLTgBAAAACEIGAAIAAAAHLTQwLjUxNAEIAAAABQAAAAExAQAAAAoxODkyMjQ1NzUyAwAAAAMxNjACAAAAAjc1BAAAAAEwBwAAAAk0LzMwLzIwMjYIAAAACTMvMzEvMjAxNwkAAAABMIT6CbzPpt4IDIs9vM+m3ggaQ0lRLjk5Mi5JUV9JTkNfVEFYLklRX0ZZLTEBAAAACEIGAAIAAAAHMjYzLjE0MgEIAAAABQAAAAExAQAAAAstMTkzNzY2NDg4OAMAAAADMTYwAgAAAAI3NQQAAAABMAcAAAAJNC8zMC8yMDI2CAAAAAkzLzMxLzIwMjQJAAAAATCE+gm8z6beCAdkPbzPpt4IGkNJUS45OTIuSVFfSU5DX1RBWC5JUV9GWS0yAQAAAAhCBgACAAAABzQ1NS4xNTYBCAAAAAUAAAABMQEAAAALLTE5ODkyODc1MTIDAAAAAzE2MAIAAAACNzUEAAAAATAHAAAACTQvMzAvMjAyNggAAAAJMy8zMS8yMDIzCQAAAAEwhPoJvM+m3ggHZD28z6beCBpDSVEuOTkyLklRX0lOQ19UQVguSVFfRlktMwEAAAAIQgYAAgAAAAc2MjIuMzk5AQgAAAAFAAAAATEBAAAACy0yMDM5NDYwNzAyAwAAAAMxNjACAAAAAjc1BAAAAAEwBwAAAAk0LzMwLzIwMjYIAAAACTMvMzEvMjAyMgkAAAABMIT6CbzPpt4IB2Q9vM+m3ggcQ0lRLjk5Mi5JUV9UT1RBTF9SRVYuSVFfRlEtMQEAAAAIQgYAAgAAAAkyMDQ1Mi4wMjIBCAAAAAUAAAABMQEA</t>
  </si>
  <si>
    <t>AAALLTE5MTI2ODg0NzQDAAAAAzE2MAIAAAACMjgEAAAAATAHAAAACTQvMzAvMjAyNggAAAAJOS8zMC8yMDI1CQAAAAEwhPoJvM+m3ggHZD28z6beCBpDSVEuOTkyLklRX0lOQ19UQVguSVFfRlktNQEAAAAIQgYAAgAAAAcyMTMuMjA0AQgAAAAFAAAAATEBAAAACy0yMTQ2NjE2MzI1AwAAAAMxNjACAAAAAjc1BAAAAAEwBwAAAAk0LzMwLzIwMjYIAAAACTMvMzEvMjAyMAkAAAABMIT6CbzPpt4IPRY9vM+m3ggaQ0lRLjk5Mi5JUV9JTkNfVEFYLklRX0ZZLTYBAAAACEIGAAIAAAAGMTk5LjQ2AQgAAAAFAAAAATEBAAAACjIwNDAxNTU4MzMDAAAAAzE2MAIAAAACNzUEAAAAATAHAAAACTQvMzAvMjAyNggAAAAJMy8zMS8yMDE5CQAAAAEwhPoJvM+m3gg9Fj28z6beCBpDSVEuOTkyLklRX0lOQ19UQVguSVFfRlktNwEAAAAIQgYAAgAAAAcyNzkuOTc3AQgAAAAFAAAAATEBAAAACjE5Njc0NDc5MjQDAAAAAzE2MAIAAAACNzUEAAAAATAHAAAACTQvMzAvMjAyNggAAAAJMy8zMS8yMDE4CQAAAAEwhPoJvM+m3ghwPT28z6beCBxDSVEuOTkyLklRX1RPVEFMX1JFVi5JUV9GUS01AQAAAAhCBgACAAAACTE3ODUwLjA5NAEIAAAABQAAAAExAQAAAAstMTkxMjY4ODQ5MgMAAAADMTYwAgAAAAIyOAQAAAABMAcAAAAJNC8zMC8yMDI2CAAAAAk5LzMwLzIwMjQJAAAAATCE+gm8z6beCHA9PbzPpt4IGkNJUS45OTIuSVFfSU5D</t>
  </si>
  <si>
    <t>X1RBWC5JUV9GWS05AQAAAAhCBgACAAAACC0xMzIuMjc2AQgAAAAFAAAAATEBAAAACjE4NDYxNDc5ODMDAAAAAzE2MAIAAAACNzUEAAAAATAHAAAACTQvMzAvMjAyNggAAAAJMy8zMS8yMDE2CQAAAAEwhPoJvM+m3gg9Fj28z6beCBtDSVEuOTkyLklRX0lOQ19UQVguSVFfRlktMTABAAAACEIGAAIAAAAHMTM0LjM2NAEIAAAABQAAAAExAQAAAAoxNzk1NTM4NTk5AwAAAAMxNjACAAAAAjc1BAAAAAEwBwAAAAk0LzMwLzIwMjYIAAAACTMvMzEvMjAxNQkAAAABMIT6CbzPpt4IPRY9vM+m3ggcQ0lRLjk5Mi5JUV9UT1RBTF9SRVYuSVFfRlEtMAEAAAAIQgYAAgAAAAkyMjIwNC4zMzQBCAAAAAUAAAABMQEAAAALLTE5MDcxNjAyNzQDAAAAAzE2MAIAAAACMjgEAAAAATAHAAAACTQvMzAvMjAyNggAAAAKMTIvMzEvMjAyNQkAAAABMIT6CbzPpt4IPRY9vM+m3ggXQ0lRLjk5Mi5JUV9FQklULklRX0ZRLTEBAAAACEIGAAIAAAAHNjQyLjkyMQEIAAAABQAAAAExAQAAAAstMTkxMjY4ODQ3NAMAAAADMTYwAgAAAAM0MDAEAAAAATAHAAAACTQvMzAvMjAyNggAAAAJOS8zMC8yMDI1CQAAAAEwhPoJvM+m3gg9Fj28z6beCBxDSVEuOTkyLklRX1RPVEFMX1JFVi5JUV9GUS0yAQAAAAhCBgACAAAABTE4ODMwAQgAAAAFAAAAATEBAAAACy0xOTMxMjY2MjQ1AwAAAAMxNjACAAAAAjI4BAAAAAEwBwAAAAk0LzMwLzIwMjYIAAAA</t>
  </si>
  <si>
    <t>CTYvMzAvMjAyNQkAAAABMIT6CbzPpt4IPRY9vM+m3ggcQ0lRLjk5Mi5JUV9UT1RBTF9SRVYuSVFfRlEtMwEAAAAIQgYAAgAAAAkxNjk4My41MzgBCAAAAAUAAAABMQEAAAALLTE5Mzc2NjQ0OTMDAAAAAzE2MAIAAAACMjgEAAAAATAHAAAACTQvMzAvMjAyNggAAAAJMy8zMS8yMDI1CQAAAAEwhPoJvM+m3gg9Fj28z6beCBxDSVEuOTkyLklRX1RPVEFMX1JFVi5JUV9GUS00AQAAAAhCBgACAAAACDE4Nzk2LjI4AQgAAAAFAAAAATEBAAAACy0xOTA3MTYwMjgxAwAAAAMxNjACAAAAAjI4BAAAAAEwBwAAAAk0LzMwLzIwMjYIAAAACjEyLzMxLzIwMjQJAAAAATCE+gm8z6beCD0WPbzPpt4IF0NJUS45OTIuSVFfRUJJVC5JUV9GUS01AQAAAAhCBgACAAAABzY1MC41OTkBCAAAAAUAAAABMQEAAAALLTE5MTI2ODg0OTIDAAAAAzE2MAIAAAADNDAwBAAAAAEwBwAAAAk0LzMwLzIwMjYIAAAACTkvMzAvMjAyNAkAAAABMIT6CbzPpt4IPRY9vM+m3ggcQ0lRLjk5Mi5JUV9UT1RBTF9SRVYuSVFfRlEtNgEAAAAIQgYAAgAAAAkxNTQ0Ny4wNTYBCAAAAAUAAAABMQEAAAALLTE5ODI4MDc4OTEDAAAAAzE2MAIAAAACMjgEAAAAATAHAAAACTQvMzAvMjAyNggAAAAJNi8zMC8yMDI0CQAAAAEwhPoJvM+m3gg9Fj28z6beCBxDSVEuOTkyLklRX1RPVEFMX1JFVi5JUV9GUS03AQAAAAhCBgACAAAACTEzODMzLjExNwEIAAAABQAA</t>
  </si>
  <si>
    <t>AAExAQAAAAstMTkzNzY2NDUwMAMAAAADMTYwAgAAAAIyOAQAAAABMAcAAAAJNC8zMC8yMDI2CAAAAAkzLzMxLzIwMjQJAAAAATCE+gm8z6beCD0WPbzPpt4IF0NJUS45OTIuSVFfRUJJVC5JUV9GUS0wAQAAAAhCBgACAAAABzk0OC40NTgBCAAAAAUAAAABMQEAAAALLTE5MDcxNjAyNzQDAAAAAzE2MAIAAAADNDAwBAAAAAEwBwAAAAk0LzMwLzIwMjYIAAAACjEyLzMxLzIwMjUJAAAAATCE+gm8z6beCD0WPbzPpt4IGUNJUS45OTIuSVFfRUJJVERBLklRX0ZRLTEBAAAACEIGAAIAAAAHOTA5LjY0NwEIAAAABQAAAAExAQAAAAstMTkxMjY4ODQ3NAMAAAADMTYwAgAAAAQ0MDUxBAAAAAEwBwAAAAk0LzMwLzIwMjYIAAAACTkvMzAvMjAyNQkAAAABMIT6CbzPpt4IPRY9vM+m3ggXQ0lRLjk5Mi5JUV9FQklULklRX0ZRLTIBAAAACEIGAAIAAAADNzg1AQgAAAAFAAAAATEBAAAACy0xOTMxMjY2MjQ1AwAAAAMxNjACAAAAAzQwMAQAAAABMAcAAAAJNC8zMC8yMDI2CAAAAAk2LzMwLzIwMjUJAAAAATCE+gm8z6beCCfvPLzPpt4IF0NJUS45OTIuSVFfRUJJVC5JUV9GUS0zAQAAAAhCBgACAAAABjE3NC4xMwEIAAAABQAAAAExAQAAAAstMTkzNzY2NDQ5MwMAAAADMTYwAgAAAAM0MDAEAAAAATAHAAAACTQvMzAvMjAyNggAAAAJMy8zMS8yMDI1CQAAAAEwhPoJvM+m3ggn7zy8z6beCBdDSVEuOTkyLklRX0VCSVQuSVFf</t>
  </si>
  <si>
    <t>RlEtNAEAAAAIQgYAAgAAAAc2ODcuNzA0AQgAAAAFAAAAATEBAAAACy0xOTA3MTYwMjgxAwAAAAMxNjACAAAAAzQwMAQAAAABMAcAAAAJNC8zMC8yMDI2CAAAAAoxMi8zMS8yMDI0CQAAAAEwhPoJvM+m3gg9Fj28z6beCBlDSVEuOTkyLklRX0VCSVREQS5JUV9GUS01AQAAAAhCBgACAAAABzkxOC40NzgBCAAAAAUAAAABMQEAAAALLTE5MTI2ODg0OTIDAAAAAzE2MAIAAAAENDA1MQQAAAABMAcAAAAJNC8zMC8yMDI2CAAAAAk5LzMwLzIwMjQJAAAAATCE+gm8z6beCD0WPbzPpt4IF0NJUS45OTIuSVFfRUJJVC5JUV9GUS02AQAAAAhCBgACAAAABzQ5NC40NjkBCAAAAAUAAAABMQEAAAALLTE5ODI4MDc4OTEDAAAAAzE2MAIAAAADNDAwBAAAAAEwBwAAAAk0LzMwLzIwMjYIAAAACTYvMzAvMjAyNAkAAAABMIT6CbzPpt4IJ+88vM+m3ggXQ0lRLjk5Mi5JUV9FQklULklRX0ZRLTcBAAAACEIGAAIAAAAGNDczLjgxAQgAAAAFAAAAATEBAAAACy0xOTM3NjY0NTAwAwAAAAMxNjACAAAAAzQwMAQAAAABMAcAAAAJNC8zMC8yMDI2CAAAAAkzLzMxLzIwMjQJAAAAATCE+gm8z6beCCfvPLzPpt4IGUNJUS45OTIuSVFfRUJJVERBLklRX0ZRLTABAAAACEIGAAIAAAAIMTI0Ni4wMzUBCAAAAAUAAAABMQEAAAALLTE5MDcxNjAyNzQDAAAAAzE2MAIAAAAENDA1MQQAAAABMAcAAAAJNC8zMC8yMDI2CAAAAAoxMi8zMS8yMDI1</t>
  </si>
  <si>
    <t>CQAAAAEwhPoJvM+m3ggn7zy8z6beCBVDSVEuOTkyLklRX05JLklRX0ZRLTEBAAAACEIGAAIAAAAHMzQwLjI3NgEIAAAABQAAAAExAQAAAAstMTkxMjY4ODQ3NAMAAAADMTYwAgAAAAIxNQQAAAABMAcAAAAJNC8zMC8yMDI2CAAAAAk5LzMwLzIwMjUJAAAAATCE+gm8z6beCCfvPLzPpt4IGUNJUS45OTIuSVFfRUJJVERBLklRX0ZRLTIBAAAACEIGAAIAAAAKMTA0OC4yMTAyNQEIAAAABQAAAAExAQAAAAstMTkzMTI2NjI0NQMAAAADMTYwAgAAAAQ0MDUxBAAAAAEwBwAAAAk0LzMwLzIwMjYIAAAACTYvMzAvMjAyNQkAAAABMIT6CbzPpt4IJ+88vM+m3ggZQ0lRLjk5Mi5JUV9FQklUREEuSVFfRlEtMwEAAAAIQgYAAgAAAAc0MTkuMTA2AQgAAAAFAAAAATEBAAAACy0xOTM3NjY0NDkzAwAAAAMxNjACAAAABDQwNTEEAAAAATAHAAAACTQvMzAvMjAyNggAAAAJMy8zMS8yMDI1CQAAAAEwhPoJvM+m3ggn7zy8z6beCBlDSVEuOTkyLklRX0VCSVREQS5JUV9GUS00AQAAAAhCBgACAAAABzk3MC40NjMBCAAAAAUAAAABMQEAAAALLTE5MDcxNjAyODEDAAAAAzE2MAIAAAAENDA1MQQAAAABMAcAAAAJNC8zMC8yMDI2CAAAAAoxMi8zMS8yMDI0CQAAAAEwhPoJvM+m3ggn7zy8z6beCBVDSVEuOTkyLklRX05JLklRX0ZRLTUBAAAACEIGAAIAAAAHMzU4LjUzMgEIAAAABQAAAAExAQAAAAstMTkxMjY4ODQ5MgMAAAADMTYw</t>
  </si>
  <si>
    <t>AgAAAAIxNQQAAAABMAcAAAAJNC8zMC8yMDI2CAAAAAk5LzMwLzIwMjQJAAAAATCE+gm8z6beCCfvPLzPpt4IGUNJUS45OTIuSVFfRUJJVERBLklRX0ZRLTYBAAAACEIGAAIAAAAHNzUxLjY5NgEIAAAABQAAAAExAQAAAAstMTk4MjgwNzg5MQMAAAADMTYwAgAAAAQ0MDUxBAAAAAEwBwAAAAk0LzMwLzIwMjYIAAAACTYvMzAvMjAyNAkAAAABMIT6CbzPpt4IJ+88vM+m3ggZQ0lRLjk5Mi5JUV9FQklUREEuSVFfRlEtNwEAAAAIQgYAAgAAAAc3NDEuOTY2AQgAAAAFAAAAATEBAAAACy0xOTM3NjY0NTAwAwAAAAMxNjACAAAABDQwNTEEAAAAATAHAAAACTQvMzAvMjAyNggAAAAJMy8zMS8yMDI0CQAAAAEwhPoJvM+m3ggn7zy8z6beCBVDSVEuOTkyLklRX05JLklRX0ZRLTABAAAACEIGAAIAAAAHNTQ1LjUzNgEIAAAABQAAAAExAQAAAAstMTkwNzE2MDI3NAMAAAADMTYwAgAAAAIxNQQAAAABMAcAAAAJNC8zMC8yMDI2CAAAAAoxMi8zMS8yMDI1CQAAAAEwhPoJvM+m3ggn7zy8z6beCB9DSVEuOTkyLklRX0lOVEVSRVNUX0VYUC5JUV9GUS0xAQAAAAhCBgACAAAABy03NC42MzIBCAAAAAUAAAABMQEAAAALLTE5MTI2ODg0NzQDAAAAAzE2MAIAAAACODIEAAAAATAHAAAACTQvMzAvMjAyNggAAAAJOS8zMC8yMDI1CQAAAAEwhPoJvM+m3ggn7zy8z6beCBVDSVEuOTkyLklRX05JLklRX0ZRLTIBAAAACEIGAAIAAAAD</t>
  </si>
  <si>
    <t>NTA1AQgAAAAFAAAAATEBAAAACy0xOTMxMjY2MjQ1AwAAAAMxNjACAAAAAjE1BAAAAAEwBwAAAAk0LzMwLzIwMjYIAAAACTYvMzAvMjAyNQkAAAABMIT6CbzPpt4IHcg8vM+m3ggVQ0lRLjk5Mi5JUV9OSS5JUV9GUS0zAQAAAAhCBgACAAAABjg5Ljg3OAEIAAAABQAAAAExAQAAAAstMTkzNzY2NDQ5MwMAAAADMTYwAgAAAAIxNQQAAAABMAcAAAAJNC8zMC8yMDI2CAAAAAkzLzMxLzIwMjUJAAAAATCE+gm8z6beCB3IPLzPpt4IFUNJUS45OTIuSVFfTkkuSVFfRlEtNAEAAAAIQgYAAgAAAAY2OTIuNjcBCAAAAAUAAAABMQEAAAALLTE5MDcxNjAyODEDAAAAAzE2MAIAAAACMTUEAAAAATAHAAAACTQvMzAvMjAyNggAAAAKMTIvMzEvMjAyNAkAAAABMIT6CbzPpt4IJ+88vM+m3ggfQ0lRLjk5Mi5JUV9JTlRFUkVTVF9FWFAuSVFfRlEtNQEAAAAIQgYAAgAAAActNjQuMjUxAQgAAAAFAAAAATEBAAAACy0xOTEyNjg4NDkyAwAAAAMxNjACAAAAAjgyBAAAAAEwBwAAAAk0LzMwLzIwMjYIAAAACTkvMzAvMjAyNAkAAAABMIT6CbzPpt4IJ+88vM+m3ggVQ0lRLjk5Mi5JUV9OSS5JUV9GUS02AQAAAAhCBgACAAAABzI0My4zNjUBCAAAAAUAAAABMQEAAAALLTE5ODI4MDc4OTEDAAAAAzE2MAIAAAACMTUEAAAAATAHAAAACTQvMzAvMjAyNggAAAAJNi8zMC8yMDI0CQAAAAEwhPoJvM+m3ggdyDy8z6beCBVDSVEuOTkyLklR</t>
  </si>
  <si>
    <t>X05JLklRX0ZRLTcBAAAACEIGAAIAAAAHMjQ3LjcyNAEIAAAABQAAAAExAQAAAAstMTkzNzY2NDUwMAMAAAADMTYwAgAAAAIxNQQAAAABMAcAAAAJNC8zMC8yMDI2CAAAAAkzLzMxLzIwMjQJAAAAATCE+gm8z6beCB3IPLzPpt4IH0NJUS45OTIuSVFfSU5URVJFU1RfRVhQLklRX0ZRLTABAAAACEIGAAIAAAAHLTgwLjg2MQEIAAAABQAAAAExAQAAAAstMTkwNzE2MDI3NAMAAAADMTYwAgAAAAI4MgQAAAABMAcAAAAJNC8zMC8yMDI2CAAAAAoxMi8zMS8yMDI1CQAAAAEwhPoJvM+m3ggdyDy8z6beCBhDSVEuOTkyLklRX0RBX0NGLklRX0ZRLTEBAAAACEIGAAMAAAAAAIT6CbzPpt4IHcg8vM+m3ggfQ0lRLjk5Mi5JUV9JTlRFUkVTVF9FWFAuSVFfRlEtMgEAAAAIQgYAAwAAAAAAhPoJvM+m3ggdyDy8z6beCB9DSVEuOTkyLklRX0lOVEVSRVNUX0VYUC5JUV9GUS0zAQAAAAhCBgACAAAABy04Mi44MDcBCAAAAAUAAAABMQEAAAALLTE5Mzc2NjQ0OTMDAAAAAzE2MAIAAAACODIEAAAAATAHAAAACTQvMzAvMjAyNggAAAAJMy8zMS8yMDI1CQAAAAEwhPoJvM+m3ggdyDy8z6beCB9DSVEuOTkyLklRX0lOVEVSRVNUX0VYUC5JUV9GUS00AQAAAAhCBgACAAAABy03Ni45NjIBCAAAAAUAAAABMQEAAAALLTE5MDcxNjAyODEDAAAAAzE2MAIAAAACODIEAAAAATAHAAAACTQvMzAvMjAyNggAAAAKMTIvMzEvMjAyNAkAAAAB</t>
  </si>
  <si>
    <t>MIT6CbzPpt4IHcg8vM+m3ggYQ0lRLjk5Mi5JUV9EQV9DRi5JUV9GUS01AQAAAAhCBgACAAAABzI5NS4yNDYBCAAAAAUAAAABMQEAAAALLTE5MTI2ODg0OTIDAAAAAzE2MAIAAAAEMjE2MAQAAAABMAcAAAAJNC8zMC8yMDI2CAAAAAk5LzMwLzIwMjQJAAAAATCE+gm8z6beCB3IPLzPpt4IH0NJUS45OTIuSVFfSU5URVJFU1RfRVhQLklRX0ZRLTYBAAAACEIGAAIAAAAHLTY5LjU3NQEIAAAABQAAAAExAQAAAAstMTk4MjgwNzg5MQMAAAADMTYwAgAAAAI4MgQAAAABMAcAAAAJNC8zMC8yMDI2CAAAAAk2LzMwLzIwMjQJAAAAATCE+gm8z6beCB3IPLzPpt4IH0NJUS45OTIuSVFfSU5URVJFU1RfRVhQLklRX0ZRLTcBAAAACEIGAAIAAAAHLTc0Ljc4NwEIAAAABQAAAAExAQAAAAstMTkzNzY2NDUwMAMAAAADMTYwAgAAAAI4MgQAAAABMAcAAAAJNC8zMC8yMDI2CAAAAAkzLzMxLzIwMjQJAAAAATCE+gm8z6beCB3IPLzPpt4IGENJUS45OTIuSVFfREFfQ0YuSVFfRlEtMAEAAAAIQgYAAgAAAAczMjguMjMzAQgAAAAFAAAAATEBAAAACy0xOTA3MTYwMjc0AwAAAAMxNjACAAAABDIxNjAEAAAAATAHAAAACTQvMzAvMjAyNggAAAAKMTIvMzEvMjAyNQkAAAABMIT6CbzPpt4IHcg8vM+m3ggZQ0lRLjk5Mi5JUV9SRF9FWFAuSVFfRlEtMQEAAAAIQgYAAgAAAAc1ODAuNTg1AQgAAAAFAAAAATEBAAAACy0xOTEyNjg4NDc0</t>
  </si>
  <si>
    <t>AwAAAAMxNjACAAAAAzEwMAQAAAABMAcAAAAJNC8zMC8yMDI2CAAAAAk5LzMwLzIwMjUJAAAAATCE+gm8z6beCB3IPLzPpt4IGENJUS45OTIuSVFfREFfQ0YuSVFfRlEtMgEAAAAIQgYAAwAAAAAAhPoJvM+m3ggLoTy8z6beCBhDSVEuOTkyLklRX0RBX0NGLklRX0ZRLTMBAAAACEIGAAIAAAAHMjczLjc2OAEIAAAABQAAAAExAQAAAAstMTkzNzY2NDQ5MwMAAAADMTYwAgAAAAQyMTYwBAAAAAEwBwAAAAk0LzMwLzIwMjYIAAAACTMvMzEvMjAyNQkAAAABMIT6CbzPpt4IC6E8vM+m3ggYQ0lRLjk5Mi5JUV9EQV9DRi5JUV9GUS00AQAAAAhCBgACAAAABzMxMy42NDMBCAAAAAUAAAABMQEAAAALLTE5MDcxNjAyODEDAAAAAzE2MAIAAAAEMjE2MAQAAAABMAcAAAAJNC8zMC8yMDI2CAAAAAoxMi8zMS8yMDI0CQAAAAEwhPoJvM+m3ggLoTy8z6beCBlDSVEuOTkyLklRX1JEX0VYUC5JUV9GUS01AQAAAAhCBgACAAAABzU0Ny41MjgBCAAAAAUAAAABMQEAAAALLTE5MTI2ODg0OTIDAAAAAzE2MAIAAAADMTAwBAAAAAEwBwAAAAk0LzMwLzIwMjYIAAAACTkvMzAvMjAyNAkAAAABMIT6CbzPpt4IHcg8vM+m3ggYQ0lRLjk5Mi5JUV9EQV9DRi5JUV9GUS02AQAAAAhCBgACAAAABzI4Ni4xNDkBCAAAAAUAAAABMQEAAAALLTE5ODI4MDc4OTEDAAAAAzE2MAIAAAAEMjE2MAQAAAABMAcAAAAJNC8zMC8yMDI2CAAAAAk2LzMw</t>
  </si>
  <si>
    <t>LzIwMjQJAAAAATCE+gm8z6beCAuhPLzPpt4IGENJUS45OTIuSVFfREFfQ0YuSVFfRlEtNwEAAAAIQgYAAgAAAAcyOTUuMzM2AQgAAAAFAAAAATEBAAAACy0xOTM3NjY0NTAwAwAAAAMxNjACAAAABDIxNjAEAAAAATAHAAAACTQvMzAvMjAyNggAAAAJMy8zMS8yMDI0CQAAAAEwhPoJvM+m3ggLoTy8z6beCBlDSVEuOTkyLklRX1JEX0VYUC5JUV9GUS0wAQAAAAhCBgACAAAABzYzNy43MjcBCAAAAAUAAAABMQEAAAALLTE5MDcxNjAyNzQDAAAAAzE2MAIAAAADMTAwBAAAAAEwBwAAAAk0LzMwLzIwMjYIAAAACjEyLzMxLzIwMjUJAAAAATCE+gm8z6beCAuhPLzPpt4IHENJUS45OTIuSVFfUkRfRVhQX0ZOLklRX0ZRLTEBAAAACEIGAAIAAAAHNTgwLjU4NQEIAAAABQAAAAExAQAAAAstMTkxMjY4ODQ3NAMAAAADMTYwAgAAAAQzMTY4BAAAAAEwBwAAAAk0LzMwLzIwMjYIAAAACTkvMzAvMjAyNQkAAAABMIT6CbzPpt4IC6E8vM+m3ggZQ0lRLjk5Mi5JUV9SRF9FWFAuSVFfRlEtMgEAAAAIQgYAAgAAAAM1MjQBCAAAAAUAAAABMQEAAAALLTE5MzEyNjYyNDUDAAAAAzE2MAIAAAADMTAwBAAAAAEwBwAAAAk0LzMwLzIwMjYIAAAACTYvMzAvMjAyNQkAAAABMIT6CbzPpt4IC6E8vM+m3ggZQ0lRLjk5Mi5JUV9SRF9FWFAuSVFfRlEtMwEAAAAIQgYAAgAAAAc2NDMuODkyAQgAAAAFAAAAATEBAAAACy0xOTM3NjY0NDkz</t>
  </si>
  <si>
    <t>AwAAAAMxNjACAAAAAzEwMAQAAAABMAcAAAAJNC8zMC8yMDI2CAAAAAkzLzMxLzIwMjUJAAAAATCE+gm8z6beCAuhPLzPpt4IGUNJUS45OTIuSVFfUkRfRVhQLklRX0ZRLTQBAAAACEIGAAIAAAAHNjIwLjc4OQEIAAAABQAAAAExAQAAAAstMTkwNzE2MDI4MQMAAAADMTYwAgAAAAMxMDAEAAAAATAHAAAACTQvMzAvMjAyNggAAAAKMTIvMzEvMjAyNAkAAAABMIT6CbzPpt4IC6E8vM+m3ggcQ0lRLjk5Mi5JUV9SRF9FWFBfRk4uSVFfRlEtNQEAAAAIQgYAAgAAAAc1NDcuNTI4AQgAAAAFAAAAATEBAAAACy0xOTEyNjg4NDkyAwAAAAMxNjACAAAABDMxNjgEAAAAATAHAAAACTQvMzAvMjAyNggAAAAJOS8zMC8yMDI0CQAAAAEwhPoJvM+m3ggLoTy8z6beCBlDSVEuOTkyLklRX1JEX0VYUC5JUV9GUS02AQAAAAhCBgACAAAABzQ3NS45OTUBCAAAAAUAAAABMQEAAAALLTE5ODI4MDc4OTEDAAAAAzE2MAIAAAADMTAwBAAAAAEwBwAAAAk0LzMwLzIwMjYIAAAACTYvMzAvMjAyNAkAAAABMIT6CbzPpt4IC6E8vM+m3ggZQ0lRLjk5Mi5JUV9SRF9FWFAuSVFfRlEtNwEAAAAIQgYAAgAAAAY1MzEuNzQBCAAAAAUAAAABMQEAAAALLTE5Mzc2NjQ1MDADAAAAAzE2MAIAAAADMTAwBAAAAAEwBwAAAAk0LzMwLzIwMjYIAAAACTMvMzEvMjAyNAkAAAABMIT6CbzPpt4IC6E8vM+m3ggcQ0lRLjk5Mi5JUV9SRF9FWFBfRk4uSVFf</t>
  </si>
  <si>
    <t>RlEtMAEAAAAIQgYAAgAAAAc2MzcuNzI3AQgAAAAFAAAAATEBAAAACy0xOTA3MTYwMjc0AwAAAAMxNjACAAAABDMxNjgEAAAAATAHAAAACTQvMzAvMjAyNggAAAAKMTIvMzEvMjAyNQkAAAABMIT6CbzPpt4IC6E8vM+m3ggYQ0lRLjk5Mi5JUV9DQVBFWC5JUV9GUS0xAQAAAAhCBgADAAAAAACE+gm8z6beCAuhPLzPpt4IHENJUS45OTIuSVFfUkRfRVhQX0ZOLklRX0ZRLTIBAAAACEIGAAIAAAADNTI0AQgAAAAFAAAAATEBAAAACy0xOTMxMjY2MjQ1AwAAAAMxNjACAAAABDMxNjgEAAAAATAHAAAACTQvMzAvMjAyNggAAAAJNi8zMC8yMDI1CQAAAAEwhPoJvM+m3gj4eTy8z6beCBxDSVEuOTkyLklRX1JEX0VYUF9GTi5JUV9GUS0zAQAAAAhCBgACAAAABzY0My44OTIBCAAAAAUAAAABMQEAAAALLTE5Mzc2NjQ0OTMDAAAAAzE2MAIAAAAEMzE2OAQAAAABMAcAAAAJNC8zMC8yMDI2CAAAAAkzLzMxLzIwMjUJAAAAATCE+gm8z6beCPh5PLzPpt4IHENJUS45OTIuSVFfUkRfRVhQX0ZOLklRX0ZRLTQBAAAACEIGAAIAAAAHNjIwLjc4OQEIAAAABQAAAAExAQAAAAstMTkwNzE2MDI4MQMAAAADMTYwAgAAAAQzMTY4BAAAAAEwBwAAAAk0LzMwLzIwMjYIAAAACjEyLzMxLzIwMjQJAAAAATCE+gm8z6beCPh5PLzPpt4IGENJUS45OTIuSVFfQ0FQRVguSVFfRlEtNQEAAAAIQgYAAgAAAAgtMTUyLjIzNAEIAAAABQAAAAEx</t>
  </si>
  <si>
    <t>AQAAAAstMTkxMjY4ODQ5MgMAAAADMTYwAgAAAAQyMDIxBAAAAAEwBwAAAAk0LzMwLzIwMjYIAAAACTkvMzAvMjAyNAkAAAABMIT6CbzPpt4I+Hk8vM+m3ggcQ0lRLjk5Mi5JUV9SRF9FWFBfRk4uSVFfRlEtNgEAAAAIQgYAAgAAAAc0NzUuOTk1AQgAAAAFAAAAATEBAAAACy0xOTgyODA3ODkxAwAAAAMxNjACAAAABDMxNjgEAAAAATAHAAAACTQvMzAvMjAyNggAAAAJNi8zMC8yMDI0CQAAAAEwhPoJvM+m3gj4eTy8z6beCBxDSVEuOTkyLklRX1JEX0VYUF9GTi5JUV9GUS03AQAAAAhCBgACAAAABjUzMS43NAEIAAAABQAAAAExAQAAAAstMTkzNzY2NDUwMAMAAAADMTYwAgAAAAQzMTY4BAAAAAEwBwAAAAk0LzMwLzIwMjYIAAAACTMvMzEvMjAyNAkAAAABMIT6CbzPpt4I+Hk8vM+m3ggYQ0lRLjk5Mi5JUV9DQVBFWC5JUV9GUS0wAQAAAAhCBgACAAAACC00MDQuODI1AQgAAAAFAAAAATEBAAAACy0xOTA3MTYwMjc0AwAAAAMxNjACAAAABDIwMjEEAAAAATAHAAAACTQvMzAvMjAyNggAAAAKMTIvMzEvMjAyNQkAAAABMIT6CbzPpt4I+Hk8vM+m3ggrQ0lRLjk5Mi5JUV9PUEVSQVRJTkdfTEVBU0VfUEFZTUVOVFMuSVFfRlEtMQEAAAAIQgYAAwAAAAAAhPoJvM+m3gj4eTy8z6beCBhDSVEuOTkyLklRX0NBUEVYLklRX0ZRLTIBAAAACEIGAAMAAAAAAIT6CbzPpt4I+Hk8vM+m3ggYQ0lRLjk5Mi5JUV9DQVBFWC5J</t>
  </si>
  <si>
    <t>UV9GUS0zAQAAAAhCBgACAAAACC0xODUuMzgxAQgAAAAFAAAAATEBAAAACy0xOTM3NjY0NDkzAwAAAAMxNjACAAAABDIwMjEEAAAAATAHAAAACTQvMzAvMjAyNggAAAAJMy8zMS8yMDI1CQAAAAEwhPoJvM+m3gj4eTy8z6beCBhDSVEuOTkyLklRX0NBUEVYLklRX0ZRLTQBAAAACEIGAAIAAAAHLTE3NC4zMwEIAAAABQAAAAExAQAAAAstMTkwNzE2MDI4MQMAAAADMTYwAgAAAAQyMDIxBAAAAAEwBwAAAAk0LzMwLzIwMjYIAAAACjEyLzMxLzIwMjQJAAAAATCE+gm8z6beCPh5PLzPpt4IK0NJUS45OTIuSVFfT1BFUkFUSU5HX0xFQVNFX1BBWU1FTlRTLklRX0ZRLTUBAAAACEIGAAIAAAAHLTI3LjU4NwEIAAAABQAAAAExAQAAAAstMTkxMjY4ODQ5MgMAAAADMTYwAgAAAAU0ODM1OQQAAAABMAcAAAAJNC8zMC8yMDI2CAAAAAk5LzMwLzIwMjQJAAAAATCE+gm8z6beCPh5PLzPpt4IGENJUS45OTIuSVFfQ0FQRVguSVFfRlEtNgEAAAAIQgYAAgAAAAgtMTU0LjUzMwEIAAAABQAAAAExAQAAAAstMTk4MjgwNzg5MQMAAAADMTYwAgAAAAQyMDIxBAAAAAEwBwAAAAk0LzMwLzIwMjYIAAAACTYvMzAvMjAyNAkAAAABMIT6CbzPpt4I+Hk8vM+m3ggYQ0lRLjk5Mi5JUV9DQVBFWC5JUV9GUS03AQAAAAhCBgACAAAACC0yMDQuNDIzAQgAAAAFAAAAATEBAAAACy0xOTM3NjY0NTAwAwAAAAMxNjACAAAABDIwMjEEAAAAATAH</t>
  </si>
  <si>
    <t>AAAACTQvMzAvMjAyNggAAAAJMy8zMS8yMDI0CQAAAAEwhPoJvM+m3gj4eTy8z6beCCtDSVEuOTkyLklRX09QRVJBVElOR19MRUFTRV9QQVlNRU5UUy5JUV9GUS0wAQAAAAhCBgACAAAABi0yNi41MwEIAAAABQAAAAExAQAAAAstMTkwNzE2MDI3NAMAAAADMTYwAgAAAAU0ODM1OQQAAAABMAcAAAAJNC8zMC8yMDI2CAAAAAoxMi8zMS8yMDI1CQAAAAEwhPoJvM+m3gj4eTy8z6beCBtDSVEuOTkyLklRX0VCVF9FWENMLklRX0ZRLTEBAAAACEIGAAIAAAAHNDk0LjI4NQEIAAAABQAAAAExAQAAAAstMTkxMjY4ODQ3NAMAAAADMTYwAgAAAAE0BAAAAAEwBwAAAAk0LzMwLzIwMjYIAAAACTkvMzAvMjAyNQkAAAABMIT6CbzPpt4I+Hk8vM+m3ggrQ0lRLjk5Mi5JUV9PUEVSQVRJTkdfTEVBU0VfUEFZTUVOVFMuSVFfRlEtMgEAAAAIQgYAAwAAAAAAhPoJvM+m3gjqUjy8z6beCCtDSVEuOTkyLklRX09QRVJBVElOR19MRUFTRV9QQVlNRU5UUy5JUV9GUS0zAQAAAAhCBgACAAAABy0yOS4xMzUBCAAAAAUAAAABMQEAAAALLTE5Mzc2NjQ0OTMDAAAAAzE2MAIAAAAFNDgzNTkEAAAAATAHAAAACTQvMzAvMjAyNggAAAAJMy8zMS8yMDI1CQAAAAEwhPoJvM+m3gjqUjy8z6beCCtDSVEuOTkyLklRX09QRVJBVElOR19MRUFTRV9QQVlNRU5UUy5JUV9GUS00AQAAAAhCBgACAAAABy0yOS42NzgBCAAAAAUAAAABMQEAAAALLTE5</t>
  </si>
  <si>
    <t>MDcxNjAyODEDAAAAAzE2MAIAAAAFNDgzNTkEAAAAATAHAAAACTQvMzAvMjAyNggAAAAKMTIvMzEvMjAyNAkAAAABMIT6CbzPpt4I6lI8vM+m3ggbQ0lRLjk5Mi5JUV9FQlRfRVhDTC5JUV9GUS01AQAAAAhCBgACAAAABzQ3My4xODYBCAAAAAUAAAABMQEAAAALLTE5MTI2ODg0OTIDAAAAAzE2MAIAAAABNAQAAAABMAcAAAAJNC8zMC8yMDI2CAAAAAk5LzMwLzIwMjQJAAAAATCE+gm8z6beCOpSPLzPpt4IK0NJUS45OTIuSVFfT1BFUkFUSU5HX0xFQVNFX1BBWU1FTlRTLklRX0ZRLTYBAAAACEIGAAIAAAAHLTM0LjY3MQEIAAAABQAAAAExAQAAAAstMTk4MjgwNzg5MQMAAAADMTYwAgAAAAU0ODM1OQQAAAABMAcAAAAJNC8zMC8yMDI2CAAAAAk2LzMwLzIwMjQJAAAAATCE+gm8z6beCOpSPLzPpt4IK0NJUS45OTIuSVFfT1BFUkFUSU5HX0xFQVNFX1BBWU1FTlRTLklRX0ZRLTcBAAAACEIGAAIAAAAHLTM5LjIzOQEIAAAABQAAAAExAQAAAAstMTkzNzY2NDUwMAMAAAADMTYwAgAAAAU0ODM1OQQAAAABMAcAAAAJNC8zMC8yMDI2CAAAAAkzLzMxLzIwMjQJAAAAATCE+gm8z6beCOpSPLzPpt4IG0NJUS45OTIuSVFfRUJUX0VYQ0wuSVFfRlEtMAEAAAAIQgYAAgAAAAc4MTguMTg1AQgAAAAFAAAAATEBAAAACy0xOTA3MTYwMjc0AwAAAAMxNjACAAAAATQEAAAAATAHAAAACTQvMzAvMjAyNggAAAAKMTIvMzEvMjAy</t>
  </si>
  <si>
    <t>NQkAAAABMIT6CbzPpt4I6lI8vM+m3ggaQ0lRLjk5Mi5JUV9JTkNfVEFYLklRX0ZRLTEBAAAACEIGAAIAAAAHMTEzLjk5MwEIAAAABQAAAAExAQAAAAstMTkxMjY4ODQ3NAMAAAADMTYwAgAAAAI3NQQAAAABMAcAAAAJNC8zMC8yMDI2CAAAAAk5LzMwLzIwMjUJAAAAATCE+gm8z6beCOpSPLzPpt4IG0NJUS45OTIuSVFfRUJUX0VYQ0wuSVFfRlEtMgEAAAAIQgYAAgAAAAM2MjIBCAAAAAUAAAABMQEAAAALLTE5MzEyNjYyNDUDAAAAAzE2MAIAAAABNAQAAAABMAcAAAAJNC8zMC8yMDI2CAAAAAk2LzMwLzIwMjUJAAAAATCE+gm8z6beCOpSPLzPpt4IG0NJUS45OTIuSVFfRUJUX0VYQ0wuSVFfRlEtMwEAAAAIQgYAAgAAAAcxODEuMjk0AQgAAAAFAAAAATEBAAAACy0xOTM3NjY0NDkzAwAAAAMxNjACAAAAATQEAAAAATAHAAAACTQvMzAvMjAyNggAAAAJMy8zMS8yMDI1CQAAAAEwhPoJvM+m3gjqUjy8z6beCBtDSVEuOTkyLklRX0VCVF9FWENMLklRX0ZRLTQBAAAACEIGAAIAAAAHNTE2Ljk5MQEIAAAABQAAAAExAQAAAAstMTkwNzE2MDI4MQMAAAADMTYwAgAAAAE0BAAAAAEwBwAAAAk0LzMwLzIwMjYIAAAACjEyLzMxLzIwMjQJAAAAATCE+gm8z6beCOpSPLzPpt4IGkNJUS45OTIuSVFfSU5DX1RBWC5JUV9GUS01AQAAAAhCBgACAAAABTg5LjkxAQgAAAAFAAAAATEBAAAACy0xOTEyNjg4NDkyAwAAAAMxNjAC</t>
  </si>
  <si>
    <t>AAAAAjc1BAAAAAEwBwAAAAk0LzMwLzIwMjYIAAAACTkvMzAvMjAyNAkAAAABMIT6CbzPpt4I6lI8vM+m3ggbQ0lRLjk5Mi5JUV9FQlRfRVhDTC5JUV9GUS02AQAAAAhCBgACAAAABzMxMi45OTUBCAAAAAUAAAABMQEAAAALLTE5ODI4MDc4OTEDAAAAAzE2MAIAAAABNAQAAAABMAcAAAAJNC8zMC8yMDI2CAAAAAk2LzMwLzIwMjQJAAAAATCE+gm8z6beCAAsPLzPpt4IG0NJUS45OTIuSVFfRUJUX0VYQ0wuSVFfRlEtNwEAAAAIQgYAAgAAAAczMTIuMTQ0AQgAAAAFAAAAATEBAAAACy0xOTM3NjY0NTAwAwAAAAMxNjACAAAAATQEAAAAATAHAAAACTQvMzAvMjAyNggAAAAJMy8zMS8yMDI0CQAAAAEwhPoJvM+m3gjqUjy8z6beCBpDSVEuOTkyLklRX0lOQ19UQVguSVFfRlEtMAEAAAAIQgYAAgAAAAcxNzAuMjE1AQgAAAAFAAAAATEBAAAACy0xOTA3MTYwMjc0AwAAAAMxNjACAAAAAjc1BAAAAAEwBwAAAAk0LzMwLzIwMjYIAAAACjEyLzMxLzIwMjUJAAAAATCE+gm8z6beCOpSPLzPpt4IHUNJUS45OTIuSVFfQ0FTSF9FUVVJVi5JUV9GWS0xAQAAAAhCBgACAAAACDM1NTkuODMxAQgAAAAFAAAAATEBAAAACy0xOTM3NjY0ODg4AwAAAAMxNjACAAAABDEwOTYEAAAAATAHAAAACTQvMzAvMjAyNggAAAAJMy8zMS8yMDI0CQAAAAEwhPoJvM+m3gjqUjy8z6beCBpDSVEuOTkyLklRX0lOQ19UQVguSVFfRlEtMgEAAAAI</t>
  </si>
  <si>
    <t>QgYAAgAAAAI4NAEIAAAABQAAAAExAQAAAAstMTkzMTI2NjI0NQMAAAADMTYwAgAAAAI3NQQAAAABMAcAAAAJNC8zMC8yMDI2CAAAAAk2LzMwLzIwMjUJAAAAATCE+gm8z6beCAAsPLzPpt4IGkNJUS45OTIuSVFfSU5DX1RBWC5JUV9GUS0zAQAAAAhCBgACAAAABTUzLjI4AQgAAAAFAAAAATEBAAAACy0xOTM3NjY0NDkzAwAAAAMxNjACAAAAAjc1BAAAAAEwBwAAAAk0LzMwLzIwMjYIAAAACTMvMzEvMjAyNQkAAAABMIT6CbzPpt4IACw8vM+m3ggaQ0lRLjk5Mi5JUV9JTkNfVEFYLklRX0ZRLTQBAAAACEIGAAIAAAAILTE4My43NzIBCAAAAAUAAAABMQEAAAALLTE5MDcxNjAyODEDAAAAAzE2MAIAAAACNzUEAAAAATAHAAAACTQvMzAvMjAyNggAAAAKMTIvMzEvMjAyNAkAAAABMIT6CbzPpt4IACw8vM+m3ggdQ0lRLjk5Mi5JUV9DQVNIX0VRVUlWLklRX0ZZLTUBAAAACEIGAAIAAAAHMzU1MC45OQEIAAAABQAAAAExAQAAAAstMjE0NjYxNjMyNQMAAAADMTYwAgAAAAQxMDk2BAAAAAEwBwAAAAk0LzMwLzIwMjYIAAAACTMvMzEvMjAyMAkAAAABMIT6CbzPpt4IACw8vM+m3ggaQ0lRLjk5Mi5JUV9JTkNfVEFYLklRX0ZRLTYBAAAACEIGAAIAAAAENTkuNQEIAAAABQAAAAExAQAAAAstMTk4MjgwNzg5MQMAAAADMTYwAgAAAAI3NQQAAAABMAcAAAAJNC8zMC8yMDI2CAAAAAk2LzMwLzIwMjQJAAAAATCE+gm8z6be</t>
  </si>
  <si>
    <t>CAAsPLzPpt4IGkNJUS45OTIuSVFfSU5DX1RBWC5JUV9GUS03AQAAAAhCBgACAAAABjU1LjYzMwEIAAAABQAAAAExAQAAAAstMTkzNzY2NDUwMAMAAAADMTYwAgAAAAI3NQQAAAABMAcAAAAJNC8zMC8yMDI2CAAAAAkzLzMxLzIwMjQJAAAAATCE+gm8z6beCAAsPLzPpt4IHUNJUS45OTIuSVFfQ0FTSF9FUVVJVi5JUV9GWS0wAQAAAAhCBgACAAAACDQ3MjguMTI0AQgAAAAFAAAAATEBAAAACy0xOTM3NjY0ODgwAwAAAAMxNjACAAAABDEwOTYEAAAAATAHAAAACTQvMzAvMjAyNggAAAAJMy8zMS8yMDI1CQAAAAEwhPoJvM+m3ggALDy8z6beCB1DSVEuOTkyLklRX0NBU0hfRVFVSVYuSVFfRlktOQEAAAAIQgYAAgAAAAcxOTI2Ljg4AQgAAAAFAAAAATEBAAAACjE4NDYxNDc5ODMDAAAAAzE2MAIAAAAEMTA5NgQAAAABMAcAAAAJNC8zMC8yMDI2CAAAAAkzLzMxLzIwMTYJAAAAATCE+gm8z6beCAAsPLzPpt4IHUNJUS45OTIuSVFfQ0FTSF9FUVVJVi5JUV9GWS0yAQAAAAhCBgACAAAACDQyNTAuMDg1AQgAAAAFAAAAATEBAAAACy0xOTg5Mjg3NTEyAwAAAAMxNjACAAAABDEwOTYEAAAAATAHAAAACTQvMzAvMjAyNggAAAAJMy8zMS8yMDIzCQAAAAEwhPoJvM+m3ggALDy8z6beCB1DSVEuOTkyLklRX0NBU0hfRVFVSVYuSVFfRlktMwEAAAAIQgYAAgAAAAgzOTMwLjI4NwEIAAAABQAAAAExAQAAAAstMjAzOTQ2MDcw</t>
  </si>
  <si>
    <t>MgMAAAADMTYwAgAAAAQxMDk2BAAAAAEwBwAAAAk0LzMwLzIwMjYIAAAACTMvMzEvMjAyMgkAAAABMIT6CbzPpt4IACw8vM+m3ggdQ0lRLjk5Mi5JUV9DQVNIX0VRVUlWLklRX0ZZLTQBAAAACEIGAAIAAAAIMzA2OC4zODUBCAAAAAUAAAABMQEAAAALLTIwOTE1NzA3MDYDAAAAAzE2MAIAAAAEMTA5NgQAAAABMAcAAAAJNC8zMC8yMDI2CAAAAAkzLzMxLzIwMjEJAAAAATCE+gm8z6beCAAsPLzPpt4IH0NJUS45OTIuSVFfVE9UQUxfRVFVSVRZLklRX0ZZLTIBAAAACEIGAAIAAAAINjA0Ny4wMjEBCAAAAAUAAAABMQEAAAALLTE5ODkyODc1MTIDAAAAAzE2MAIAAAAEMTI3NQQAAAABMAcAAAAJNC8zMC8yMDI2CAAAAAkzLzMxLzIwMjMJAAAAATCE+gm8z6beCAAsPLzPpt4IHUNJUS45OTIuSVFfQ0FTSF9FUVVJVi5JUV9GWS02AQAAAAhCBgACAAAACDI2NjIuODU0AQgAAAAFAAAAATEBAAAACjIwNDAxNTU4MzMDAAAAAzE2MAIAAAAEMTA5NgQAAAABMAcAAAAJNC8zMC8yMDI2CAAAAAkzLzMxLzIwMTkJAAAAATCE+gm8z6beCCEEPLzPpt4IHUNJUS45OTIuSVFfQ0FTSF9FUVVJVi5JUV9GWS03AQAAAAhCBgACAAAACDE4NDguMDE3AQgAAAAFAAAAATEBAAAACjE5Njc0NDc5MjQDAAAAAzE2MAIAAAAEMTA5NgQAAAABMAcAAAAJNC8zMC8yMDI2CAAAAAkzLzMxLzIwMTgJAAAAATCE+gm8z6beCCEEPLzPpt4IHUNJ</t>
  </si>
  <si>
    <t>US45OTIuSVFfQ0FTSF9FUVVJVi5JUV9GWS04AQAAAAhCBgACAAAACDI3NTQuNTk5AQgAAAAFAAAAATEBAAAACjE4OTIyNDU3NTIDAAAAAzE2MAIAAAAEMTA5NgQAAAABMAcAAAAJNC8zMC8yMDI2CAAAAAkzLzMxLzIwMTcJAAAAATCE+gm8z6beCAAsPLzPpt4IH0NJUS45OTIuSVFfVE9UQUxfRVFVSVRZLklRX0ZZLTYBAAAACEIGAAIAAAAINDA5Ny4wNjMBCAAAAAUAAAABMQEAAAAKMjA0MDE1NTgzMwMAAAADMTYwAgAAAAQxMjc1BAAAAAEwBwAAAAk0LzMwLzIwMjYIAAAACTMvMzEvMjAxOQkAAAABMIT6CbzPpt4IACw8vM+m3ggeQ0lRLjk5Mi5JUV9DQVNIX0VRVUlWLklRX0ZZLTEwAQAAAAhCBgACAAAACDI4NTUuMjIzAQgAAAAFAAAAATEBAAAACjE3OTU1Mzg1OTkDAAAAAzE2MAIAAAAEMTA5NgQAAAABMAcAAAAJNC8zMC8yMDI2CAAAAAkzLzMxLzIwMTUJAAAAATCE+gm8z6beCCEEPLzPpt4IH0NJUS45OTIuSVFfVE9UQUxfRVFVSVRZLklRX0ZZLTABAAAACEIGAAIAAAAINjY1OS45MTcBCAAAAAUAAAABMQEAAAALLTE5Mzc2NjQ4ODADAAAAAzE2MAIAAAAEMTI3NQQAAAABMAcAAAAJNC8zMC8yMDI2CAAAAAkzLzMxLzIwMjUJAAAAATCE+gm8z6beCCEEPLzPpt4IH0NJUS45OTIuSVFfVE9UQUxfRVFVSVRZLklRX0ZZLTEBAAAACEIGAAIAAAAINjA4MS4xODcBCAAAAAUAAAABMQEAAAALLTE5Mzc2NjQ4</t>
  </si>
  <si>
    <t>ODgDAAAAAzE2MAIAAAAEMTI3NQQAAAABMAcAAAAJNC8zMC8yMDI2CAAAAAkzLzMxLzIwMjQJAAAAATCE+gm8z6beCCEEPLzPpt4IIENJUS45OTIuSVFfVE9UQUxfRVFVSVRZLklRX0ZZLTEwAQAAAAhCBgACAAAACDQxMDYuMTIxAQgAAAAFAAAAATEBAAAACjE3OTU1Mzg1OTkDAAAAAzE2MAIAAAAEMTI3NQQAAAABMAcAAAAJNC8zMC8yMDI2CAAAAAkzLzMxLzIwMTUJAAAAATCE+gm8z6beCCEEPLzPpt4IH0NJUS45OTIuSVFfVE9UQUxfRVFVSVRZLklRX0ZZLTMBAAAACEIGAAIAAAAINTM5NC43MDEBCAAAAAUAAAABMQEAAAALLTIwMzk0NjA3MDIDAAAAAzE2MAIAAAAEMTI3NQQAAAABMAcAAAAJNC8zMC8yMDI2CAAAAAkzLzMxLzIwMjIJAAAAATCE+gm8z6beCCEEPLzPpt4IH0NJUS45OTIuSVFfVE9UQUxfRVFVSVRZLklRX0ZZLTQBAAAACEIGAAIAAAAIMzYxMC41MzMBCAAAAAUAAAABMQEAAAALLTIwOTE1NzA3MDYDAAAAAzE2MAIAAAAEMTI3NQQAAAABMAcAAAAJNC8zMC8yMDI2CAAAAAkzLzMxLzIwMjEJAAAAATCE+gm8z6beCCEEPLzPpt4IH0NJUS45OTIuSVFfVE9UQUxfRVFVSVRZLklRX0ZZLTUBAAAACEIGAAIAAAAINDA1OS4yOTUBCAAAAAUAAAABMQEAAAALLTIxNDY2MTYzMjUDAAAAAzE2MAIAAAAEMTI3NQQAAAABMAcAAAAJNC8zMC8yMDI2CAAAAAkzLzMxLzIwMjAJAAAAATCE+gm8z6beCCEE</t>
  </si>
  <si>
    <t>PLzPpt4IHUNJUS45OTIuSVFfVE9UQUxfREVCVC5JUV9GWS0zAQAAAAhCBgACAAAACDM4MjkuMjY3AQgAAAAFAAAAATEBAAAACy0yMDM5NDYwNzAyAwAAAAMxNjACAAAABDQxNzMEAAAAATAHAAAACTQvMzAvMjAyNggAAAAJMy8zMS8yMDIyCQAAAAEwhPoJvM+m3gghBDy8z6beCB9DSVEuOTkyLklRX1RPVEFMX0VRVUlUWS5JUV9GWS03AQAAAAhCBgACAAAACDQ1NDUuOTg4AQgAAAAFAAAAATEBAAAACjE5Njc0NDc5MjQDAAAAAzE2MAIAAAAEMTI3NQQAAAABMAcAAAAJNC8zMC8yMDI2CAAAAAkzLzMxLzIwMTgJAAAAATCE+gm8z6beCCEEPLzPpt4IH0NJUS45OTIuSVFfVE9UQUxfRVFVSVRZLklRX0ZZLTgBAAAACEIGAAIAAAAINDA5NS4yMjIBCAAAAAUAAAABMQEAAAAKMTg5MjI0NTc1MgMAAAADMTYwAgAAAAQxMjc1BAAAAAEwBwAAAAk0LzMwLzIwMjYIAAAACTMvMzEvMjAxNwkAAAABMIT6CbzPpt4IIQQ8vM+m3ggfQ0lRLjk5Mi5JUV9UT1RBTF9FUVVJVFkuSVFfRlktOQEAAAAIQgYAAgAAAAgzMDI2LjI0OQEIAAAABQAAAAExAQAAAAoxODQ2MTQ3OTgzAwAAAAMxNjACAAAABDEyNzUEAAAAATAHAAAACTQvMzAvMjAyNggAAAAJMy8zMS8yMDE2CQAAAAEwhPoJvM+m3gghBDy8z6beCB1DSVEuOTkyLklRX1RPVEFMX0RFQlQuSVFfRlktNwEAAAAIQgYAAgAAAAgzODE1LjQxNwEIAAAABQAAAAExAQAAAAox</t>
  </si>
  <si>
    <t>OTY3NDQ3OTI0AwAAAAMxNjACAAAABDQxNzMEAAAAATAHAAAACTQvMzAvMjAyNggAAAAJMy8zMS8yMDE4CQAAAAEwhPoJvM+m3gghBDy8z6beCB1DSVEuOTkyLklRX1RPVEFMX0RFQlQuSVFfRlktMAEAAAAIQgYAAgAAAAg1NzMyLjk1OAEIAAAABQAAAAExAQAAAAstMTkzNzY2NDg4MAMAAAADMTYwAgAAAAQ0MTczBAAAAAEwBwAAAAk0LzMwLzIwMjYIAAAACTMvMzEvMjAyNQkAAAABMIT6CbzPpt4Ix+87vM+m3ggdQ0lRLjk5Mi5JUV9UT1RBTF9ERUJULklRX0ZZLTEBAAAACEIGAAIAAAAIMzk2MS42ODkBCAAAAAUAAAABMQEAAAALLTE5Mzc2NjQ4ODgDAAAAAzE2MAIAAAAENDE3MwQAAAABMAcAAAAJNC8zMC8yMDI2CAAAAAkzLzMxLzIwMjQJAAAAATCE+gm8z6beCMfvO7zPpt4IHUNJUS45OTIuSVFfVE9UQUxfREVCVC5JUV9GWS0yAQAAAAhCBgACAAAABzQzNTkuMzUBCAAAAAUAAAABMQEAAAALLTE5ODkyODc1MTIDAAAAAzE2MAIAAAAENDE3MwQAAAABMAcAAAAJNC8zMC8yMDI2CAAAAAkzLzMxLzIwMjMJAAAAATCE+gm8z6beCMfvO7zPpt4IMENJUS45OTIuSVFfVE9UQUxfT1VUU1RBTkRJTkdfRklMSU5HX0RBVEUuSVFfRlktMAEAAAAIQgYAAgAAAAwxMjQwNC42NTkzMDIBBAAAAAUAAAABNQEAAAALLTE5Mzc2NjQ4ODACAAAABTI0MTUzBgAAAAEwhPoJvM+m3gjH7zu8z6beCB1DSVEuOTkyLklRX1RP</t>
  </si>
  <si>
    <t>VEFMX0RFQlQuSVFfRlktNAEAAAAIQgYAAgAAAAg0NDY0Ljc3OQEIAAAABQAAAAExAQAAAAstMjA5MTU3MDcwNgMAAAADMTYwAgAAAAQ0MTczBAAAAAEwBwAAAAk0LzMwLzIwMjYIAAAACTMvMzEvMjAyMQkAAAABMIT6CbzPpt4Iw8g7vM+m3ggdQ0lRLjk5Mi5JUV9UT1RBTF9ERUJULklRX0ZZLTUBAAAACEIGAAIAAAAINTI5OC4zODEBCAAAAAUAAAABMQEAAAALLTIxNDY2MTYzMjUDAAAAAzE2MAIAAAAENDE3MwQAAAABMAcAAAAJNC8zMC8yMDI2CAAAAAkzLzMxLzIwMjAJAAAAATCE+gm8z6beCMfvO7zPpt4IHUNJUS45OTIuSVFfVE9UQUxfREVCVC5JUV9GWS02AQAAAAhCBgACAAAACDQzNzkuODEzAQgAAAAFAAAAATEBAAAACjIwNDAxNTU4MzMDAAAAAzE2MAIAAAAENDE3MwQAAAABMAcAAAAJNC8zMC8yMDI2CAAAAAkzLzMxLzIwMTkJAAAAATCE+gm8z6beCMfvO7zPpt4IMENJUS45OTIuSVFfVE9UQUxfT1VUU1RBTkRJTkdfRklMSU5HX0RBVEUuSVFfRlktNAEAAAAIQgYAAgAAAAwxMjA0MS43MDU2MTQBBAAAAAUAAAABNQEAAAALLTIwOTE1NzA3MDYCAAAABTI0MTUzBgAAAAEwhPoJvM+m3gjH7zu8z6beCB1DSVEuOTkyLklRX1RPVEFMX0RFQlQuSVFfRlktOAEAAAAIQgYAAgAAAAgzMDM2LjY5NQEIAAAABQAAAAExAQAAAAoxODkyMjQ1NzUyAwAAAAMxNjACAAAABDQxNzMEAAAAATAHAAAACTQvMzAv</t>
  </si>
  <si>
    <t>MjAyNggAAAAJMy8zMS8yMDE3CQAAAAEwhPoJvM+m3gjDyDu8z6beCB1DSVEuOTkyLklRX1RPVEFMX0RFQlQuSVFfRlktOQEAAAAIQgYAAgAAAAgzMjUwLjkyNwEIAAAABQAAAAExAQAAAAoxODQ2MTQ3OTgzAwAAAAMxNjACAAAABDQxNzMEAAAAATAHAAAACTQvMzAvMjAyNggAAAAJMy8zMS8yMDE2CQAAAAEwhPoJvM+m3gjDyDu8z6beCB5DSVEuOTkyLklRX1RPVEFMX0RFQlQuSVFfRlktMTABAAAACEIGAAIAAAAIMzA1NC4xMjIBCAAAAAUAAAABMQEAAAAKMTc5NTUzODU5OQMAAAADMTYwAgAAAAQ0MTczBAAAAAEwBwAAAAk0LzMwLzIwMjYIAAAACTMvMzEvMjAxNQkAAAABMIT6CbzPpt4Iw8g7vM+m3ggwQ0lRLjk5Mi5JUV9UT1RBTF9PVVRTVEFORElOR19GSUxJTkdfREFURS5JUV9GWS04AQAAAAhCBgACAAAADDExMTA4LjY1NDcyNAEEAAAABQAAAAE1AQAAAAoxODkyMjQ1NzUyAgAAAAUyNDE1MwYAAAABMIT6CbzPpt4Iw8g7vM+m3ggwQ0lRLjk5Mi5JUV9UT1RBTF9PVVRTVEFORElOR19GSUxJTkdfREFURS5JUV9GWS0xAQAAAAhCBgACAAAADDEyNDA0LjY1OTMwMgEEAAAABQAAAAE1AQAAAAstMTkzNzY2NDg4OAIAAAAFMjQxNTMGAAAAATCE+gm8z6beCMPIO7zPpt4IMENJUS45OTIuSVFfVE9UQUxfT1VUU1RBTkRJTkdfRklMSU5HX0RBVEUuSVFfRlktMgEAAAAIQgYAAgAAAAwxMjEyOC4xMzAyOTEB</t>
  </si>
  <si>
    <t>BAAAAAUAAAABNQEAAAALLTE5ODkyODc1MTICAAAABTI0MTUzBgAAAAEwhPoJvM+m3gjDyDu8z6beCDBDSVEuOTkyLklRX1RPVEFMX09VVFNUQU5ESU5HX0ZJTElOR19EQVRFLklRX0ZZLTMBAAAACEIGAAIAAAAMMTIwNDEuNzA1NjE0AQQAAAAFAAAAATUBAAAACy0yMDM5NDYwNzAyAgAAAAUyNDE1MwYAAAABMIT6CbzPpt4Iw8g7vM+m3ggcQ0lRLjk5Mi5JUV9MVF9JTlZFU1QuSVFfRlktMQEAAAAIQgYAAgAAAAgxNzY4LjQ0MgEIAAAABQAAAAExAQAAAAstMTkzNzY2NDg4OAMAAAADMTYwAgAAAAQxMDU0BAAAAAEwBwAAAAk0LzMwLzIwMjYIAAAACTMvMzEvMjAyNAkAAAABMIT6CbzPpt4Iw8g7vM+m3ggwQ0lRLjk5Mi5JUV9UT1RBTF9PVVRTVEFORElOR19GSUxJTkdfREFURS5JUV9GWS01AQAAAAhCBgACAAAADDEyMDE0Ljc5MTYxNAEEAAAABQAAAAE1AQAAAAstMjE0NjYxNjMyNQIAAAAFMjQxNTMGAAAAATCE+gm8z6beCMPIO7zPpt4IMENJUS45OTIuSVFfVE9UQUxfT1VUU1RBTkRJTkdfRklMSU5HX0RBVEUuSVFfRlktNgEAAAAIQgYAAgAAAAwxMjAxNC43OTE2MTQBBAAAAAUAAAABNQEAAAAKMjA0MDE1NTgzMwIAAAAFMjQxNTMGAAAAATCE+gm8z6beCMPIO7zPpt4IMENJUS45OTIuSVFfVE9UQUxfT1VUU1RBTkRJTkdfRklMSU5HX0RBVEUuSVFfRlktNwEAAAAIQgYAAgAAAAwxMjAxNC43OTE2MTQB</t>
  </si>
  <si>
    <t>BAAAAAUAAAABNQEAAAAKMTk2NzQ0NzkyNAIAAAAFMjQxNTMGAAAAATCE+gm8z6beCMPIO7zPpt4IHENJUS45OTIuSVFfTFRfSU5WRVNULklRX0ZZLTUBAAAACEIGAAIAAAAGNjExLjI1AQgAAAAFAAAAATEBAAAACy0yMTQ2NjE2MzI1AwAAAAMxNjACAAAABDEwNTQEAAAAATAHAAAACTQvMzAvMjAyNggAAAAJMy8zMS8yMDIwCQAAAAEwhPoJvM+m3gjDyDu8z6beCDBDSVEuOTkyLklRX1RPVEFMX09VVFNUQU5ESU5HX0ZJTElOR19EQVRFLklRX0ZZLTkBAAAACEIGAAIAAAAMMTExMDguNjU0NzI0AQQAAAAFAAAAATUBAAAACjE4NDYxNDc5ODMCAAAABTI0MTUzBgAAAAEwhPoJvM+m3ghSoTu8z6beCDFDSVEuOTkyLklRX1RPVEFMX09VVFNUQU5ESU5HX0ZJTElOR19EQVRFLklRX0ZZLTEwAQAAAAhCBgACAAAADDExMTA4LjY1NDcyNAEEAAAABQAAAAE1AQAAAAoxNzk1NTM4NTk5AgAAAAUyNDE1MwYAAAABMIT6CbzPpt4IUqE7vM+m3ggcQ0lRLjk5Mi5JUV9MVF9JTlZFU1QuSVFfRlktMAEAAAAIQgYAAgAAAAcxODI1LjQ3AQgAAAAFAAAAATEBAAAACy0xOTM3NjY0ODgwAwAAAAMxNjACAAAABDEwNTQEAAAAATAHAAAACTQvMzAvMjAyNggAAAAJMy8zMS8yMDI1CQAAAAEwhPoJvM+m3ghSoTu8z6beCBxDSVEuOTkyLklRX0xUX0lOVkVTVC5JUV9GWS05AQAAAAhCBgACAAAABzE4MC4wMTEBCAAAAAUAAAABMQEA</t>
  </si>
  <si>
    <t>AAAKMTg0NjE0Nzk4MwMAAAADMTYwAgAAAAQxMDU0BAAAAAEwBwAAAAk0LzMwLzIwMjYIAAAACTMvMzEvMjAxNgkAAAABMIT6CbzPpt4Iw8g7vM+m3ggcQ0lRLjk5Mi5JUV9MVF9JTlZFU1QuSVFfRlktMgEAAAAIQgYAAgAAAAgxNzM4LjQxNAEIAAAABQAAAAExAQAAAAstMTk4OTI4NzUxMgMAAAADMTYwAgAAAAQxMDU0BAAAAAEwBwAAAAk0LzMwLzIwMjYIAAAACTMvMzEvMjAyMwkAAAABMIT6CbzPpt4IUqE7vM+m3ggcQ0lRLjk5Mi5JUV9MVF9JTlZFU1QuSVFfRlktMwEAAAAIQgYAAgAAAAgxNTA4LjUyNwEIAAAABQAAAAExAQAAAAstMjAzOTQ2MDcwMgMAAAADMTYwAgAAAAQxMDU0BAAAAAEwBwAAAAk0LzMwLzIwMjYIAAAACTMvMzEvMjAyMgkAAAABMIT6CbzPpt4IUqE7vM+m3ggcQ0lRLjk5Mi5JUV9MVF9JTlZFU1QuSVFfRlktNAEAAAAIQgYAAgAAAAc5NTUuMjY0AQgAAAAFAAAAATEBAAAACy0yMDkxNTcwNzA2AwAAAAMxNjACAAAABDEwNTQEAAAAATAHAAAACTQvMzAvMjAyNggAAAAJMy8zMS8yMDIxCQAAAAEwhPoJvM+m3ghSoTu8z6beCCRDSVEuOTkyLklRX01JTk9SSVRZX0lOVEVSRVNULklRX0ZZLTIBAAAACEIGAAIAAAAIMTAwNi43ODQBCAAAAAUAAAABMQEAAAALLTE5ODkyODc1MTIDAAAAAzE2MAIAAAAEMTA1MgQAAAABMAcAAAAJNC8zMC8yMDI2CAAAAAkzLzMxLzIwMjMJAAAAATCE+gm8</t>
  </si>
  <si>
    <t>z6beCFKhO7zPpt4IHENJUS45OTIuSVFfTFRfSU5WRVNULklRX0ZZLTYBAAAACEIGAAIAAAAGNTk5LjkxAQgAAAAFAAAAATEBAAAACjIwNDAxNTU4MzMDAAAAAzE2MAIAAAAEMTA1NAQAAAABMAcAAAAJNC8zMC8yMDI2CAAAAAkzLzMxLzIwMTkJAAAAATCE+gm8z6beCFKhO7zPpt4IHENJUS45OTIuSVFfTFRfSU5WRVNULklRX0ZZLTcBAAAACEIGAAIAAAAHNDA4Ljc0MwEIAAAABQAAAAExAQAAAAoxOTY3NDQ3OTI0AwAAAAMxNjACAAAABDEwNTQEAAAAATAHAAAACTQvMzAvMjAyNggAAAAJMy8zMS8yMDE4CQAAAAEwhPoJvM+m3ghSoTu8z6beCBxDSVEuOTkyLklRX0xUX0lOVkVTVC5JUV9GWS04AQAAAAhCBgACAAAABzI4OC40NjUBCAAAAAUAAAABMQEAAAAKMTg5MjI0NTc1MgMAAAADMTYwAgAAAAQxMDU0BAAAAAEwBwAAAAk0LzMwLzIwMjYIAAAACTMvMzEvMjAxNwkAAAABMIT6CbzPpt4IUqE7vM+m3ggkQ0lRLjk5Mi5JUV9NSU5PUklUWV9JTlRFUkVTVC5JUV9GWS02AQAAAAhCBgACAAAACDE0NjYuODQ4AQgAAAAFAAAAATEBAAAACjIwNDAxNTU4MzMDAAAAAzE2MAIAAAAEMTA1MgQAAAABMAcAAAAJNC8zMC8yMDI2CAAAAAkzLzMxLzIwMTkJAAAAATCE+gm8z6beCFKhO7zPpt4IHUNJUS45OTIuSVFfTFRfSU5WRVNULklRX0ZZLTEwAQAAAAhCBgACAAAABzExOS4xMTkBCAAAAAUAAAABMQEAAAAKMTc5</t>
  </si>
  <si>
    <t>NTUzODU5OQMAAAADMTYwAgAAAAQxMDU0BAAAAAEwBwAAAAk0LzMwLzIwMjYIAAAACTMvMzEvMjAxNQkAAAABMIT6CbzPpt4IUqE7vM+m3ggkQ0lRLjk5Mi5JUV9NSU5PUklUWV9JTlRFUkVTVC5JUV9GWS0wAQAAAAhCBgACAAAACDExMzguMjgzAQgAAAAFAAAAATEBAAAACy0xOTM3NjY0ODgwAwAAAAMxNjACAAAABDEwNTIEAAAAATAHAAAACTQvMzAvMjAyNggAAAAJMy8zMS8yMDI1CQAAAAEwhPoJvM+m3ghSoTu8z6beCCRDSVEuOTkyLklRX01JTk9SSVRZX0lOVEVSRVNULklRX0ZZLTEBAAAACEIGAAIAAAAIMTA0NS45NDcBCAAAAAUAAAABMQEAAAALLTE5Mzc2NjQ4ODgDAAAAAzE2MAIAAAAEMTA1MgQAAAABMAcAAAAJNC8zMC8yMDI2CAAAAAkzLzMxLzIwMjQJAAAAATCE+gm8z6beCFKhO7zPpt4IJUNJUS45OTIuSVFfTUlOT1JJVFlfSU5URVJFU1QuSVFfRlktMTABAAAACEIGAAIAAAAHMjM1LjM3OAEIAAAABQAAAAExAQAAAAoxNzk1NTM4NTk5AwAAAAMxNjACAAAABDEwNTIEAAAAATAHAAAACTQvMzAvMjAyNggAAAAJMy8zMS8yMDE1CQAAAAEwhPoJvM+m3ghSoTu8z6beCCRDSVEuOTkyLklRX01JTk9SSVRZX0lOVEVSRVNULklRX0ZZLTMBAAAACEIGAAIAAAAHOTUxLjQxNQEIAAAABQAAAAExAQAAAAstMjAzOTQ2MDcwMgMAAAADMTYwAgAAAAQxMDUyBAAAAAEwBwAAAAk0LzMwLzIwMjYIAAAACTMv</t>
  </si>
  <si>
    <t>MzEvMjAyMgkAAAABMIT6CbzPpt4IQno7vM+m3ggkQ0lRLjk5Mi5JUV9NSU5PUklUWV9JTlRFUkVTVC5JUV9GWS00AQAAAAhCBgACAAAABzgxNy43MzUBCAAAAAUAAAABMQEAAAALLTIwOTE1NzA3MDYDAAAAAzE2MAIAAAAEMTA1MgQAAAABMAcAAAAJNC8zMC8yMDI2CAAAAAkzLzMxLzIwMjEJAAAAATCE+gm8z6beCEJ6O7zPpt4IJENJUS45OTIuSVFfTUlOT1JJVFlfSU5URVJFU1QuSVFfRlktNQEAAAAIQgYAAgAAAAgxNjI3Ljk5MQEIAAAABQAAAAExAQAAAAstMjE0NjYxNjMyNQMAAAADMTYwAgAAAAQxMDUyBAAAAAEwBwAAAAk0LzMwLzIwMjYIAAAACTMvMzEvMjAyMAkAAAABMIT6CbzPpt4IQno7vM+m3ggwQ0lRLjk5Mi5JUV9UT1RBTF9PVVRTVEFORElOR19GSUxJTkdfREFURS5JUV9GUS0wAQAAAAhCBgACAAAADDEyNDA0LjY1OTMwMgEEAAAABQAAAAE1AQAAAAstMTkwNzE2MDI3NAIAAAAFMjQxNTMGAAAAATCE+gm8z6beCEJ6O7zPpt4IJENJUS45OTIuSVFfTUlOT1JJVFlfSU5URVJFU1QuSVFfRlktNwEAAAAIQgYAAgAAAAgxMjQwLjI2OAEIAAAABQAAAAExAQAAAAoxOTY3NDQ3OTI0AwAAAAMxNjACAAAABDEwNTIEAAAAATAHAAAACTQvMzAvMjAyNggAAAAJMy8zMS8yMDE4CQAAAAEwhPoJvM+m3ghCeju8z6beCCRDSVEuOTkyLklRX01JTk9SSVRZX0lOVEVSRVNULklRX0ZZLTgBAAAACEIGAAIA</t>
  </si>
  <si>
    <t>AAAIMTA4NC41MjEBCAAAAAUAAAABMQEAAAAKMTg5MjI0NTc1MgMAAAADMTYwAgAAAAQxMDUyBAAAAAEwBwAAAAk0LzMwLzIwMjYIAAAACTMvMzEvMjAxNwkAAAABMIT6CbzPpt4IQno7vM+m3ggkQ0lRLjk5Mi5JUV9NSU5PUklUWV9JTlRFUkVTVC5JUV9GWS05AQAAAAhCBgACAAAABzIzOC45NDkBCAAAAAUAAAABMQEAAAAKMTg0NjE0Nzk4MwMAAAADMTYwAgAAAAQxMDUyBAAAAAEwBwAAAAk0LzMwLzIwMjYIAAAACTMvMzEvMjAxNgkAAAABMIT6CbzPpt4IQno7vM+m3ggdQ0lRLjk5Mi5JUV9DQVNIX0VRVUlWLklRX0ZRLTABAAAACEIGAAIAAAAHNTIyMS40MQEIAAAABQAAAAExAQAAAAstMTkwNzE2MDI3NAMAAAADMTYwAgAAAAQxMDk2BAAAAAEwBwAAAAk0LzMwLzIwMjYIAAAACjEyLzMxLzIwMjUJAAAAATCE+gm8z6beCEJ6O7zPpt4IH0NJUS45OTIuSVFfVE9UQUxfRVFVSVRZLklRX0ZRLTABAAAACEIGAAIAAAAINzg0Ni4wNzcBCAAAAAUAAAABMQEAAAALLTE5MDcxNjAyNzQDAAAAAzE2MAIAAAAEMTI3NQQAAAABMAcAAAAJNC8zMC8yMDI2CAAAAAoxMi8zMS8yMDI1CQAAAAEwhPoJvM+m3ghCeju8z6beCB1DSVEuOTkyLklRX1RPVEFMX0RFQlQuSVFfRlEtMAEAAAAIQgYAAgAAAAg1MDUyLjQ2OAEIAAAABQAAAAExAQAAAAstMTkwNzE2MDI3NAMAAAADMTYwAgAAAAQ0MTczBAAAAAEwBwAAAAk0LzMw</t>
  </si>
  <si>
    <t>LzIwMjYIAAAACjEyLzMxLzIwMjUJAAAAATCE+gm8z6beCEJ6O7zPpt4IHENJUS45OTIuSVFfTFRfSU5WRVNULklRX0ZRLTABAAAACEIGAAIAAAAIMjIxMC44NjUBCAAAAAUAAAABMQEAAAALLTE5MDcxNjAyNzQDAAAAAzE2MAIAAAAEMTA1NAQAAAABMAcAAAAJNC8zMC8yMDI2CAAAAAoxMi8zMS8yMDI1CQAAAAEwhPoJvM+m3giZUzu8z6beCCRDSVEuOTkyLklRX01JTk9SSVRZX0lOVEVSRVNULklRX0ZRLTABAAAACEIGAAIAAAAIMTMyMS44NjQBCAAAAAUAAAABMQEAAAALLTE5MDcxNjAyNzQDAAAAAzE2MAIAAAAEMTA1MgQAAAABMAcAAAAJNC8zMC8yMDI2CAAAAAoxMi8zMS8yMDI1CQAAAAEwhPoJvM+m3giZUzu8z6beCBpDSVEuOTkyLklRX0ZJTElOR19DVVJSRU5DWQEAAAAIQgYAAwAAAANVU0QAhPoJvM+m3giZUzu8z6beCBZDSVEuOTkyLklRX09MX0NPTU1fQ1kzAQAAAAhCBgADAAAAAACE+gm8z6beCJlTO7zPpt4IIENJUS45OTIuSVFfRUZGRUNUX1RBWF9SQVRFLklRX0ZZAQAAAAhCBgACAAAABjEuMjc3NAEIAAAABQAAAAExAQAAAAstMTkzNzY2NDg4MAMAAAADMTYwAgAAAAQ0Mzc2BAAAAAEwBwAAAAk0LzMwLzIwMjYIAAAACTMvMzEvMjAyNQkAAAABMIT6CbzPpt4ImVM7vM+m3ggZQ0lRLjk5Mi5JUV9PUFRJT05TX0VORF9PUwEAAAAIQgYAAwAAAAAAhPoJvM+m3giZUzu8z6beCCJDSVEuOTky</t>
  </si>
  <si>
    <t>LklRX09QVElPTlNfU1RSSUtFX1BSSUNFX09TAQAAAAhCBgADAAAAAACE+gm8z6beCJlTO7zPpt4IHUNJUS45OTIuSVFfUEVSSU9EREFURS5JUV9GUS0wAQAAAAhCBgAFAAAACjIwMjUvMTIvMzEAhPoJvM+m3giZUzu8z6beCBVDSVEuOTkyLklRX09MX0NPTU1fQ1kBAAAACEIGAAMAAAAAAIT6CbzPpt4Ifiw7vM+m3ggWQ0lRLjk5Mi5JUV9PTF9DT01NX0NZMQEAAAAIQgYAAwAAAAAAhPoJvM+m3gh+LDu8z6beCBZDSVEuOTkyLklRX09MX0NPTU1fQ1kyAQAAAAhCBgADAAAAAACE+gm8z6beCJlTO7zPpt4IJENJUS45OTIuSVFfR0VPX1NFR19SRVZfVE9UQUwuSVFfRlEtMAEAAAAIQgYAAwAAAAAAhPoJvM+m3giZUzu8z6beCBZDSVEuOTkyLklRX09MX0NPTU1fQ1k0AQAAAAhCBgADAAAAAACE+gm8z6beCH4sO7zPpt4IHENJUS45OTIuSVFfT0xfQ09NTV9ORVhUX0ZJVkUBAAAACEIGAAMAAAAAAIT6CbzPpt4Ifiw7vM+m3ggdQ0lRLjk5Mi5JUV9QRVJJT0REQVRFLklRX0ZZLTABAAAACEIGAAUAAAAJMjAyNS8zLzMxAIT6CbzPpt4Ifiw7vM+m3gg2Q0lRUkFOR0UuOTkyLklRX0dFT19TRUdfUkVWX0FCUy4xLjEwLjEwMDAuLi4uLi5SRVZFTlVFAwAAAAhCBgAKAAAAAAAAAAQAAAAAAAAABSI5OTIiAzk5MgEAAAAUIklRX0dFT19TRUdfUkVWX0FCUyISSVFfR0VPX1NFR19SRVZfQUJTAgAAAAVJUV9GWQQxMDAw</t>
  </si>
  <si>
    <t>CAAAAAExATEAAAAABAAAAAAAAAAFIjk5MiIDOTkyAQAAABQiSVFfR0VPX1NFR19SRVZfQUJTIhJJUV9HRU9fU0VHX1JFVl9BQlMCAAAABUlRX0ZZBDEwMDAIAAAAATIBMgAAAAAEAAAAAAAAAAUiOTkyIgM5OTIBAAAAFCJJUV9HRU9fU0VHX1JFVl9BQlMiEklRX0dFT19TRUdfUkVWX0FCUwIAAAAFSVFfRlkEMTAwMAgAAAABMwEzAAAAAAQAAAAAAAAABSI5OTIiAzk5MgEAAAAUIklRX0dFT19TRUdfUkVWX0FCUyISSVFfR0VPX1NFR19SRVZfQUJTAgAAAAVJUV9GWQQxMDAwCAAAAAE0ATQAAAAABAAAAAAAAAAFIjk5MiIDOTkyAQAAABQiSVFfR0VPX1NFR19SRVZfQUJTIhJJUV9HRU9fU0VHX1JFVl9BQlMCAAAABUlRX0ZZBDEwMDAIAAAAATUBNQAAAAAEAAAAAAAAAAUiOTkyIgM5OTIBAAAAFCJJUV9HRU9fU0VHX1JFVl9BQlMiEklRX0dFT19TRUdfUkVWX0FCUwIAAAAFSVFfRlkEMTAwMAgAAAABNgE2AAAAAAQAAAAAAAAABSI5OTIiAzk5MgEAAAAUIklRX0dFT19TRUdfUkVWX0FCUyISSVFfR0VPX1NFR19SRVZfQUJTAgAAAAVJUV9GWQQxMDAwCAAAAAE3ATcAAAAABAAAAAAAAAAFIjk5MiIDOTkyAQAAABQiSVFfR0VPX1NFR19SRVZfQUJTIhJJUV9HRU9fU0VHX1JFVl9BQlMCAAAABUlRX0ZZBDEwMDAIAAAAATgBOAAAAAAEAAAAAAAAAAUiOTkyIgM5OTIBAAAAFCJJUV9HRU9fU0VHX1JFVl9BQlMiEklR</t>
  </si>
  <si>
    <t>X0dFT19TRUdfUkVWX0FCUwIAAAAFSVFfRlkEMTAwMAgAAAABOQE5AAAAAAQAAAAAAAAABSI5OTIiAzk5MgEAAAAUIklRX0dFT19TRUdfUkVWX0FCUyISSVFfR0VPX1NFR19SRVZfQUJTAgAAAAVJUV9GWQQxMDAwCAAAAAIxMAIxMIT6CbzPpt4I9MM+vM+m3ggmQ0lRLjk5Mi5JUV9HRU9fU0VHX1JFVl9BQlMuMTAwMC4uLi4uLjEBAAAACEIGAAIAAAAJMTU5MDEuMjE4AQYAAAAFAAAAATQBAAAACy0xOTM3NjY0ODgwAgAAAAQzNTE1AwAAAAMxNjAEAAAAATAGAAAACTkwMTk2Mzk2OIT6CbzPpt4I9MM+vM+m3ggmQ0lRLjk5Mi5JUV9HRU9fU0VHX1JFVl9BQlMuMTAwMC4uLi4uLjIBAAAACEIGAAIAAAAJMTI5NDIuMDUyAQYAAAAFAAAAATQBAAAACy0xOTM3NjY0ODgwAgAAAAQzNTE1AwAAAAMxNjAEAAAAATAGAAAACTkwMTkzNTQ5OYT6CbzPpt4I+uo+vM+m3ggmQ0lRLjk5Mi5JUV9HRU9fU0VHX1JFVl9BQlMuMTAwMC4uLi4uLjMBAAAACEIGAAIAAAAIMTY5MzYuMjUBBgAAAAUAAAABNAEAAAALLTE5Mzc2NjQ4ODACAAAABDM1MTUDAAAAAzE2MAQAAAABMAYAAAAJOTAxOTM1NDk4hPoJvM+m3gj66j68z6beCCZDSVEuOTkyLklRX0dFT19TRUdfUkVWX0FCUy4xMDAwLi4uLi4uNAEAAAAIQgYAAgAAAAkyMzI5Ny40NDgBBgAAAAUAAAABNAEAAAALLTE5Mzc2NjQ4ODACAAAABDM1MTUDAAAAAzE2MAQAAAABMAYA</t>
  </si>
  <si>
    <t>AAAJOTAxNDM2MzgzhPoJvM+m3gj66j68z6beCCZDSVEuOTkyLklRX0dFT19TRUdfUkVWX0FCUy4xMDAwLi4uLi4uNQEAAAAIQgYAAwAAAAAAhPoJvM+m3gj0wz68z6beCCZDSVEuOTkyLklRX0dFT19TRUdfUkVWX0FCUy4xMDAwLi4uLi4uNgEAAAAIQgYAAwAAAAAAhPoJvM+m3gj0wz68z6beCCZDSVEuOTkyLklRX0dFT19TRUdfUkVWX0FCUy4xMDAwLi4uLi4uNwEAAAAIQgYAAwAAAAAAhPoJvM+m3gj0wz68z6beCCZDSVEuOTkyLklRX0dFT19TRUdfUkVWX0FCUy4xMDAwLi4uLi4uOAEAAAAIQgYAAwAAAAAAhPoJvM+m3gj0wz68z6beCCZDSVEuOTkyLklRX0dFT19TRUdfUkVWX0FCUy4xMDAwLi4uLi4uOQEAAAAIQgYAAwAAAAAAhPoJvM+m3gj0wz68z6beCCdDSVEuOTkyLklRX0dFT19TRUdfUkVWX0FCUy4xMDAwLi4uLi4uMTABAAAACEIGAAMAAAAAAIT6CbzPpt4I9MM+vM+m3gg8Q0lRUkFOR0UuOTkyLklRX0dFT19TRUdfTkFNRV9BQlMuMS4xMC4xMDAwLi4uLi4uU0VHTUVOVCBOQU1FAwAAAAhCBgAKAAAAAAAAAAQAAAAAAAAABSI5OTIiAzk5MgEAAAAVIklRX0dFT19TRUdfTkFNRV9BQlMiE0lRX0dFT19TRUdfTkFNRV9BQlMCAAAABUlRX0ZZBDEwMDAIAAAAATEBMQAAAAAEAAAAAAAAAAUiOTkyIgM5OTIBAAAAFSJJUV9HRU9fU0VHX05BTUVfQUJTIhNJUV9HRU9fU0VHX05BTUVfQUJTAgAAAAVJ</t>
  </si>
  <si>
    <t>UV9GWQQxMDAwCAAAAAEyATIAAAAABAAAAAAAAAAFIjk5MiIDOTkyAQAAABUiSVFfR0VPX1NFR19OQU1FX0FCUyITSVFfR0VPX1NFR19OQU1FX0FCUwIAAAAFSVFfRlkEMTAwMAgAAAABMwEzAAAAAAQAAAAAAAAABSI5OTIiAzk5MgEAAAAVIklRX0dFT19TRUdfTkFNRV9BQlMiE0lRX0dFT19TRUdfTkFNRV9BQlMCAAAABUlRX0ZZBDEwMDAIAAAAATQBNAAAAAAEAAAAAAAAAAUiOTkyIgM5OTIBAAAAFSJJUV9HRU9fU0VHX05BTUVfQUJTIhNJUV9HRU9fU0VHX05BTUVfQUJTAgAAAAVJUV9GWQQxMDAwCAAAAAE1ATUAAAAABAAAAAAAAAAFIjk5MiIDOTkyAQAAABUiSVFfR0VPX1NFR19OQU1FX0FCUyITSVFfR0VPX1NFR19OQU1FX0FCUwIAAAAFSVFfRlkEMTAwMAgAAAABNgE2AAAAAAQAAAAAAAAABSI5OTIiAzk5MgEAAAAVIklRX0dFT19TRUdfTkFNRV9BQlMiE0lRX0dFT19TRUdfTkFNRV9BQlMCAAAABUlRX0ZZBDEwMDAIAAAAATcBNwAAAAAEAAAAAAAAAAUiOTkyIgM5OTIBAAAAFSJJUV9HRU9fU0VHX05BTUVfQUJTIhNJUV9HRU9fU0VHX05BTUVfQUJTAgAAAAVJUV9GWQQxMDAwCAAAAAE4ATgAAAAABAAAAAAAAAAFIjk5MiIDOTkyAQAAABUiSVFfR0VPX1NFR19OQU1FX0FCUyITSVFfR0VPX1NFR19OQU1FX0FCUwIAAAAFSVFfRlkEMTAwMAgAAAABOQE5AAAAAAQAAAAAAAAABSI5OTIiAzk5MgEAAAAV</t>
  </si>
  <si>
    <t>IklRX0dFT19TRUdfTkFNRV9BQlMiE0lRX0dFT19TRUdfTkFNRV9BQlMCAAAABUlRX0ZZBDEwMDAIAAAAAjEwAjEwhPoJvM+m3gj66j68z6beCCdDSVEuOTkyLklRX0dFT19TRUdfTkFNRV9BQlMuMTAwMC4uLi4uLjEBAAAACEIGAAMAAAAFQ2hpbmEAhPoJvM+m3gj66j68z6beCCdDSVEuOTkyLklRX0dFT19TRUdfTkFNRV9BQlMuMTAwMC4uLi4uLjIBAAAACEIGAAMAAAARQXNpYSBQYWNpZmljIChBUCkAhPoJvM+m3gj66j68z6beCCdDSVEuOTkyLklRX0dFT19TRUdfTkFNRV9BQlMuMTAwMC4uLi4uLjMBAAAACEIGAAMAAAAgRXVyb3BlLU1pZGRsZSBFYXN0LUFmcmljYSAoRU1FQSkAhPoJvM+m3gj66j68z6beCCdDSVEuOTkyLklRX0dFT19TRUdfTkFNRV9BQlMuMTAwMC4uLi4uLjQBAAAACEIGAAMAAAANQW1lcmljYXMgKEFHKQCE+gm8z6beCPrqPrzPpt4IJ0NJUS45OTIuSVFfR0VPX1NFR19OQU1FX0FCUy4xMDAwLi4uLi4uNQEAAAAIQgYAAwAAAA5NYWlubGFuZCBDaGluYQCE+gm8z6beCAcSP7zPpt4IJ0NJUS45OTIuSVFfR0VPX1NFR19OQU1FX0FCUy4xMDAwLi4uLi4uNgEAAAAIQgYAAwAAAA9PdGhlciBDb3VudHJpZXMAhPoJvM+m3ggHEj+8z6beCCdDSVEuOTkyLklRX0dFT19TRUdfTkFNRV9BQlMuMTAwMC4uLi4uLjcBAAAACEIGAAMAAAAjSGVhZHF1YXJ0ZXJzIGFuZCBDb3Jwb3JhdGUgRXhw</t>
  </si>
  <si>
    <t>ZW5zZXMAhPoJvM+m3ggHEj+8z6beCCdDSVEuOTkyLklRX0dFT19TRUdfTkFNRV9BQlMuMTAwMC4uLi4uLjgBAAAACEIGAAMAAAAfVW5hbGxvY2F0ZWQgUmVzdHJ1Y3R1cmluZyBDb3N0cwCE+gm8z6beCPrqPrzPpt4IJ0NJUS45OTIuSVFfR0VPX1NFR19OQU1FX0FCUy4xMDAwLi4uLi4uOQEAAAAIQgYAAwAAABpVbmFsbG9jYXRlZCBGaW5hbmNlIEluY29tZQCE+gm8z6beCAcSP7zPpt4IKENJUS45OTIuSVFfR0VPX1NFR19OQU1FX0FCUy4xMDAwLi4uLi4uMTABAAAACEIGAAMAAAAZVW5hbGxvY2F0ZWQgRmluYW5jZSBDb3N0cwCE+gm8z6beCAcSP7zPpt4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</si>
</sst>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family val="2"/>
      <scheme val="minor"/>
    </font>
    <font>
      <b/>
      <sz val="12"/>
      <name val="宋体"/>
      <charset val="134"/>
    </font>
    <font>
      <i/>
      <sz val="11"/>
      <color rgb="FF666666"/>
      <name val="宋体"/>
      <charset val="134"/>
    </font>
    <font>
      <i/>
      <sz val="11"/>
      <color rgb="FF444444"/>
      <name val="宋体"/>
      <charset val="134"/>
    </font>
    <font>
      <b/>
      <sz val="11"/>
      <color rgb="FFFFFFFF"/>
      <name val="宋体"/>
      <charset val="134"/>
    </font>
    <font>
      <b/>
      <sz val="11"/>
      <name val="宋体"/>
      <charset val="134"/>
    </font>
    <font>
      <sz val="10"/>
      <color rgb="FF0000CC"/>
      <name val="宋体"/>
      <charset val="134"/>
    </font>
    <font>
      <sz val="9"/>
      <name val="宋体"/>
      <family val="3"/>
      <charset val="134"/>
      <scheme val="minor"/>
    </font>
    <font>
      <b/>
      <sz val="14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4" fontId="0" fillId="0" borderId="1" xfId="0" applyNumberFormat="1" applyBorder="1"/>
    <xf numFmtId="0" fontId="5" fillId="4" borderId="0" xfId="0" applyFont="1" applyFill="1"/>
    <xf numFmtId="0" fontId="0" fillId="0" borderId="0" xfId="0"/>
    <xf numFmtId="0" fontId="0" fillId="0" borderId="2" xfId="0" applyFill="1" applyBorder="1"/>
    <xf numFmtId="0" fontId="6" fillId="5" borderId="1" xfId="0" applyFont="1" applyFill="1" applyBorder="1"/>
    <xf numFmtId="0" fontId="0" fillId="5" borderId="0" xfId="0" applyFill="1"/>
    <xf numFmtId="0" fontId="8" fillId="2" borderId="0" xfId="0" applyFont="1" applyFill="1" applyAlignment="1">
      <alignment horizont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8794-7D48-412D-9450-C90F67F9FE0F}">
  <dimension ref="A1:CN1"/>
  <sheetViews>
    <sheetView workbookViewId="0"/>
  </sheetViews>
  <sheetFormatPr defaultRowHeight="14.1" x14ac:dyDescent="0.4"/>
  <sheetData>
    <row r="1" spans="1:92" x14ac:dyDescent="0.4">
      <c r="A1">
        <v>92</v>
      </c>
      <c r="B1" t="s">
        <v>172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  <c r="Q1" t="s">
        <v>168</v>
      </c>
      <c r="R1" t="s">
        <v>169</v>
      </c>
      <c r="S1" t="s">
        <v>170</v>
      </c>
      <c r="T1" t="s">
        <v>173</v>
      </c>
      <c r="U1" t="s">
        <v>174</v>
      </c>
      <c r="V1" t="s">
        <v>175</v>
      </c>
      <c r="W1" t="s">
        <v>176</v>
      </c>
      <c r="X1" t="s">
        <v>177</v>
      </c>
      <c r="Y1" t="s">
        <v>178</v>
      </c>
      <c r="Z1" t="s">
        <v>179</v>
      </c>
      <c r="AA1" t="s">
        <v>180</v>
      </c>
      <c r="AB1" t="s">
        <v>181</v>
      </c>
      <c r="AC1" t="s">
        <v>182</v>
      </c>
      <c r="AD1" t="s">
        <v>183</v>
      </c>
      <c r="AE1" t="s">
        <v>184</v>
      </c>
      <c r="AF1" t="s">
        <v>185</v>
      </c>
      <c r="AG1" t="s">
        <v>186</v>
      </c>
      <c r="AH1" t="s">
        <v>187</v>
      </c>
      <c r="AI1" t="s">
        <v>188</v>
      </c>
      <c r="AJ1" t="s">
        <v>189</v>
      </c>
      <c r="AK1" t="s">
        <v>190</v>
      </c>
      <c r="AL1" t="s">
        <v>191</v>
      </c>
      <c r="AM1" t="s">
        <v>192</v>
      </c>
      <c r="AN1" t="s">
        <v>193</v>
      </c>
      <c r="AO1" t="s">
        <v>194</v>
      </c>
      <c r="AP1" t="s">
        <v>195</v>
      </c>
      <c r="AQ1" t="s">
        <v>196</v>
      </c>
      <c r="AR1" t="s">
        <v>197</v>
      </c>
      <c r="AS1" t="s">
        <v>198</v>
      </c>
      <c r="AT1" t="s">
        <v>199</v>
      </c>
      <c r="AU1" t="s">
        <v>200</v>
      </c>
      <c r="AV1" t="s">
        <v>201</v>
      </c>
      <c r="AW1" t="s">
        <v>202</v>
      </c>
      <c r="AX1" t="s">
        <v>203</v>
      </c>
      <c r="AY1" t="s">
        <v>204</v>
      </c>
      <c r="AZ1" t="s">
        <v>205</v>
      </c>
      <c r="BA1" t="s">
        <v>206</v>
      </c>
      <c r="BB1" t="s">
        <v>207</v>
      </c>
      <c r="BC1" t="s">
        <v>208</v>
      </c>
      <c r="BD1" t="s">
        <v>209</v>
      </c>
      <c r="BE1" t="s">
        <v>210</v>
      </c>
      <c r="BF1" t="s">
        <v>211</v>
      </c>
      <c r="BG1" t="s">
        <v>212</v>
      </c>
      <c r="BH1" t="s">
        <v>213</v>
      </c>
      <c r="BI1" t="s">
        <v>214</v>
      </c>
      <c r="BJ1" t="s">
        <v>215</v>
      </c>
      <c r="BK1" t="s">
        <v>216</v>
      </c>
      <c r="BL1" t="s">
        <v>217</v>
      </c>
      <c r="BM1" t="s">
        <v>218</v>
      </c>
      <c r="BN1" t="s">
        <v>219</v>
      </c>
      <c r="BO1" t="s">
        <v>220</v>
      </c>
      <c r="BP1" t="s">
        <v>221</v>
      </c>
      <c r="BQ1" t="s">
        <v>222</v>
      </c>
      <c r="BR1" t="s">
        <v>223</v>
      </c>
      <c r="BS1" t="s">
        <v>224</v>
      </c>
      <c r="BT1" t="s">
        <v>225</v>
      </c>
      <c r="BU1" t="s">
        <v>226</v>
      </c>
      <c r="BV1" t="s">
        <v>227</v>
      </c>
      <c r="BW1" t="s">
        <v>228</v>
      </c>
      <c r="BX1" t="s">
        <v>229</v>
      </c>
      <c r="BY1" t="s">
        <v>230</v>
      </c>
      <c r="BZ1" t="s">
        <v>231</v>
      </c>
      <c r="CA1" t="s">
        <v>232</v>
      </c>
      <c r="CB1" t="s">
        <v>233</v>
      </c>
      <c r="CC1" t="s">
        <v>234</v>
      </c>
      <c r="CD1" t="s">
        <v>235</v>
      </c>
      <c r="CE1" t="s">
        <v>236</v>
      </c>
      <c r="CF1" t="s">
        <v>237</v>
      </c>
      <c r="CG1" t="s">
        <v>238</v>
      </c>
      <c r="CH1" t="s">
        <v>239</v>
      </c>
      <c r="CI1" t="s">
        <v>240</v>
      </c>
      <c r="CJ1" t="s">
        <v>241</v>
      </c>
      <c r="CK1" t="s">
        <v>242</v>
      </c>
      <c r="CL1" t="s">
        <v>243</v>
      </c>
      <c r="CM1" t="s">
        <v>244</v>
      </c>
      <c r="CN1" t="s">
        <v>245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4"/>
  <sheetViews>
    <sheetView tabSelected="1" topLeftCell="A330" workbookViewId="0">
      <selection activeCell="A344" sqref="A344:C344"/>
    </sheetView>
  </sheetViews>
  <sheetFormatPr defaultRowHeight="14.1" x14ac:dyDescent="0.4"/>
  <cols>
    <col min="1" max="1" width="30" customWidth="1"/>
    <col min="2" max="2" width="12" customWidth="1"/>
    <col min="3" max="3" width="55" customWidth="1"/>
    <col min="4" max="4" width="20" customWidth="1"/>
    <col min="5" max="5" width="40" customWidth="1"/>
  </cols>
  <sheetData>
    <row r="1" spans="1:5" ht="18.3" x14ac:dyDescent="0.55000000000000004">
      <c r="A1" s="1" t="s">
        <v>0</v>
      </c>
      <c r="B1" s="13">
        <v>992</v>
      </c>
      <c r="C1" s="2" t="s">
        <v>1</v>
      </c>
    </row>
    <row r="2" spans="1:5" x14ac:dyDescent="0.4">
      <c r="A2" t="s">
        <v>2</v>
      </c>
      <c r="B2" s="3" t="s">
        <v>3</v>
      </c>
    </row>
    <row r="4" spans="1:5" x14ac:dyDescent="0.4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</row>
    <row r="5" spans="1:5" x14ac:dyDescent="0.4">
      <c r="A5" s="8" t="s">
        <v>9</v>
      </c>
      <c r="B5" s="9"/>
      <c r="C5" s="9"/>
      <c r="D5" s="9"/>
      <c r="E5" s="9"/>
    </row>
    <row r="6" spans="1:5" x14ac:dyDescent="0.4">
      <c r="A6" s="5" t="s">
        <v>10</v>
      </c>
      <c r="B6" s="5" t="s">
        <v>11</v>
      </c>
      <c r="C6" s="6">
        <f>_xll.ciqfunctions.udf.CIQ($B$1,"IQ_TOTAL_REV","IQ_FY-0")</f>
        <v>69076.967999999993</v>
      </c>
      <c r="D6" s="7">
        <f t="shared" ref="D6:D37" si="0">C6</f>
        <v>69076.967999999993</v>
      </c>
      <c r="E6" s="5" t="s">
        <v>12</v>
      </c>
    </row>
    <row r="7" spans="1:5" x14ac:dyDescent="0.4">
      <c r="A7" s="5" t="s">
        <v>10</v>
      </c>
      <c r="B7" s="5" t="s">
        <v>13</v>
      </c>
      <c r="C7" s="6">
        <f>_xll.ciqfunctions.udf.CIQ($B$1,"IQ_TOTAL_REV","IQ_FY-1")</f>
        <v>56863.784</v>
      </c>
      <c r="D7" s="7">
        <f t="shared" si="0"/>
        <v>56863.784</v>
      </c>
      <c r="E7" s="5" t="s">
        <v>12</v>
      </c>
    </row>
    <row r="8" spans="1:5" x14ac:dyDescent="0.4">
      <c r="A8" s="5" t="s">
        <v>10</v>
      </c>
      <c r="B8" s="5" t="s">
        <v>14</v>
      </c>
      <c r="C8" s="6">
        <f>_xll.ciqfunctions.udf.CIQ($B$1,"IQ_TOTAL_REV","IQ_FY-2")</f>
        <v>61946.853999999999</v>
      </c>
      <c r="D8" s="7">
        <f t="shared" si="0"/>
        <v>61946.853999999999</v>
      </c>
      <c r="E8" s="5" t="s">
        <v>12</v>
      </c>
    </row>
    <row r="9" spans="1:5" x14ac:dyDescent="0.4">
      <c r="A9" s="5" t="s">
        <v>10</v>
      </c>
      <c r="B9" s="5" t="s">
        <v>15</v>
      </c>
      <c r="C9" s="6">
        <f>_xll.ciqfunctions.udf.CIQ($B$1,"IQ_TOTAL_REV","IQ_FY-3")</f>
        <v>71618.216</v>
      </c>
      <c r="D9" s="7">
        <f t="shared" si="0"/>
        <v>71618.216</v>
      </c>
      <c r="E9" s="5" t="s">
        <v>12</v>
      </c>
    </row>
    <row r="10" spans="1:5" x14ac:dyDescent="0.4">
      <c r="A10" s="5" t="s">
        <v>10</v>
      </c>
      <c r="B10" s="5" t="s">
        <v>16</v>
      </c>
      <c r="C10" s="6">
        <f>_xll.ciqfunctions.udf.CIQ($B$1,"IQ_TOTAL_REV","IQ_FY-4")</f>
        <v>60742.311999999998</v>
      </c>
      <c r="D10" s="7">
        <f t="shared" si="0"/>
        <v>60742.311999999998</v>
      </c>
      <c r="E10" s="5" t="s">
        <v>12</v>
      </c>
    </row>
    <row r="11" spans="1:5" x14ac:dyDescent="0.4">
      <c r="A11" s="5" t="s">
        <v>10</v>
      </c>
      <c r="B11" s="5" t="s">
        <v>17</v>
      </c>
      <c r="C11" s="6">
        <f>_xll.ciqfunctions.udf.CIQ($B$1,"IQ_TOTAL_REV","IQ_FY-5")</f>
        <v>50716.349000000002</v>
      </c>
      <c r="D11" s="7">
        <f t="shared" si="0"/>
        <v>50716.349000000002</v>
      </c>
      <c r="E11" s="5" t="s">
        <v>12</v>
      </c>
    </row>
    <row r="12" spans="1:5" x14ac:dyDescent="0.4">
      <c r="A12" s="5" t="s">
        <v>10</v>
      </c>
      <c r="B12" s="5" t="s">
        <v>18</v>
      </c>
      <c r="C12" s="6">
        <f>_xll.ciqfunctions.udf.CIQ($B$1,"IQ_TOTAL_REV","IQ_FY-6")</f>
        <v>51037.942999999999</v>
      </c>
      <c r="D12" s="7">
        <f t="shared" si="0"/>
        <v>51037.942999999999</v>
      </c>
      <c r="E12" s="5" t="s">
        <v>12</v>
      </c>
    </row>
    <row r="13" spans="1:5" x14ac:dyDescent="0.4">
      <c r="A13" s="5" t="s">
        <v>10</v>
      </c>
      <c r="B13" s="5" t="s">
        <v>19</v>
      </c>
      <c r="C13" s="6">
        <f>_xll.ciqfunctions.udf.CIQ($B$1,"IQ_TOTAL_REV","IQ_FY-7")</f>
        <v>45349.942999999999</v>
      </c>
      <c r="D13" s="7">
        <f t="shared" si="0"/>
        <v>45349.942999999999</v>
      </c>
      <c r="E13" s="5" t="s">
        <v>12</v>
      </c>
    </row>
    <row r="14" spans="1:5" x14ac:dyDescent="0.4">
      <c r="A14" s="5" t="s">
        <v>10</v>
      </c>
      <c r="B14" s="5" t="s">
        <v>20</v>
      </c>
      <c r="C14" s="6">
        <f>_xll.ciqfunctions.udf.CIQ($B$1,"IQ_TOTAL_REV","IQ_FY-8")</f>
        <v>43034.731</v>
      </c>
      <c r="D14" s="7">
        <f t="shared" si="0"/>
        <v>43034.731</v>
      </c>
      <c r="E14" s="5" t="s">
        <v>12</v>
      </c>
    </row>
    <row r="15" spans="1:5" x14ac:dyDescent="0.4">
      <c r="A15" s="5" t="s">
        <v>10</v>
      </c>
      <c r="B15" s="5" t="s">
        <v>21</v>
      </c>
      <c r="C15" s="6">
        <f>_xll.ciqfunctions.udf.CIQ($B$1,"IQ_TOTAL_REV","IQ_FY-9")</f>
        <v>44912.097000000002</v>
      </c>
      <c r="D15" s="7">
        <f t="shared" si="0"/>
        <v>44912.097000000002</v>
      </c>
      <c r="E15" s="5" t="s">
        <v>12</v>
      </c>
    </row>
    <row r="16" spans="1:5" x14ac:dyDescent="0.4">
      <c r="A16" s="5" t="s">
        <v>10</v>
      </c>
      <c r="B16" s="5" t="s">
        <v>22</v>
      </c>
      <c r="C16" s="6">
        <f>_xll.ciqfunctions.udf.CIQ($B$1,"IQ_TOTAL_REV","IQ_FY-10")</f>
        <v>46295.593000000001</v>
      </c>
      <c r="D16" s="7">
        <f t="shared" si="0"/>
        <v>46295.593000000001</v>
      </c>
      <c r="E16" s="5" t="s">
        <v>12</v>
      </c>
    </row>
    <row r="17" spans="1:5" x14ac:dyDescent="0.4">
      <c r="A17" s="5" t="s">
        <v>23</v>
      </c>
      <c r="B17" s="5" t="s">
        <v>11</v>
      </c>
      <c r="C17" s="6">
        <f>_xll.ciqfunctions.udf.CIQ($B$1,"IQ_EBIT","IQ_FY-0")</f>
        <v>2006.902</v>
      </c>
      <c r="D17" s="7">
        <f t="shared" si="0"/>
        <v>2006.902</v>
      </c>
      <c r="E17" s="5" t="s">
        <v>24</v>
      </c>
    </row>
    <row r="18" spans="1:5" x14ac:dyDescent="0.4">
      <c r="A18" s="5" t="s">
        <v>23</v>
      </c>
      <c r="B18" s="5" t="s">
        <v>13</v>
      </c>
      <c r="C18" s="6">
        <f>_xll.ciqfunctions.udf.CIQ($B$1,"IQ_EBIT","IQ_FY-1")</f>
        <v>1990.8219999999999</v>
      </c>
      <c r="D18" s="7">
        <f t="shared" si="0"/>
        <v>1990.8219999999999</v>
      </c>
      <c r="E18" s="5" t="s">
        <v>24</v>
      </c>
    </row>
    <row r="19" spans="1:5" x14ac:dyDescent="0.4">
      <c r="A19" s="5" t="s">
        <v>23</v>
      </c>
      <c r="B19" s="5" t="s">
        <v>14</v>
      </c>
      <c r="C19" s="6">
        <f>_xll.ciqfunctions.udf.CIQ($B$1,"IQ_EBIT","IQ_FY-2")</f>
        <v>2444.2559999999999</v>
      </c>
      <c r="D19" s="7">
        <f t="shared" si="0"/>
        <v>2444.2559999999999</v>
      </c>
      <c r="E19" s="5" t="s">
        <v>24</v>
      </c>
    </row>
    <row r="20" spans="1:5" x14ac:dyDescent="0.4">
      <c r="A20" s="5" t="s">
        <v>23</v>
      </c>
      <c r="B20" s="5" t="s">
        <v>15</v>
      </c>
      <c r="C20" s="6">
        <f>_xll.ciqfunctions.udf.CIQ($B$1,"IQ_EBIT","IQ_FY-3")</f>
        <v>2971.3150000000001</v>
      </c>
      <c r="D20" s="7">
        <f t="shared" si="0"/>
        <v>2971.3150000000001</v>
      </c>
      <c r="E20" s="5" t="s">
        <v>24</v>
      </c>
    </row>
    <row r="21" spans="1:5" x14ac:dyDescent="0.4">
      <c r="A21" s="5" t="s">
        <v>23</v>
      </c>
      <c r="B21" s="5" t="s">
        <v>16</v>
      </c>
      <c r="C21" s="6">
        <f>_xll.ciqfunctions.udf.CIQ($B$1,"IQ_EBIT","IQ_FY-4")</f>
        <v>2441.761</v>
      </c>
      <c r="D21" s="7">
        <f t="shared" si="0"/>
        <v>2441.761</v>
      </c>
      <c r="E21" s="5" t="s">
        <v>24</v>
      </c>
    </row>
    <row r="22" spans="1:5" x14ac:dyDescent="0.4">
      <c r="A22" s="5" t="s">
        <v>23</v>
      </c>
      <c r="B22" s="5" t="s">
        <v>17</v>
      </c>
      <c r="C22" s="6">
        <f>_xll.ciqfunctions.udf.CIQ($B$1,"IQ_EBIT","IQ_FY-5")</f>
        <v>1400.3810000000001</v>
      </c>
      <c r="D22" s="7">
        <f t="shared" si="0"/>
        <v>1400.3810000000001</v>
      </c>
      <c r="E22" s="5" t="s">
        <v>24</v>
      </c>
    </row>
    <row r="23" spans="1:5" x14ac:dyDescent="0.4">
      <c r="A23" s="5" t="s">
        <v>23</v>
      </c>
      <c r="B23" s="5" t="s">
        <v>18</v>
      </c>
      <c r="C23" s="6">
        <f>_xll.ciqfunctions.udf.CIQ($B$1,"IQ_EBIT","IQ_FY-6")</f>
        <v>1049.92</v>
      </c>
      <c r="D23" s="7">
        <f t="shared" si="0"/>
        <v>1049.92</v>
      </c>
      <c r="E23" s="5" t="s">
        <v>24</v>
      </c>
    </row>
    <row r="24" spans="1:5" x14ac:dyDescent="0.4">
      <c r="A24" s="5" t="s">
        <v>23</v>
      </c>
      <c r="B24" s="5" t="s">
        <v>19</v>
      </c>
      <c r="C24" s="6">
        <f>_xll.ciqfunctions.udf.CIQ($B$1,"IQ_EBIT","IQ_FY-7")</f>
        <v>714.36900000000003</v>
      </c>
      <c r="D24" s="7">
        <f t="shared" si="0"/>
        <v>714.36900000000003</v>
      </c>
      <c r="E24" s="5" t="s">
        <v>24</v>
      </c>
    </row>
    <row r="25" spans="1:5" x14ac:dyDescent="0.4">
      <c r="A25" s="5" t="s">
        <v>23</v>
      </c>
      <c r="B25" s="5" t="s">
        <v>20</v>
      </c>
      <c r="C25" s="6">
        <f>_xll.ciqfunctions.udf.CIQ($B$1,"IQ_EBIT","IQ_FY-8")</f>
        <v>581.74099999999999</v>
      </c>
      <c r="D25" s="7">
        <f t="shared" si="0"/>
        <v>581.74099999999999</v>
      </c>
      <c r="E25" s="5" t="s">
        <v>24</v>
      </c>
    </row>
    <row r="26" spans="1:5" x14ac:dyDescent="0.4">
      <c r="A26" s="5" t="s">
        <v>23</v>
      </c>
      <c r="B26" s="5" t="s">
        <v>21</v>
      </c>
      <c r="C26" s="6">
        <f>_xll.ciqfunctions.udf.CIQ($B$1,"IQ_EBIT","IQ_FY-9")</f>
        <v>566.75900000000001</v>
      </c>
      <c r="D26" s="7">
        <f t="shared" si="0"/>
        <v>566.75900000000001</v>
      </c>
      <c r="E26" s="5" t="s">
        <v>24</v>
      </c>
    </row>
    <row r="27" spans="1:5" x14ac:dyDescent="0.4">
      <c r="A27" s="5" t="s">
        <v>23</v>
      </c>
      <c r="B27" s="5" t="s">
        <v>22</v>
      </c>
      <c r="C27" s="6">
        <f>_xll.ciqfunctions.udf.CIQ($B$1,"IQ_EBIT","IQ_FY-10")</f>
        <v>996.88900000000001</v>
      </c>
      <c r="D27" s="7">
        <f t="shared" si="0"/>
        <v>996.88900000000001</v>
      </c>
      <c r="E27" s="5" t="s">
        <v>24</v>
      </c>
    </row>
    <row r="28" spans="1:5" x14ac:dyDescent="0.4">
      <c r="A28" s="5" t="s">
        <v>25</v>
      </c>
      <c r="B28" s="5" t="s">
        <v>11</v>
      </c>
      <c r="C28" s="6">
        <f>_xll.ciqfunctions.udf.CIQ($B$1,"IQ_EBITDA","IQ_FY-0")</f>
        <v>3059.7429999999999</v>
      </c>
      <c r="D28" s="7">
        <f t="shared" si="0"/>
        <v>3059.7429999999999</v>
      </c>
      <c r="E28" s="5" t="s">
        <v>26</v>
      </c>
    </row>
    <row r="29" spans="1:5" x14ac:dyDescent="0.4">
      <c r="A29" s="5" t="s">
        <v>25</v>
      </c>
      <c r="B29" s="5" t="s">
        <v>13</v>
      </c>
      <c r="C29" s="6">
        <f>_xll.ciqfunctions.udf.CIQ($B$1,"IQ_EBITDA","IQ_FY-1")</f>
        <v>3024.6320000000001</v>
      </c>
      <c r="D29" s="7">
        <f t="shared" si="0"/>
        <v>3024.6320000000001</v>
      </c>
      <c r="E29" s="5" t="s">
        <v>26</v>
      </c>
    </row>
    <row r="30" spans="1:5" x14ac:dyDescent="0.4">
      <c r="A30" s="5" t="s">
        <v>25</v>
      </c>
      <c r="B30" s="5" t="s">
        <v>14</v>
      </c>
      <c r="C30" s="6">
        <f>_xll.ciqfunctions.udf.CIQ($B$1,"IQ_EBITDA","IQ_FY-2")</f>
        <v>3408.6280000000002</v>
      </c>
      <c r="D30" s="7">
        <f t="shared" si="0"/>
        <v>3408.6280000000002</v>
      </c>
      <c r="E30" s="5" t="s">
        <v>26</v>
      </c>
    </row>
    <row r="31" spans="1:5" x14ac:dyDescent="0.4">
      <c r="A31" s="5" t="s">
        <v>25</v>
      </c>
      <c r="B31" s="5" t="s">
        <v>15</v>
      </c>
      <c r="C31" s="6">
        <f>_xll.ciqfunctions.udf.CIQ($B$1,"IQ_EBITDA","IQ_FY-3")</f>
        <v>3880.6460000000002</v>
      </c>
      <c r="D31" s="7">
        <f t="shared" si="0"/>
        <v>3880.6460000000002</v>
      </c>
      <c r="E31" s="5" t="s">
        <v>26</v>
      </c>
    </row>
    <row r="32" spans="1:5" x14ac:dyDescent="0.4">
      <c r="A32" s="5" t="s">
        <v>25</v>
      </c>
      <c r="B32" s="5" t="s">
        <v>16</v>
      </c>
      <c r="C32" s="6">
        <f>_xll.ciqfunctions.udf.CIQ($B$1,"IQ_EBITDA","IQ_FY-4")</f>
        <v>3211.1979999999999</v>
      </c>
      <c r="D32" s="7">
        <f t="shared" si="0"/>
        <v>3211.1979999999999</v>
      </c>
      <c r="E32" s="5" t="s">
        <v>26</v>
      </c>
    </row>
    <row r="33" spans="1:5" x14ac:dyDescent="0.4">
      <c r="A33" s="5" t="s">
        <v>25</v>
      </c>
      <c r="B33" s="5" t="s">
        <v>17</v>
      </c>
      <c r="C33" s="6">
        <f>_xll.ciqfunctions.udf.CIQ($B$1,"IQ_EBITDA","IQ_FY-5")</f>
        <v>2114.5790000000002</v>
      </c>
      <c r="D33" s="7">
        <f t="shared" si="0"/>
        <v>2114.5790000000002</v>
      </c>
      <c r="E33" s="5" t="s">
        <v>26</v>
      </c>
    </row>
    <row r="34" spans="1:5" x14ac:dyDescent="0.4">
      <c r="A34" s="5" t="s">
        <v>25</v>
      </c>
      <c r="B34" s="5" t="s">
        <v>18</v>
      </c>
      <c r="C34" s="6">
        <f>_xll.ciqfunctions.udf.CIQ($B$1,"IQ_EBITDA","IQ_FY-6")</f>
        <v>1716.402</v>
      </c>
      <c r="D34" s="7">
        <f t="shared" si="0"/>
        <v>1716.402</v>
      </c>
      <c r="E34" s="5" t="s">
        <v>26</v>
      </c>
    </row>
    <row r="35" spans="1:5" x14ac:dyDescent="0.4">
      <c r="A35" s="5" t="s">
        <v>25</v>
      </c>
      <c r="B35" s="5" t="s">
        <v>19</v>
      </c>
      <c r="C35" s="6">
        <f>_xll.ciqfunctions.udf.CIQ($B$1,"IQ_EBITDA","IQ_FY-7")</f>
        <v>1357.742</v>
      </c>
      <c r="D35" s="7">
        <f t="shared" si="0"/>
        <v>1357.742</v>
      </c>
      <c r="E35" s="5" t="s">
        <v>26</v>
      </c>
    </row>
    <row r="36" spans="1:5" x14ac:dyDescent="0.4">
      <c r="A36" s="5" t="s">
        <v>25</v>
      </c>
      <c r="B36" s="5" t="s">
        <v>20</v>
      </c>
      <c r="C36" s="6">
        <f>_xll.ciqfunctions.udf.CIQ($B$1,"IQ_EBITDA","IQ_FY-8")</f>
        <v>1181.577</v>
      </c>
      <c r="D36" s="7">
        <f t="shared" si="0"/>
        <v>1181.577</v>
      </c>
      <c r="E36" s="5" t="s">
        <v>26</v>
      </c>
    </row>
    <row r="37" spans="1:5" x14ac:dyDescent="0.4">
      <c r="A37" s="5" t="s">
        <v>25</v>
      </c>
      <c r="B37" s="5" t="s">
        <v>21</v>
      </c>
      <c r="C37" s="6">
        <f>_xll.ciqfunctions.udf.CIQ($B$1,"IQ_EBITDA","IQ_FY-9")</f>
        <v>1202.665</v>
      </c>
      <c r="D37" s="7">
        <f t="shared" si="0"/>
        <v>1202.665</v>
      </c>
      <c r="E37" s="5" t="s">
        <v>26</v>
      </c>
    </row>
    <row r="38" spans="1:5" x14ac:dyDescent="0.4">
      <c r="A38" s="5" t="s">
        <v>25</v>
      </c>
      <c r="B38" s="5" t="s">
        <v>22</v>
      </c>
      <c r="C38" s="6">
        <f>_xll.ciqfunctions.udf.CIQ($B$1,"IQ_EBITDA","IQ_FY-10")</f>
        <v>1414.1869999999999</v>
      </c>
      <c r="D38" s="7">
        <f t="shared" ref="D38:D69" si="1">C38</f>
        <v>1414.1869999999999</v>
      </c>
      <c r="E38" s="5" t="s">
        <v>26</v>
      </c>
    </row>
    <row r="39" spans="1:5" x14ac:dyDescent="0.4">
      <c r="A39" s="5" t="s">
        <v>27</v>
      </c>
      <c r="B39" s="5" t="s">
        <v>11</v>
      </c>
      <c r="C39" s="6">
        <f>_xll.ciqfunctions.udf.CIQ($B$1,"IQ_NI","IQ_FY-0")</f>
        <v>1384.4449999999999</v>
      </c>
      <c r="D39" s="7">
        <f t="shared" si="1"/>
        <v>1384.4449999999999</v>
      </c>
      <c r="E39" s="5" t="s">
        <v>28</v>
      </c>
    </row>
    <row r="40" spans="1:5" x14ac:dyDescent="0.4">
      <c r="A40" s="5" t="s">
        <v>27</v>
      </c>
      <c r="B40" s="5" t="s">
        <v>13</v>
      </c>
      <c r="C40" s="6">
        <f>_xll.ciqfunctions.udf.CIQ($B$1,"IQ_NI","IQ_FY-1")</f>
        <v>1010.506</v>
      </c>
      <c r="D40" s="7">
        <f t="shared" si="1"/>
        <v>1010.506</v>
      </c>
      <c r="E40" s="5" t="s">
        <v>28</v>
      </c>
    </row>
    <row r="41" spans="1:5" x14ac:dyDescent="0.4">
      <c r="A41" s="5" t="s">
        <v>27</v>
      </c>
      <c r="B41" s="5" t="s">
        <v>14</v>
      </c>
      <c r="C41" s="6">
        <f>_xll.ciqfunctions.udf.CIQ($B$1,"IQ_NI","IQ_FY-2")</f>
        <v>1607.722</v>
      </c>
      <c r="D41" s="7">
        <f t="shared" si="1"/>
        <v>1607.722</v>
      </c>
      <c r="E41" s="5" t="s">
        <v>28</v>
      </c>
    </row>
    <row r="42" spans="1:5" x14ac:dyDescent="0.4">
      <c r="A42" s="5" t="s">
        <v>27</v>
      </c>
      <c r="B42" s="5" t="s">
        <v>15</v>
      </c>
      <c r="C42" s="6">
        <f>_xll.ciqfunctions.udf.CIQ($B$1,"IQ_NI","IQ_FY-3")</f>
        <v>2029.818</v>
      </c>
      <c r="D42" s="7">
        <f t="shared" si="1"/>
        <v>2029.818</v>
      </c>
      <c r="E42" s="5" t="s">
        <v>28</v>
      </c>
    </row>
    <row r="43" spans="1:5" x14ac:dyDescent="0.4">
      <c r="A43" s="5" t="s">
        <v>27</v>
      </c>
      <c r="B43" s="5" t="s">
        <v>16</v>
      </c>
      <c r="C43" s="6">
        <f>_xll.ciqfunctions.udf.CIQ($B$1,"IQ_NI","IQ_FY-4")</f>
        <v>1210.8389999999999</v>
      </c>
      <c r="D43" s="7">
        <f t="shared" si="1"/>
        <v>1210.8389999999999</v>
      </c>
      <c r="E43" s="5" t="s">
        <v>28</v>
      </c>
    </row>
    <row r="44" spans="1:5" x14ac:dyDescent="0.4">
      <c r="A44" s="5" t="s">
        <v>27</v>
      </c>
      <c r="B44" s="5" t="s">
        <v>17</v>
      </c>
      <c r="C44" s="6">
        <f>_xll.ciqfunctions.udf.CIQ($B$1,"IQ_NI","IQ_FY-5")</f>
        <v>718.851</v>
      </c>
      <c r="D44" s="7">
        <f t="shared" si="1"/>
        <v>718.851</v>
      </c>
      <c r="E44" s="5" t="s">
        <v>28</v>
      </c>
    </row>
    <row r="45" spans="1:5" x14ac:dyDescent="0.4">
      <c r="A45" s="5" t="s">
        <v>27</v>
      </c>
      <c r="B45" s="5" t="s">
        <v>18</v>
      </c>
      <c r="C45" s="6">
        <f>_xll.ciqfunctions.udf.CIQ($B$1,"IQ_NI","IQ_FY-6")</f>
        <v>650.10299999999995</v>
      </c>
      <c r="D45" s="7">
        <f t="shared" si="1"/>
        <v>650.10299999999995</v>
      </c>
      <c r="E45" s="5" t="s">
        <v>28</v>
      </c>
    </row>
    <row r="46" spans="1:5" x14ac:dyDescent="0.4">
      <c r="A46" s="5" t="s">
        <v>27</v>
      </c>
      <c r="B46" s="5" t="s">
        <v>19</v>
      </c>
      <c r="C46" s="6">
        <f>_xll.ciqfunctions.udf.CIQ($B$1,"IQ_NI","IQ_FY-7")</f>
        <v>-135.643</v>
      </c>
      <c r="D46" s="7">
        <f t="shared" si="1"/>
        <v>-135.643</v>
      </c>
      <c r="E46" s="5" t="s">
        <v>28</v>
      </c>
    </row>
    <row r="47" spans="1:5" x14ac:dyDescent="0.4">
      <c r="A47" s="5" t="s">
        <v>27</v>
      </c>
      <c r="B47" s="5" t="s">
        <v>20</v>
      </c>
      <c r="C47" s="6">
        <f>_xll.ciqfunctions.udf.CIQ($B$1,"IQ_NI","IQ_FY-8")</f>
        <v>536.95600000000002</v>
      </c>
      <c r="D47" s="7">
        <f t="shared" si="1"/>
        <v>536.95600000000002</v>
      </c>
      <c r="E47" s="5" t="s">
        <v>28</v>
      </c>
    </row>
    <row r="48" spans="1:5" x14ac:dyDescent="0.4">
      <c r="A48" s="5" t="s">
        <v>27</v>
      </c>
      <c r="B48" s="5" t="s">
        <v>21</v>
      </c>
      <c r="C48" s="6">
        <f>_xll.ciqfunctions.udf.CIQ($B$1,"IQ_NI","IQ_FY-9")</f>
        <v>-128.14599999999999</v>
      </c>
      <c r="D48" s="7">
        <f t="shared" si="1"/>
        <v>-128.14599999999999</v>
      </c>
      <c r="E48" s="5" t="s">
        <v>28</v>
      </c>
    </row>
    <row r="49" spans="1:5" x14ac:dyDescent="0.4">
      <c r="A49" s="5" t="s">
        <v>27</v>
      </c>
      <c r="B49" s="5" t="s">
        <v>22</v>
      </c>
      <c r="C49" s="6">
        <f>_xll.ciqfunctions.udf.CIQ($B$1,"IQ_NI","IQ_FY-10")</f>
        <v>828.71500000000003</v>
      </c>
      <c r="D49" s="7">
        <f t="shared" si="1"/>
        <v>828.71500000000003</v>
      </c>
      <c r="E49" s="5" t="s">
        <v>28</v>
      </c>
    </row>
    <row r="50" spans="1:5" x14ac:dyDescent="0.4">
      <c r="A50" s="5" t="s">
        <v>29</v>
      </c>
      <c r="B50" s="5" t="s">
        <v>11</v>
      </c>
      <c r="C50" s="6">
        <f>ABS(_xll.ciqfunctions.udf.CIQ($B$1,"IQ_INTEREST_EXP","IQ_FY-0"))</f>
        <v>293.59500000000003</v>
      </c>
      <c r="D50" s="7">
        <f t="shared" si="1"/>
        <v>293.59500000000003</v>
      </c>
      <c r="E50" s="5" t="s">
        <v>30</v>
      </c>
    </row>
    <row r="51" spans="1:5" x14ac:dyDescent="0.4">
      <c r="A51" s="5" t="s">
        <v>29</v>
      </c>
      <c r="B51" s="5" t="s">
        <v>13</v>
      </c>
      <c r="C51" s="6">
        <f>ABS(_xll.ciqfunctions.udf.CIQ($B$1,"IQ_INTEREST_EXP","IQ_FY-1"))</f>
        <v>275.20299999999997</v>
      </c>
      <c r="D51" s="7">
        <f t="shared" si="1"/>
        <v>275.20299999999997</v>
      </c>
      <c r="E51" s="5" t="s">
        <v>30</v>
      </c>
    </row>
    <row r="52" spans="1:5" x14ac:dyDescent="0.4">
      <c r="A52" s="5" t="s">
        <v>29</v>
      </c>
      <c r="B52" s="5" t="s">
        <v>14</v>
      </c>
      <c r="C52" s="6">
        <f>ABS(_xll.ciqfunctions.udf.CIQ($B$1,"IQ_INTEREST_EXP","IQ_FY-2"))</f>
        <v>316.11200000000002</v>
      </c>
      <c r="D52" s="7">
        <f t="shared" si="1"/>
        <v>316.11200000000002</v>
      </c>
      <c r="E52" s="5" t="s">
        <v>30</v>
      </c>
    </row>
    <row r="53" spans="1:5" x14ac:dyDescent="0.4">
      <c r="A53" s="5" t="s">
        <v>29</v>
      </c>
      <c r="B53" s="5" t="s">
        <v>15</v>
      </c>
      <c r="C53" s="6">
        <f>ABS(_xll.ciqfunctions.udf.CIQ($B$1,"IQ_INTEREST_EXP","IQ_FY-3"))</f>
        <v>258.553</v>
      </c>
      <c r="D53" s="7">
        <f t="shared" si="1"/>
        <v>258.553</v>
      </c>
      <c r="E53" s="5" t="s">
        <v>30</v>
      </c>
    </row>
    <row r="54" spans="1:5" x14ac:dyDescent="0.4">
      <c r="A54" s="5" t="s">
        <v>29</v>
      </c>
      <c r="B54" s="5" t="s">
        <v>16</v>
      </c>
      <c r="C54" s="6">
        <f>ABS(_xll.ciqfunctions.udf.CIQ($B$1,"IQ_INTEREST_EXP","IQ_FY-4"))</f>
        <v>267.01499999999999</v>
      </c>
      <c r="D54" s="7">
        <f t="shared" si="1"/>
        <v>267.01499999999999</v>
      </c>
      <c r="E54" s="5" t="s">
        <v>30</v>
      </c>
    </row>
    <row r="55" spans="1:5" x14ac:dyDescent="0.4">
      <c r="A55" s="5" t="s">
        <v>29</v>
      </c>
      <c r="B55" s="5" t="s">
        <v>17</v>
      </c>
      <c r="C55" s="6">
        <f>ABS(_xll.ciqfunctions.udf.CIQ($B$1,"IQ_INTEREST_EXP","IQ_FY-5"))</f>
        <v>261.702</v>
      </c>
      <c r="D55" s="7">
        <f t="shared" si="1"/>
        <v>261.702</v>
      </c>
      <c r="E55" s="5" t="s">
        <v>30</v>
      </c>
    </row>
    <row r="56" spans="1:5" x14ac:dyDescent="0.4">
      <c r="A56" s="5" t="s">
        <v>29</v>
      </c>
      <c r="B56" s="5" t="s">
        <v>18</v>
      </c>
      <c r="C56" s="6">
        <f>ABS(_xll.ciqfunctions.udf.CIQ($B$1,"IQ_INTEREST_EXP","IQ_FY-6"))</f>
        <v>237.398</v>
      </c>
      <c r="D56" s="7">
        <f t="shared" si="1"/>
        <v>237.398</v>
      </c>
      <c r="E56" s="5" t="s">
        <v>30</v>
      </c>
    </row>
    <row r="57" spans="1:5" x14ac:dyDescent="0.4">
      <c r="A57" s="5" t="s">
        <v>29</v>
      </c>
      <c r="B57" s="5" t="s">
        <v>19</v>
      </c>
      <c r="C57" s="6">
        <f>ABS(_xll.ciqfunctions.udf.CIQ($B$1,"IQ_INTEREST_EXP","IQ_FY-7"))</f>
        <v>187.304</v>
      </c>
      <c r="D57" s="7">
        <f t="shared" si="1"/>
        <v>187.304</v>
      </c>
      <c r="E57" s="5" t="s">
        <v>30</v>
      </c>
    </row>
    <row r="58" spans="1:5" x14ac:dyDescent="0.4">
      <c r="A58" s="5" t="s">
        <v>29</v>
      </c>
      <c r="B58" s="5" t="s">
        <v>20</v>
      </c>
      <c r="C58" s="6">
        <f>ABS(_xll.ciqfunctions.udf.CIQ($B$1,"IQ_INTEREST_EXP","IQ_FY-8"))</f>
        <v>198.215</v>
      </c>
      <c r="D58" s="7">
        <f t="shared" si="1"/>
        <v>198.215</v>
      </c>
      <c r="E58" s="5" t="s">
        <v>30</v>
      </c>
    </row>
    <row r="59" spans="1:5" x14ac:dyDescent="0.4">
      <c r="A59" s="5" t="s">
        <v>29</v>
      </c>
      <c r="B59" s="5" t="s">
        <v>21</v>
      </c>
      <c r="C59" s="6">
        <f>ABS(_xll.ciqfunctions.udf.CIQ($B$1,"IQ_INTEREST_EXP","IQ_FY-9"))</f>
        <v>178.61799999999999</v>
      </c>
      <c r="D59" s="7">
        <f t="shared" si="1"/>
        <v>178.61799999999999</v>
      </c>
      <c r="E59" s="5" t="s">
        <v>30</v>
      </c>
    </row>
    <row r="60" spans="1:5" x14ac:dyDescent="0.4">
      <c r="A60" s="5" t="s">
        <v>29</v>
      </c>
      <c r="B60" s="5" t="s">
        <v>22</v>
      </c>
      <c r="C60" s="6">
        <f>ABS(_xll.ciqfunctions.udf.CIQ($B$1,"IQ_INTEREST_EXP","IQ_FY-10"))</f>
        <v>117.25</v>
      </c>
      <c r="D60" s="7">
        <f t="shared" si="1"/>
        <v>117.25</v>
      </c>
      <c r="E60" s="5" t="s">
        <v>30</v>
      </c>
    </row>
    <row r="61" spans="1:5" x14ac:dyDescent="0.4">
      <c r="A61" s="5" t="s">
        <v>31</v>
      </c>
      <c r="B61" s="5" t="s">
        <v>11</v>
      </c>
      <c r="C61" s="6">
        <f>ABS(_xll.ciqfunctions.udf.CIQ($B$1,"IQ_DA_CF","IQ_FY-0"))</f>
        <v>1168.806</v>
      </c>
      <c r="D61" s="7">
        <f t="shared" si="1"/>
        <v>1168.806</v>
      </c>
      <c r="E61" s="5" t="s">
        <v>32</v>
      </c>
    </row>
    <row r="62" spans="1:5" x14ac:dyDescent="0.4">
      <c r="A62" s="5" t="s">
        <v>31</v>
      </c>
      <c r="B62" s="5" t="s">
        <v>13</v>
      </c>
      <c r="C62" s="6">
        <f>ABS(_xll.ciqfunctions.udf.CIQ($B$1,"IQ_DA_CF","IQ_FY-1"))</f>
        <v>1185.7090000000001</v>
      </c>
      <c r="D62" s="7">
        <f t="shared" si="1"/>
        <v>1185.7090000000001</v>
      </c>
      <c r="E62" s="5" t="s">
        <v>32</v>
      </c>
    </row>
    <row r="63" spans="1:5" x14ac:dyDescent="0.4">
      <c r="A63" s="5" t="s">
        <v>31</v>
      </c>
      <c r="B63" s="5" t="s">
        <v>14</v>
      </c>
      <c r="C63" s="6">
        <f>ABS(_xll.ciqfunctions.udf.CIQ($B$1,"IQ_DA_CF","IQ_FY-2"))</f>
        <v>1115.6980000000001</v>
      </c>
      <c r="D63" s="7">
        <f t="shared" si="1"/>
        <v>1115.6980000000001</v>
      </c>
      <c r="E63" s="5" t="s">
        <v>32</v>
      </c>
    </row>
    <row r="64" spans="1:5" x14ac:dyDescent="0.4">
      <c r="A64" s="5" t="s">
        <v>31</v>
      </c>
      <c r="B64" s="5" t="s">
        <v>15</v>
      </c>
      <c r="C64" s="6">
        <f>ABS(_xll.ciqfunctions.udf.CIQ($B$1,"IQ_DA_CF","IQ_FY-3"))</f>
        <v>1046.3240000000001</v>
      </c>
      <c r="D64" s="7">
        <f t="shared" si="1"/>
        <v>1046.3240000000001</v>
      </c>
      <c r="E64" s="5" t="s">
        <v>32</v>
      </c>
    </row>
    <row r="65" spans="1:5" x14ac:dyDescent="0.4">
      <c r="A65" s="5" t="s">
        <v>31</v>
      </c>
      <c r="B65" s="5" t="s">
        <v>16</v>
      </c>
      <c r="C65" s="6">
        <f>ABS(_xll.ciqfunctions.udf.CIQ($B$1,"IQ_DA_CF","IQ_FY-4"))</f>
        <v>869.23199999999997</v>
      </c>
      <c r="D65" s="7">
        <f t="shared" si="1"/>
        <v>869.23199999999997</v>
      </c>
      <c r="E65" s="5" t="s">
        <v>32</v>
      </c>
    </row>
    <row r="66" spans="1:5" x14ac:dyDescent="0.4">
      <c r="A66" s="5" t="s">
        <v>31</v>
      </c>
      <c r="B66" s="5" t="s">
        <v>17</v>
      </c>
      <c r="C66" s="6">
        <f>ABS(_xll.ciqfunctions.udf.CIQ($B$1,"IQ_DA_CF","IQ_FY-5"))</f>
        <v>817.798</v>
      </c>
      <c r="D66" s="7">
        <f t="shared" si="1"/>
        <v>817.798</v>
      </c>
      <c r="E66" s="5" t="s">
        <v>32</v>
      </c>
    </row>
    <row r="67" spans="1:5" x14ac:dyDescent="0.4">
      <c r="A67" s="5" t="s">
        <v>31</v>
      </c>
      <c r="B67" s="5" t="s">
        <v>18</v>
      </c>
      <c r="C67" s="6">
        <f>ABS(_xll.ciqfunctions.udf.CIQ($B$1,"IQ_DA_CF","IQ_FY-6"))</f>
        <v>666.48199999999997</v>
      </c>
      <c r="D67" s="7">
        <f t="shared" si="1"/>
        <v>666.48199999999997</v>
      </c>
      <c r="E67" s="5" t="s">
        <v>32</v>
      </c>
    </row>
    <row r="68" spans="1:5" x14ac:dyDescent="0.4">
      <c r="A68" s="5" t="s">
        <v>31</v>
      </c>
      <c r="B68" s="5" t="s">
        <v>19</v>
      </c>
      <c r="C68" s="6">
        <f>ABS(_xll.ciqfunctions.udf.CIQ($B$1,"IQ_DA_CF","IQ_FY-7"))</f>
        <v>643.37300000000005</v>
      </c>
      <c r="D68" s="7">
        <f t="shared" si="1"/>
        <v>643.37300000000005</v>
      </c>
      <c r="E68" s="5" t="s">
        <v>32</v>
      </c>
    </row>
    <row r="69" spans="1:5" x14ac:dyDescent="0.4">
      <c r="A69" s="5" t="s">
        <v>31</v>
      </c>
      <c r="B69" s="5" t="s">
        <v>20</v>
      </c>
      <c r="C69" s="6">
        <f>ABS(_xll.ciqfunctions.udf.CIQ($B$1,"IQ_DA_CF","IQ_FY-8"))</f>
        <v>599.83600000000001</v>
      </c>
      <c r="D69" s="7">
        <f t="shared" si="1"/>
        <v>599.83600000000001</v>
      </c>
      <c r="E69" s="5" t="s">
        <v>32</v>
      </c>
    </row>
    <row r="70" spans="1:5" x14ac:dyDescent="0.4">
      <c r="A70" s="5" t="s">
        <v>31</v>
      </c>
      <c r="B70" s="5" t="s">
        <v>21</v>
      </c>
      <c r="C70" s="6">
        <f>ABS(_xll.ciqfunctions.udf.CIQ($B$1,"IQ_DA_CF","IQ_FY-9"))</f>
        <v>635.90599999999995</v>
      </c>
      <c r="D70" s="7">
        <f t="shared" ref="D70:D101" si="2">C70</f>
        <v>635.90599999999995</v>
      </c>
      <c r="E70" s="5" t="s">
        <v>32</v>
      </c>
    </row>
    <row r="71" spans="1:5" x14ac:dyDescent="0.4">
      <c r="A71" s="5" t="s">
        <v>31</v>
      </c>
      <c r="B71" s="5" t="s">
        <v>22</v>
      </c>
      <c r="C71" s="6">
        <f>ABS(_xll.ciqfunctions.udf.CIQ($B$1,"IQ_DA_CF","IQ_FY-10"))</f>
        <v>417.298</v>
      </c>
      <c r="D71" s="7">
        <f t="shared" si="2"/>
        <v>417.298</v>
      </c>
      <c r="E71" s="5" t="s">
        <v>32</v>
      </c>
    </row>
    <row r="72" spans="1:5" x14ac:dyDescent="0.4">
      <c r="A72" s="5" t="s">
        <v>33</v>
      </c>
      <c r="B72" s="5" t="s">
        <v>11</v>
      </c>
      <c r="C72" s="6">
        <f>_xll.ciqfunctions.udf.CIQ($B$1,"IQ_RD_EXP","IQ_FY-0")</f>
        <v>2288.2040000000002</v>
      </c>
      <c r="D72" s="7">
        <f t="shared" si="2"/>
        <v>2288.2040000000002</v>
      </c>
      <c r="E72" s="5" t="s">
        <v>34</v>
      </c>
    </row>
    <row r="73" spans="1:5" x14ac:dyDescent="0.4">
      <c r="A73" s="5" t="s">
        <v>33</v>
      </c>
      <c r="B73" s="5" t="s">
        <v>13</v>
      </c>
      <c r="C73" s="6">
        <f>_xll.ciqfunctions.udf.CIQ($B$1,"IQ_RD_EXP","IQ_FY-1")</f>
        <v>2027.5319999999999</v>
      </c>
      <c r="D73" s="7">
        <f t="shared" si="2"/>
        <v>2027.5319999999999</v>
      </c>
      <c r="E73" s="5" t="s">
        <v>34</v>
      </c>
    </row>
    <row r="74" spans="1:5" x14ac:dyDescent="0.4">
      <c r="A74" s="5" t="s">
        <v>33</v>
      </c>
      <c r="B74" s="5" t="s">
        <v>14</v>
      </c>
      <c r="C74" s="6">
        <f>_xll.ciqfunctions.udf.CIQ($B$1,"IQ_RD_EXP","IQ_FY-2")</f>
        <v>2195.3290000000002</v>
      </c>
      <c r="D74" s="7">
        <f t="shared" si="2"/>
        <v>2195.3290000000002</v>
      </c>
      <c r="E74" s="5" t="s">
        <v>34</v>
      </c>
    </row>
    <row r="75" spans="1:5" x14ac:dyDescent="0.4">
      <c r="A75" s="5" t="s">
        <v>33</v>
      </c>
      <c r="B75" s="5" t="s">
        <v>15</v>
      </c>
      <c r="C75" s="6">
        <f>_xll.ciqfunctions.udf.CIQ($B$1,"IQ_RD_EXP","IQ_FY-3")</f>
        <v>2073.4609999999998</v>
      </c>
      <c r="D75" s="7">
        <f t="shared" si="2"/>
        <v>2073.4609999999998</v>
      </c>
      <c r="E75" s="5" t="s">
        <v>34</v>
      </c>
    </row>
    <row r="76" spans="1:5" x14ac:dyDescent="0.4">
      <c r="A76" s="5" t="s">
        <v>33</v>
      </c>
      <c r="B76" s="5" t="s">
        <v>16</v>
      </c>
      <c r="C76" s="6">
        <f>_xll.ciqfunctions.udf.CIQ($B$1,"IQ_RD_EXP","IQ_FY-4")</f>
        <v>1453.912</v>
      </c>
      <c r="D76" s="7">
        <f t="shared" si="2"/>
        <v>1453.912</v>
      </c>
      <c r="E76" s="5" t="s">
        <v>34</v>
      </c>
    </row>
    <row r="77" spans="1:5" x14ac:dyDescent="0.4">
      <c r="A77" s="5" t="s">
        <v>33</v>
      </c>
      <c r="B77" s="5" t="s">
        <v>17</v>
      </c>
      <c r="C77" s="6">
        <f>_xll.ciqfunctions.udf.CIQ($B$1,"IQ_RD_EXP","IQ_FY-5")</f>
        <v>1335.7439999999999</v>
      </c>
      <c r="D77" s="7">
        <f t="shared" si="2"/>
        <v>1335.7439999999999</v>
      </c>
      <c r="E77" s="5" t="s">
        <v>34</v>
      </c>
    </row>
    <row r="78" spans="1:5" x14ac:dyDescent="0.4">
      <c r="A78" s="5" t="s">
        <v>33</v>
      </c>
      <c r="B78" s="5" t="s">
        <v>18</v>
      </c>
      <c r="C78" s="6">
        <f>_xll.ciqfunctions.udf.CIQ($B$1,"IQ_RD_EXP","IQ_FY-6")</f>
        <v>1266.3409999999999</v>
      </c>
      <c r="D78" s="7">
        <f t="shared" si="2"/>
        <v>1266.3409999999999</v>
      </c>
      <c r="E78" s="5" t="s">
        <v>34</v>
      </c>
    </row>
    <row r="79" spans="1:5" x14ac:dyDescent="0.4">
      <c r="A79" s="5" t="s">
        <v>33</v>
      </c>
      <c r="B79" s="5" t="s">
        <v>19</v>
      </c>
      <c r="C79" s="6">
        <f>_xll.ciqfunctions.udf.CIQ($B$1,"IQ_RD_EXP","IQ_FY-7")</f>
        <v>1273.729</v>
      </c>
      <c r="D79" s="7">
        <f t="shared" si="2"/>
        <v>1273.729</v>
      </c>
      <c r="E79" s="5" t="s">
        <v>34</v>
      </c>
    </row>
    <row r="80" spans="1:5" x14ac:dyDescent="0.4">
      <c r="A80" s="5" t="s">
        <v>33</v>
      </c>
      <c r="B80" s="5" t="s">
        <v>20</v>
      </c>
      <c r="C80" s="6">
        <f>_xll.ciqfunctions.udf.CIQ($B$1,"IQ_RD_EXP","IQ_FY-8")</f>
        <v>1361.691</v>
      </c>
      <c r="D80" s="7">
        <f t="shared" si="2"/>
        <v>1361.691</v>
      </c>
      <c r="E80" s="5" t="s">
        <v>34</v>
      </c>
    </row>
    <row r="81" spans="1:5" x14ac:dyDescent="0.4">
      <c r="A81" s="5" t="s">
        <v>33</v>
      </c>
      <c r="B81" s="5" t="s">
        <v>21</v>
      </c>
      <c r="C81" s="6">
        <f>_xll.ciqfunctions.udf.CIQ($B$1,"IQ_RD_EXP","IQ_FY-9")</f>
        <v>1491.37</v>
      </c>
      <c r="D81" s="7">
        <f t="shared" si="2"/>
        <v>1491.37</v>
      </c>
      <c r="E81" s="5" t="s">
        <v>34</v>
      </c>
    </row>
    <row r="82" spans="1:5" x14ac:dyDescent="0.4">
      <c r="A82" s="5" t="s">
        <v>33</v>
      </c>
      <c r="B82" s="5" t="s">
        <v>22</v>
      </c>
      <c r="C82" s="6">
        <f>_xll.ciqfunctions.udf.CIQ($B$1,"IQ_RD_EXP","IQ_FY-10")</f>
        <v>1220.9190000000001</v>
      </c>
      <c r="D82" s="7">
        <f t="shared" si="2"/>
        <v>1220.9190000000001</v>
      </c>
      <c r="E82" s="5" t="s">
        <v>34</v>
      </c>
    </row>
    <row r="83" spans="1:5" x14ac:dyDescent="0.4">
      <c r="A83" s="5" t="s">
        <v>35</v>
      </c>
      <c r="B83" s="5" t="s">
        <v>11</v>
      </c>
      <c r="C83" s="6">
        <f>_xll.ciqfunctions.udf.CIQ($B$1,"IQ_RD_EXP_FN","IQ_FY-0")</f>
        <v>2288.2040000000002</v>
      </c>
      <c r="D83" s="7">
        <f t="shared" si="2"/>
        <v>2288.2040000000002</v>
      </c>
      <c r="E83" s="5" t="s">
        <v>36</v>
      </c>
    </row>
    <row r="84" spans="1:5" x14ac:dyDescent="0.4">
      <c r="A84" s="5" t="s">
        <v>35</v>
      </c>
      <c r="B84" s="5" t="s">
        <v>13</v>
      </c>
      <c r="C84" s="6">
        <f>_xll.ciqfunctions.udf.CIQ($B$1,"IQ_RD_EXP_FN","IQ_FY-1")</f>
        <v>2027.5319999999999</v>
      </c>
      <c r="D84" s="7">
        <f t="shared" si="2"/>
        <v>2027.5319999999999</v>
      </c>
      <c r="E84" s="5" t="s">
        <v>36</v>
      </c>
    </row>
    <row r="85" spans="1:5" x14ac:dyDescent="0.4">
      <c r="A85" s="5" t="s">
        <v>35</v>
      </c>
      <c r="B85" s="5" t="s">
        <v>14</v>
      </c>
      <c r="C85" s="6">
        <f>_xll.ciqfunctions.udf.CIQ($B$1,"IQ_RD_EXP_FN","IQ_FY-2")</f>
        <v>2195.3290000000002</v>
      </c>
      <c r="D85" s="7">
        <f t="shared" si="2"/>
        <v>2195.3290000000002</v>
      </c>
      <c r="E85" s="5" t="s">
        <v>36</v>
      </c>
    </row>
    <row r="86" spans="1:5" x14ac:dyDescent="0.4">
      <c r="A86" s="5" t="s">
        <v>35</v>
      </c>
      <c r="B86" s="5" t="s">
        <v>15</v>
      </c>
      <c r="C86" s="6">
        <f>_xll.ciqfunctions.udf.CIQ($B$1,"IQ_RD_EXP_FN","IQ_FY-3")</f>
        <v>2073.4609999999998</v>
      </c>
      <c r="D86" s="7">
        <f t="shared" si="2"/>
        <v>2073.4609999999998</v>
      </c>
      <c r="E86" s="5" t="s">
        <v>36</v>
      </c>
    </row>
    <row r="87" spans="1:5" x14ac:dyDescent="0.4">
      <c r="A87" s="5" t="s">
        <v>35</v>
      </c>
      <c r="B87" s="5" t="s">
        <v>16</v>
      </c>
      <c r="C87" s="6">
        <f>_xll.ciqfunctions.udf.CIQ($B$1,"IQ_RD_EXP_FN","IQ_FY-4")</f>
        <v>1453.912</v>
      </c>
      <c r="D87" s="7">
        <f t="shared" si="2"/>
        <v>1453.912</v>
      </c>
      <c r="E87" s="5" t="s">
        <v>36</v>
      </c>
    </row>
    <row r="88" spans="1:5" x14ac:dyDescent="0.4">
      <c r="A88" s="5" t="s">
        <v>35</v>
      </c>
      <c r="B88" s="5" t="s">
        <v>17</v>
      </c>
      <c r="C88" s="6">
        <f>_xll.ciqfunctions.udf.CIQ($B$1,"IQ_RD_EXP_FN","IQ_FY-5")</f>
        <v>1335.7439999999999</v>
      </c>
      <c r="D88" s="7">
        <f t="shared" si="2"/>
        <v>1335.7439999999999</v>
      </c>
      <c r="E88" s="5" t="s">
        <v>36</v>
      </c>
    </row>
    <row r="89" spans="1:5" x14ac:dyDescent="0.4">
      <c r="A89" s="5" t="s">
        <v>35</v>
      </c>
      <c r="B89" s="5" t="s">
        <v>18</v>
      </c>
      <c r="C89" s="6">
        <f>_xll.ciqfunctions.udf.CIQ($B$1,"IQ_RD_EXP_FN","IQ_FY-6")</f>
        <v>1266.3409999999999</v>
      </c>
      <c r="D89" s="7">
        <f t="shared" si="2"/>
        <v>1266.3409999999999</v>
      </c>
      <c r="E89" s="5" t="s">
        <v>36</v>
      </c>
    </row>
    <row r="90" spans="1:5" x14ac:dyDescent="0.4">
      <c r="A90" s="5" t="s">
        <v>35</v>
      </c>
      <c r="B90" s="5" t="s">
        <v>19</v>
      </c>
      <c r="C90" s="6">
        <f>_xll.ciqfunctions.udf.CIQ($B$1,"IQ_RD_EXP_FN","IQ_FY-7")</f>
        <v>1273.729</v>
      </c>
      <c r="D90" s="7">
        <f t="shared" si="2"/>
        <v>1273.729</v>
      </c>
      <c r="E90" s="5" t="s">
        <v>36</v>
      </c>
    </row>
    <row r="91" spans="1:5" x14ac:dyDescent="0.4">
      <c r="A91" s="5" t="s">
        <v>35</v>
      </c>
      <c r="B91" s="5" t="s">
        <v>20</v>
      </c>
      <c r="C91" s="6">
        <f>_xll.ciqfunctions.udf.CIQ($B$1,"IQ_RD_EXP_FN","IQ_FY-8")</f>
        <v>1361.691</v>
      </c>
      <c r="D91" s="7">
        <f t="shared" si="2"/>
        <v>1361.691</v>
      </c>
      <c r="E91" s="5" t="s">
        <v>36</v>
      </c>
    </row>
    <row r="92" spans="1:5" x14ac:dyDescent="0.4">
      <c r="A92" s="5" t="s">
        <v>35</v>
      </c>
      <c r="B92" s="5" t="s">
        <v>21</v>
      </c>
      <c r="C92" s="6">
        <f>_xll.ciqfunctions.udf.CIQ($B$1,"IQ_RD_EXP_FN","IQ_FY-9")</f>
        <v>1491.37</v>
      </c>
      <c r="D92" s="7">
        <f t="shared" si="2"/>
        <v>1491.37</v>
      </c>
      <c r="E92" s="5" t="s">
        <v>36</v>
      </c>
    </row>
    <row r="93" spans="1:5" x14ac:dyDescent="0.4">
      <c r="A93" s="5" t="s">
        <v>35</v>
      </c>
      <c r="B93" s="5" t="s">
        <v>22</v>
      </c>
      <c r="C93" s="6">
        <f>_xll.ciqfunctions.udf.CIQ($B$1,"IQ_RD_EXP_FN","IQ_FY-10")</f>
        <v>1220.9190000000001</v>
      </c>
      <c r="D93" s="7">
        <f t="shared" si="2"/>
        <v>1220.9190000000001</v>
      </c>
      <c r="E93" s="5" t="s">
        <v>36</v>
      </c>
    </row>
    <row r="94" spans="1:5" x14ac:dyDescent="0.4">
      <c r="A94" s="5" t="s">
        <v>37</v>
      </c>
      <c r="B94" s="5" t="s">
        <v>11</v>
      </c>
      <c r="C94" s="6">
        <f>ABS(_xll.ciqfunctions.udf.CIQ($B$1,"IQ_CAPEX","IQ_FY-0"))</f>
        <v>666.47799999999995</v>
      </c>
      <c r="D94" s="7">
        <f t="shared" si="2"/>
        <v>666.47799999999995</v>
      </c>
      <c r="E94" s="5" t="s">
        <v>38</v>
      </c>
    </row>
    <row r="95" spans="1:5" x14ac:dyDescent="0.4">
      <c r="A95" s="5" t="s">
        <v>37</v>
      </c>
      <c r="B95" s="5" t="s">
        <v>13</v>
      </c>
      <c r="C95" s="6">
        <f>ABS(_xll.ciqfunctions.udf.CIQ($B$1,"IQ_CAPEX","IQ_FY-1"))</f>
        <v>729.77700000000004</v>
      </c>
      <c r="D95" s="7">
        <f t="shared" si="2"/>
        <v>729.77700000000004</v>
      </c>
      <c r="E95" s="5" t="s">
        <v>38</v>
      </c>
    </row>
    <row r="96" spans="1:5" x14ac:dyDescent="0.4">
      <c r="A96" s="5" t="s">
        <v>37</v>
      </c>
      <c r="B96" s="5" t="s">
        <v>14</v>
      </c>
      <c r="C96" s="6">
        <f>ABS(_xll.ciqfunctions.udf.CIQ($B$1,"IQ_CAPEX","IQ_FY-2"))</f>
        <v>1117.0619999999999</v>
      </c>
      <c r="D96" s="7">
        <f t="shared" si="2"/>
        <v>1117.0619999999999</v>
      </c>
      <c r="E96" s="5" t="s">
        <v>38</v>
      </c>
    </row>
    <row r="97" spans="1:5" x14ac:dyDescent="0.4">
      <c r="A97" s="5" t="s">
        <v>37</v>
      </c>
      <c r="B97" s="5" t="s">
        <v>15</v>
      </c>
      <c r="C97" s="6">
        <f>ABS(_xll.ciqfunctions.udf.CIQ($B$1,"IQ_CAPEX","IQ_FY-3"))</f>
        <v>998.30399999999997</v>
      </c>
      <c r="D97" s="7">
        <f t="shared" si="2"/>
        <v>998.30399999999997</v>
      </c>
      <c r="E97" s="5" t="s">
        <v>38</v>
      </c>
    </row>
    <row r="98" spans="1:5" x14ac:dyDescent="0.4">
      <c r="A98" s="5" t="s">
        <v>37</v>
      </c>
      <c r="B98" s="5" t="s">
        <v>16</v>
      </c>
      <c r="C98" s="6">
        <f>ABS(_xll.ciqfunctions.udf.CIQ($B$1,"IQ_CAPEX","IQ_FY-4"))</f>
        <v>697.00400000000002</v>
      </c>
      <c r="D98" s="7">
        <f t="shared" si="2"/>
        <v>697.00400000000002</v>
      </c>
      <c r="E98" s="5" t="s">
        <v>38</v>
      </c>
    </row>
    <row r="99" spans="1:5" x14ac:dyDescent="0.4">
      <c r="A99" s="5" t="s">
        <v>37</v>
      </c>
      <c r="B99" s="5" t="s">
        <v>17</v>
      </c>
      <c r="C99" s="6">
        <f>ABS(_xll.ciqfunctions.udf.CIQ($B$1,"IQ_CAPEX","IQ_FY-5"))</f>
        <v>664.21500000000003</v>
      </c>
      <c r="D99" s="7">
        <f t="shared" si="2"/>
        <v>664.21500000000003</v>
      </c>
      <c r="E99" s="5" t="s">
        <v>38</v>
      </c>
    </row>
    <row r="100" spans="1:5" x14ac:dyDescent="0.4">
      <c r="A100" s="5" t="s">
        <v>37</v>
      </c>
      <c r="B100" s="5" t="s">
        <v>18</v>
      </c>
      <c r="C100" s="6">
        <f>ABS(_xll.ciqfunctions.udf.CIQ($B$1,"IQ_CAPEX","IQ_FY-6"))</f>
        <v>537.72699999999998</v>
      </c>
      <c r="D100" s="7">
        <f t="shared" si="2"/>
        <v>537.72699999999998</v>
      </c>
      <c r="E100" s="5" t="s">
        <v>38</v>
      </c>
    </row>
    <row r="101" spans="1:5" x14ac:dyDescent="0.4">
      <c r="A101" s="5" t="s">
        <v>37</v>
      </c>
      <c r="B101" s="5" t="s">
        <v>19</v>
      </c>
      <c r="C101" s="6">
        <f>ABS(_xll.ciqfunctions.udf.CIQ($B$1,"IQ_CAPEX","IQ_FY-7"))</f>
        <v>503.29599999999999</v>
      </c>
      <c r="D101" s="7">
        <f t="shared" si="2"/>
        <v>503.29599999999999</v>
      </c>
      <c r="E101" s="5" t="s">
        <v>38</v>
      </c>
    </row>
    <row r="102" spans="1:5" x14ac:dyDescent="0.4">
      <c r="A102" s="5" t="s">
        <v>37</v>
      </c>
      <c r="B102" s="5" t="s">
        <v>20</v>
      </c>
      <c r="C102" s="6">
        <f>ABS(_xll.ciqfunctions.udf.CIQ($B$1,"IQ_CAPEX","IQ_FY-8"))</f>
        <v>463.55799999999999</v>
      </c>
      <c r="D102" s="7">
        <f t="shared" ref="D102:D133" si="3">C102</f>
        <v>463.55799999999999</v>
      </c>
      <c r="E102" s="5" t="s">
        <v>38</v>
      </c>
    </row>
    <row r="103" spans="1:5" x14ac:dyDescent="0.4">
      <c r="A103" s="5" t="s">
        <v>37</v>
      </c>
      <c r="B103" s="5" t="s">
        <v>21</v>
      </c>
      <c r="C103" s="6">
        <f>ABS(_xll.ciqfunctions.udf.CIQ($B$1,"IQ_CAPEX","IQ_FY-9"))</f>
        <v>603.81600000000003</v>
      </c>
      <c r="D103" s="7">
        <f t="shared" si="3"/>
        <v>603.81600000000003</v>
      </c>
      <c r="E103" s="5" t="s">
        <v>38</v>
      </c>
    </row>
    <row r="104" spans="1:5" x14ac:dyDescent="0.4">
      <c r="A104" s="5" t="s">
        <v>37</v>
      </c>
      <c r="B104" s="5" t="s">
        <v>22</v>
      </c>
      <c r="C104" s="6">
        <f>ABS(_xll.ciqfunctions.udf.CIQ($B$1,"IQ_CAPEX","IQ_FY-10"))</f>
        <v>606.10500000000002</v>
      </c>
      <c r="D104" s="7">
        <f t="shared" si="3"/>
        <v>606.10500000000002</v>
      </c>
      <c r="E104" s="5" t="s">
        <v>38</v>
      </c>
    </row>
    <row r="105" spans="1:5" x14ac:dyDescent="0.4">
      <c r="A105" s="5" t="s">
        <v>39</v>
      </c>
      <c r="B105" s="5" t="s">
        <v>11</v>
      </c>
      <c r="C105" s="6">
        <f>ABS(_xll.ciqfunctions.udf.CIQ($B$1,"IQ_OPERATING_LEASE_PAYMENTS","IQ_FY-0"))</f>
        <v>121.071</v>
      </c>
      <c r="D105" s="7">
        <f t="shared" si="3"/>
        <v>121.071</v>
      </c>
      <c r="E105" s="5" t="s">
        <v>40</v>
      </c>
    </row>
    <row r="106" spans="1:5" x14ac:dyDescent="0.4">
      <c r="A106" s="5" t="s">
        <v>39</v>
      </c>
      <c r="B106" s="5" t="s">
        <v>13</v>
      </c>
      <c r="C106" s="6">
        <f>ABS(_xll.ciqfunctions.udf.CIQ($B$1,"IQ_OPERATING_LEASE_PAYMENTS","IQ_FY-1"))</f>
        <v>134.54499999999999</v>
      </c>
      <c r="D106" s="7">
        <f t="shared" si="3"/>
        <v>134.54499999999999</v>
      </c>
      <c r="E106" s="5" t="s">
        <v>40</v>
      </c>
    </row>
    <row r="107" spans="1:5" x14ac:dyDescent="0.4">
      <c r="A107" s="5" t="s">
        <v>39</v>
      </c>
      <c r="B107" s="5" t="s">
        <v>14</v>
      </c>
      <c r="C107" s="6">
        <f>ABS(_xll.ciqfunctions.udf.CIQ($B$1,"IQ_OPERATING_LEASE_PAYMENTS","IQ_FY-2"))</f>
        <v>168.63800000000001</v>
      </c>
      <c r="D107" s="7">
        <f t="shared" si="3"/>
        <v>168.63800000000001</v>
      </c>
      <c r="E107" s="5" t="s">
        <v>40</v>
      </c>
    </row>
    <row r="108" spans="1:5" x14ac:dyDescent="0.4">
      <c r="A108" s="5" t="s">
        <v>39</v>
      </c>
      <c r="B108" s="5" t="s">
        <v>15</v>
      </c>
      <c r="C108" s="6">
        <f>ABS(_xll.ciqfunctions.udf.CIQ($B$1,"IQ_OPERATING_LEASE_PAYMENTS","IQ_FY-3"))</f>
        <v>146.48500000000001</v>
      </c>
      <c r="D108" s="7">
        <f t="shared" si="3"/>
        <v>146.48500000000001</v>
      </c>
      <c r="E108" s="5" t="s">
        <v>40</v>
      </c>
    </row>
    <row r="109" spans="1:5" x14ac:dyDescent="0.4">
      <c r="A109" s="5" t="s">
        <v>39</v>
      </c>
      <c r="B109" s="5" t="s">
        <v>16</v>
      </c>
      <c r="C109" s="6">
        <f>ABS(_xll.ciqfunctions.udf.CIQ($B$1,"IQ_OPERATING_LEASE_PAYMENTS","IQ_FY-4"))</f>
        <v>165.15</v>
      </c>
      <c r="D109" s="7">
        <f t="shared" si="3"/>
        <v>165.15</v>
      </c>
      <c r="E109" s="5" t="s">
        <v>40</v>
      </c>
    </row>
    <row r="110" spans="1:5" x14ac:dyDescent="0.4">
      <c r="A110" s="5" t="s">
        <v>39</v>
      </c>
      <c r="B110" s="5" t="s">
        <v>17</v>
      </c>
      <c r="C110" s="6">
        <f>ABS(_xll.ciqfunctions.udf.CIQ($B$1,"IQ_OPERATING_LEASE_PAYMENTS","IQ_FY-5"))</f>
        <v>130.99299999999999</v>
      </c>
      <c r="D110" s="7">
        <f t="shared" si="3"/>
        <v>130.99299999999999</v>
      </c>
      <c r="E110" s="5" t="s">
        <v>40</v>
      </c>
    </row>
    <row r="111" spans="1:5" x14ac:dyDescent="0.4">
      <c r="A111" s="5" t="s">
        <v>39</v>
      </c>
      <c r="B111" s="5" t="s">
        <v>18</v>
      </c>
      <c r="C111" s="6">
        <f>ABS(_xll.ciqfunctions.udf.CIQ($B$1,"IQ_OPERATING_LEASE_PAYMENTS","IQ_FY-6"))</f>
        <v>0</v>
      </c>
      <c r="D111" s="7">
        <f t="shared" si="3"/>
        <v>0</v>
      </c>
      <c r="E111" s="5" t="s">
        <v>40</v>
      </c>
    </row>
    <row r="112" spans="1:5" x14ac:dyDescent="0.4">
      <c r="A112" s="5" t="s">
        <v>39</v>
      </c>
      <c r="B112" s="5" t="s">
        <v>19</v>
      </c>
      <c r="C112" s="6">
        <f>ABS(_xll.ciqfunctions.udf.CIQ($B$1,"IQ_OPERATING_LEASE_PAYMENTS","IQ_FY-7"))</f>
        <v>0</v>
      </c>
      <c r="D112" s="7">
        <f t="shared" si="3"/>
        <v>0</v>
      </c>
      <c r="E112" s="5" t="s">
        <v>40</v>
      </c>
    </row>
    <row r="113" spans="1:5" x14ac:dyDescent="0.4">
      <c r="A113" s="5" t="s">
        <v>39</v>
      </c>
      <c r="B113" s="5" t="s">
        <v>20</v>
      </c>
      <c r="C113" s="6">
        <f>ABS(_xll.ciqfunctions.udf.CIQ($B$1,"IQ_OPERATING_LEASE_PAYMENTS","IQ_FY-8"))</f>
        <v>0</v>
      </c>
      <c r="D113" s="7">
        <f t="shared" si="3"/>
        <v>0</v>
      </c>
      <c r="E113" s="5" t="s">
        <v>40</v>
      </c>
    </row>
    <row r="114" spans="1:5" x14ac:dyDescent="0.4">
      <c r="A114" s="5" t="s">
        <v>39</v>
      </c>
      <c r="B114" s="5" t="s">
        <v>21</v>
      </c>
      <c r="C114" s="6">
        <f>ABS(_xll.ciqfunctions.udf.CIQ($B$1,"IQ_OPERATING_LEASE_PAYMENTS","IQ_FY-9"))</f>
        <v>0</v>
      </c>
      <c r="D114" s="7">
        <f t="shared" si="3"/>
        <v>0</v>
      </c>
      <c r="E114" s="5" t="s">
        <v>40</v>
      </c>
    </row>
    <row r="115" spans="1:5" x14ac:dyDescent="0.4">
      <c r="A115" s="5" t="s">
        <v>39</v>
      </c>
      <c r="B115" s="5" t="s">
        <v>22</v>
      </c>
      <c r="C115" s="6">
        <f>ABS(_xll.ciqfunctions.udf.CIQ($B$1,"IQ_OPERATING_LEASE_PAYMENTS","IQ_FY-10"))</f>
        <v>0</v>
      </c>
      <c r="D115" s="7">
        <f t="shared" si="3"/>
        <v>0</v>
      </c>
      <c r="E115" s="5" t="s">
        <v>40</v>
      </c>
    </row>
    <row r="116" spans="1:5" x14ac:dyDescent="0.4">
      <c r="A116" s="5" t="s">
        <v>41</v>
      </c>
      <c r="B116" s="5" t="s">
        <v>11</v>
      </c>
      <c r="C116" s="6">
        <f>_xll.ciqfunctions.udf.CIQ($B$1,"IQ_EBT_EXCL","IQ_FY-0")</f>
        <v>1484.4659999999999</v>
      </c>
      <c r="D116" s="7">
        <f t="shared" si="3"/>
        <v>1484.4659999999999</v>
      </c>
      <c r="E116" s="5" t="s">
        <v>42</v>
      </c>
    </row>
    <row r="117" spans="1:5" x14ac:dyDescent="0.4">
      <c r="A117" s="5" t="s">
        <v>41</v>
      </c>
      <c r="B117" s="5" t="s">
        <v>13</v>
      </c>
      <c r="C117" s="6">
        <f>_xll.ciqfunctions.udf.CIQ($B$1,"IQ_EBT_EXCL","IQ_FY-1")</f>
        <v>1364.8720000000001</v>
      </c>
      <c r="D117" s="7">
        <f t="shared" si="3"/>
        <v>1364.8720000000001</v>
      </c>
      <c r="E117" s="5" t="s">
        <v>42</v>
      </c>
    </row>
    <row r="118" spans="1:5" x14ac:dyDescent="0.4">
      <c r="A118" s="5" t="s">
        <v>41</v>
      </c>
      <c r="B118" s="5" t="s">
        <v>14</v>
      </c>
      <c r="C118" s="6">
        <f>_xll.ciqfunctions.udf.CIQ($B$1,"IQ_EBT_EXCL","IQ_FY-2")</f>
        <v>2136.0230000000001</v>
      </c>
      <c r="D118" s="7">
        <f t="shared" si="3"/>
        <v>2136.0230000000001</v>
      </c>
      <c r="E118" s="5" t="s">
        <v>42</v>
      </c>
    </row>
    <row r="119" spans="1:5" x14ac:dyDescent="0.4">
      <c r="A119" s="5" t="s">
        <v>41</v>
      </c>
      <c r="B119" s="5" t="s">
        <v>15</v>
      </c>
      <c r="C119" s="6">
        <f>_xll.ciqfunctions.udf.CIQ($B$1,"IQ_EBT_EXCL","IQ_FY-3")</f>
        <v>2769.9960000000001</v>
      </c>
      <c r="D119" s="7">
        <f t="shared" si="3"/>
        <v>2769.9960000000001</v>
      </c>
      <c r="E119" s="5" t="s">
        <v>42</v>
      </c>
    </row>
    <row r="120" spans="1:5" x14ac:dyDescent="0.4">
      <c r="A120" s="5" t="s">
        <v>41</v>
      </c>
      <c r="B120" s="5" t="s">
        <v>16</v>
      </c>
      <c r="C120" s="6">
        <f>_xll.ciqfunctions.udf.CIQ($B$1,"IQ_EBT_EXCL","IQ_FY-4")</f>
        <v>1664.194</v>
      </c>
      <c r="D120" s="7">
        <f t="shared" si="3"/>
        <v>1664.194</v>
      </c>
      <c r="E120" s="5" t="s">
        <v>42</v>
      </c>
    </row>
    <row r="121" spans="1:5" x14ac:dyDescent="0.4">
      <c r="A121" s="5" t="s">
        <v>41</v>
      </c>
      <c r="B121" s="5" t="s">
        <v>17</v>
      </c>
      <c r="C121" s="6">
        <f>_xll.ciqfunctions.udf.CIQ($B$1,"IQ_EBT_EXCL","IQ_FY-5")</f>
        <v>1029.174</v>
      </c>
      <c r="D121" s="7">
        <f t="shared" si="3"/>
        <v>1029.174</v>
      </c>
      <c r="E121" s="5" t="s">
        <v>42</v>
      </c>
    </row>
    <row r="122" spans="1:5" x14ac:dyDescent="0.4">
      <c r="A122" s="5" t="s">
        <v>41</v>
      </c>
      <c r="B122" s="5" t="s">
        <v>18</v>
      </c>
      <c r="C122" s="6">
        <f>_xll.ciqfunctions.udf.CIQ($B$1,"IQ_EBT_EXCL","IQ_FY-6")</f>
        <v>861.63400000000001</v>
      </c>
      <c r="D122" s="7">
        <f t="shared" si="3"/>
        <v>861.63400000000001</v>
      </c>
      <c r="E122" s="5" t="s">
        <v>42</v>
      </c>
    </row>
    <row r="123" spans="1:5" x14ac:dyDescent="0.4">
      <c r="A123" s="5" t="s">
        <v>41</v>
      </c>
      <c r="B123" s="5" t="s">
        <v>19</v>
      </c>
      <c r="C123" s="6">
        <f>_xll.ciqfunctions.udf.CIQ($B$1,"IQ_EBT_EXCL","IQ_FY-7")</f>
        <v>203.04</v>
      </c>
      <c r="D123" s="7">
        <f t="shared" si="3"/>
        <v>203.04</v>
      </c>
      <c r="E123" s="5" t="s">
        <v>42</v>
      </c>
    </row>
    <row r="124" spans="1:5" x14ac:dyDescent="0.4">
      <c r="A124" s="5" t="s">
        <v>41</v>
      </c>
      <c r="B124" s="5" t="s">
        <v>20</v>
      </c>
      <c r="C124" s="6">
        <f>_xll.ciqfunctions.udf.CIQ($B$1,"IQ_EBT_EXCL","IQ_FY-8")</f>
        <v>302.666</v>
      </c>
      <c r="D124" s="7">
        <f t="shared" si="3"/>
        <v>302.666</v>
      </c>
      <c r="E124" s="5" t="s">
        <v>42</v>
      </c>
    </row>
    <row r="125" spans="1:5" x14ac:dyDescent="0.4">
      <c r="A125" s="5" t="s">
        <v>41</v>
      </c>
      <c r="B125" s="5" t="s">
        <v>21</v>
      </c>
      <c r="C125" s="6">
        <f>_xll.ciqfunctions.udf.CIQ($B$1,"IQ_EBT_EXCL","IQ_FY-9")</f>
        <v>311.82799999999997</v>
      </c>
      <c r="D125" s="7">
        <f t="shared" si="3"/>
        <v>311.82799999999997</v>
      </c>
      <c r="E125" s="5" t="s">
        <v>42</v>
      </c>
    </row>
    <row r="126" spans="1:5" x14ac:dyDescent="0.4">
      <c r="A126" s="5" t="s">
        <v>41</v>
      </c>
      <c r="B126" s="5" t="s">
        <v>22</v>
      </c>
      <c r="C126" s="6">
        <f>_xll.ciqfunctions.udf.CIQ($B$1,"IQ_EBT_EXCL","IQ_FY-10")</f>
        <v>969.94399999999996</v>
      </c>
      <c r="D126" s="7">
        <f t="shared" si="3"/>
        <v>969.94399999999996</v>
      </c>
      <c r="E126" s="5" t="s">
        <v>42</v>
      </c>
    </row>
    <row r="127" spans="1:5" x14ac:dyDescent="0.4">
      <c r="A127" s="5" t="s">
        <v>43</v>
      </c>
      <c r="B127" s="5" t="s">
        <v>11</v>
      </c>
      <c r="C127" s="6">
        <f>_xll.ciqfunctions.udf.CIQ($B$1,"IQ_INC_TAX","IQ_FY-0")</f>
        <v>18.917999999999999</v>
      </c>
      <c r="D127" s="7">
        <f t="shared" si="3"/>
        <v>18.917999999999999</v>
      </c>
      <c r="E127" s="5" t="s">
        <v>44</v>
      </c>
    </row>
    <row r="128" spans="1:5" x14ac:dyDescent="0.4">
      <c r="A128" s="5" t="s">
        <v>43</v>
      </c>
      <c r="B128" s="5" t="s">
        <v>13</v>
      </c>
      <c r="C128" s="6">
        <f>_xll.ciqfunctions.udf.CIQ($B$1,"IQ_INC_TAX","IQ_FY-1")</f>
        <v>263.142</v>
      </c>
      <c r="D128" s="7">
        <f t="shared" si="3"/>
        <v>263.142</v>
      </c>
      <c r="E128" s="5" t="s">
        <v>44</v>
      </c>
    </row>
    <row r="129" spans="1:5" x14ac:dyDescent="0.4">
      <c r="A129" s="5" t="s">
        <v>43</v>
      </c>
      <c r="B129" s="5" t="s">
        <v>14</v>
      </c>
      <c r="C129" s="6">
        <f>_xll.ciqfunctions.udf.CIQ($B$1,"IQ_INC_TAX","IQ_FY-2")</f>
        <v>455.15600000000001</v>
      </c>
      <c r="D129" s="7">
        <f t="shared" si="3"/>
        <v>455.15600000000001</v>
      </c>
      <c r="E129" s="5" t="s">
        <v>44</v>
      </c>
    </row>
    <row r="130" spans="1:5" x14ac:dyDescent="0.4">
      <c r="A130" s="5" t="s">
        <v>43</v>
      </c>
      <c r="B130" s="5" t="s">
        <v>15</v>
      </c>
      <c r="C130" s="6">
        <f>_xll.ciqfunctions.udf.CIQ($B$1,"IQ_INC_TAX","IQ_FY-3")</f>
        <v>622.399</v>
      </c>
      <c r="D130" s="7">
        <f t="shared" si="3"/>
        <v>622.399</v>
      </c>
      <c r="E130" s="5" t="s">
        <v>44</v>
      </c>
    </row>
    <row r="131" spans="1:5" x14ac:dyDescent="0.4">
      <c r="A131" s="5" t="s">
        <v>43</v>
      </c>
      <c r="B131" s="5" t="s">
        <v>16</v>
      </c>
      <c r="C131" s="6">
        <f>_xll.ciqfunctions.udf.CIQ($B$1,"IQ_INC_TAX","IQ_FY-4")</f>
        <v>461.19900000000001</v>
      </c>
      <c r="D131" s="7">
        <f t="shared" si="3"/>
        <v>461.19900000000001</v>
      </c>
      <c r="E131" s="5" t="s">
        <v>44</v>
      </c>
    </row>
    <row r="132" spans="1:5" x14ac:dyDescent="0.4">
      <c r="A132" s="5" t="s">
        <v>43</v>
      </c>
      <c r="B132" s="5" t="s">
        <v>17</v>
      </c>
      <c r="C132" s="6">
        <f>_xll.ciqfunctions.udf.CIQ($B$1,"IQ_INC_TAX","IQ_FY-5")</f>
        <v>213.20400000000001</v>
      </c>
      <c r="D132" s="7">
        <f t="shared" si="3"/>
        <v>213.20400000000001</v>
      </c>
      <c r="E132" s="5" t="s">
        <v>44</v>
      </c>
    </row>
    <row r="133" spans="1:5" x14ac:dyDescent="0.4">
      <c r="A133" s="5" t="s">
        <v>43</v>
      </c>
      <c r="B133" s="5" t="s">
        <v>18</v>
      </c>
      <c r="C133" s="6">
        <f>_xll.ciqfunctions.udf.CIQ($B$1,"IQ_INC_TAX","IQ_FY-6")</f>
        <v>199.46</v>
      </c>
      <c r="D133" s="7">
        <f t="shared" si="3"/>
        <v>199.46</v>
      </c>
      <c r="E133" s="5" t="s">
        <v>44</v>
      </c>
    </row>
    <row r="134" spans="1:5" x14ac:dyDescent="0.4">
      <c r="A134" s="5" t="s">
        <v>43</v>
      </c>
      <c r="B134" s="5" t="s">
        <v>19</v>
      </c>
      <c r="C134" s="6">
        <f>_xll.ciqfunctions.udf.CIQ($B$1,"IQ_INC_TAX","IQ_FY-7")</f>
        <v>279.97699999999998</v>
      </c>
      <c r="D134" s="7">
        <f t="shared" ref="D134:D165" si="4">C134</f>
        <v>279.97699999999998</v>
      </c>
      <c r="E134" s="5" t="s">
        <v>44</v>
      </c>
    </row>
    <row r="135" spans="1:5" x14ac:dyDescent="0.4">
      <c r="A135" s="5" t="s">
        <v>43</v>
      </c>
      <c r="B135" s="5" t="s">
        <v>20</v>
      </c>
      <c r="C135" s="6">
        <f>_xll.ciqfunctions.udf.CIQ($B$1,"IQ_INC_TAX","IQ_FY-8")</f>
        <v>-40.514000000000003</v>
      </c>
      <c r="D135" s="7">
        <f t="shared" si="4"/>
        <v>-40.514000000000003</v>
      </c>
      <c r="E135" s="5" t="s">
        <v>44</v>
      </c>
    </row>
    <row r="136" spans="1:5" x14ac:dyDescent="0.4">
      <c r="A136" s="5" t="s">
        <v>43</v>
      </c>
      <c r="B136" s="5" t="s">
        <v>21</v>
      </c>
      <c r="C136" s="6">
        <f>_xll.ciqfunctions.udf.CIQ($B$1,"IQ_INC_TAX","IQ_FY-9")</f>
        <v>-132.27600000000001</v>
      </c>
      <c r="D136" s="7">
        <f t="shared" si="4"/>
        <v>-132.27600000000001</v>
      </c>
      <c r="E136" s="5" t="s">
        <v>44</v>
      </c>
    </row>
    <row r="137" spans="1:5" x14ac:dyDescent="0.4">
      <c r="A137" s="5" t="s">
        <v>43</v>
      </c>
      <c r="B137" s="5" t="s">
        <v>22</v>
      </c>
      <c r="C137" s="6">
        <f>_xll.ciqfunctions.udf.CIQ($B$1,"IQ_INC_TAX","IQ_FY-10")</f>
        <v>134.364</v>
      </c>
      <c r="D137" s="7">
        <f t="shared" si="4"/>
        <v>134.364</v>
      </c>
      <c r="E137" s="5" t="s">
        <v>44</v>
      </c>
    </row>
    <row r="138" spans="1:5" x14ac:dyDescent="0.4">
      <c r="A138" s="8" t="s">
        <v>45</v>
      </c>
      <c r="B138" s="9"/>
      <c r="C138" s="9"/>
      <c r="D138" s="9"/>
      <c r="E138" s="9"/>
    </row>
    <row r="139" spans="1:5" x14ac:dyDescent="0.4">
      <c r="A139" s="5" t="s">
        <v>10</v>
      </c>
      <c r="B139" s="5" t="s">
        <v>46</v>
      </c>
      <c r="C139" s="6">
        <f>_xll.ciqfunctions.udf.CIQ($B$1,"IQ_TOTAL_REV","IQ_FQ-0")</f>
        <v>22204.333999999999</v>
      </c>
      <c r="D139" s="7">
        <f t="shared" ref="D139:D170" si="5">C139</f>
        <v>22204.333999999999</v>
      </c>
      <c r="E139" s="5" t="s">
        <v>12</v>
      </c>
    </row>
    <row r="140" spans="1:5" x14ac:dyDescent="0.4">
      <c r="A140" s="5" t="s">
        <v>10</v>
      </c>
      <c r="B140" s="5" t="s">
        <v>47</v>
      </c>
      <c r="C140" s="6">
        <f>_xll.ciqfunctions.udf.CIQ($B$1,"IQ_TOTAL_REV","IQ_FQ-1")</f>
        <v>20452.022000000001</v>
      </c>
      <c r="D140" s="7">
        <f t="shared" si="5"/>
        <v>20452.022000000001</v>
      </c>
      <c r="E140" s="5" t="s">
        <v>12</v>
      </c>
    </row>
    <row r="141" spans="1:5" x14ac:dyDescent="0.4">
      <c r="A141" s="5" t="s">
        <v>10</v>
      </c>
      <c r="B141" s="5" t="s">
        <v>48</v>
      </c>
      <c r="C141" s="6">
        <f>_xll.ciqfunctions.udf.CIQ($B$1,"IQ_TOTAL_REV","IQ_FQ-2")</f>
        <v>18830</v>
      </c>
      <c r="D141" s="7">
        <f t="shared" si="5"/>
        <v>18830</v>
      </c>
      <c r="E141" s="5" t="s">
        <v>12</v>
      </c>
    </row>
    <row r="142" spans="1:5" x14ac:dyDescent="0.4">
      <c r="A142" s="5" t="s">
        <v>10</v>
      </c>
      <c r="B142" s="5" t="s">
        <v>49</v>
      </c>
      <c r="C142" s="6">
        <f>_xll.ciqfunctions.udf.CIQ($B$1,"IQ_TOTAL_REV","IQ_FQ-3")</f>
        <v>16983.538</v>
      </c>
      <c r="D142" s="7">
        <f t="shared" si="5"/>
        <v>16983.538</v>
      </c>
      <c r="E142" s="5" t="s">
        <v>12</v>
      </c>
    </row>
    <row r="143" spans="1:5" x14ac:dyDescent="0.4">
      <c r="A143" s="5" t="s">
        <v>10</v>
      </c>
      <c r="B143" s="5" t="s">
        <v>50</v>
      </c>
      <c r="C143" s="6">
        <f>_xll.ciqfunctions.udf.CIQ($B$1,"IQ_TOTAL_REV","IQ_FQ-4")</f>
        <v>18796.28</v>
      </c>
      <c r="D143" s="7">
        <f t="shared" si="5"/>
        <v>18796.28</v>
      </c>
      <c r="E143" s="5" t="s">
        <v>12</v>
      </c>
    </row>
    <row r="144" spans="1:5" x14ac:dyDescent="0.4">
      <c r="A144" s="5" t="s">
        <v>10</v>
      </c>
      <c r="B144" s="5" t="s">
        <v>51</v>
      </c>
      <c r="C144" s="6">
        <f>_xll.ciqfunctions.udf.CIQ($B$1,"IQ_TOTAL_REV","IQ_FQ-5")</f>
        <v>17850.094000000001</v>
      </c>
      <c r="D144" s="7">
        <f t="shared" si="5"/>
        <v>17850.094000000001</v>
      </c>
      <c r="E144" s="5" t="s">
        <v>12</v>
      </c>
    </row>
    <row r="145" spans="1:5" x14ac:dyDescent="0.4">
      <c r="A145" s="5" t="s">
        <v>10</v>
      </c>
      <c r="B145" s="5" t="s">
        <v>52</v>
      </c>
      <c r="C145" s="6">
        <f>_xll.ciqfunctions.udf.CIQ($B$1,"IQ_TOTAL_REV","IQ_FQ-6")</f>
        <v>15447.056</v>
      </c>
      <c r="D145" s="7">
        <f t="shared" si="5"/>
        <v>15447.056</v>
      </c>
      <c r="E145" s="5" t="s">
        <v>12</v>
      </c>
    </row>
    <row r="146" spans="1:5" x14ac:dyDescent="0.4">
      <c r="A146" s="5" t="s">
        <v>10</v>
      </c>
      <c r="B146" s="5" t="s">
        <v>53</v>
      </c>
      <c r="C146" s="6">
        <f>_xll.ciqfunctions.udf.CIQ($B$1,"IQ_TOTAL_REV","IQ_FQ-7")</f>
        <v>13833.117</v>
      </c>
      <c r="D146" s="7">
        <f t="shared" si="5"/>
        <v>13833.117</v>
      </c>
      <c r="E146" s="5" t="s">
        <v>12</v>
      </c>
    </row>
    <row r="147" spans="1:5" x14ac:dyDescent="0.4">
      <c r="A147" s="5" t="s">
        <v>23</v>
      </c>
      <c r="B147" s="5" t="s">
        <v>46</v>
      </c>
      <c r="C147" s="6">
        <f>_xll.ciqfunctions.udf.CIQ($B$1,"IQ_EBIT","IQ_FQ-0")</f>
        <v>948.45799999999997</v>
      </c>
      <c r="D147" s="7">
        <f t="shared" si="5"/>
        <v>948.45799999999997</v>
      </c>
      <c r="E147" s="5" t="s">
        <v>24</v>
      </c>
    </row>
    <row r="148" spans="1:5" x14ac:dyDescent="0.4">
      <c r="A148" s="5" t="s">
        <v>23</v>
      </c>
      <c r="B148" s="5" t="s">
        <v>47</v>
      </c>
      <c r="C148" s="6">
        <f>_xll.ciqfunctions.udf.CIQ($B$1,"IQ_EBIT","IQ_FQ-1")</f>
        <v>642.92100000000005</v>
      </c>
      <c r="D148" s="7">
        <f t="shared" si="5"/>
        <v>642.92100000000005</v>
      </c>
      <c r="E148" s="5" t="s">
        <v>24</v>
      </c>
    </row>
    <row r="149" spans="1:5" x14ac:dyDescent="0.4">
      <c r="A149" s="5" t="s">
        <v>23</v>
      </c>
      <c r="B149" s="5" t="s">
        <v>48</v>
      </c>
      <c r="C149" s="6">
        <f>_xll.ciqfunctions.udf.CIQ($B$1,"IQ_EBIT","IQ_FQ-2")</f>
        <v>785</v>
      </c>
      <c r="D149" s="7">
        <f t="shared" si="5"/>
        <v>785</v>
      </c>
      <c r="E149" s="5" t="s">
        <v>24</v>
      </c>
    </row>
    <row r="150" spans="1:5" x14ac:dyDescent="0.4">
      <c r="A150" s="5" t="s">
        <v>23</v>
      </c>
      <c r="B150" s="5" t="s">
        <v>49</v>
      </c>
      <c r="C150" s="6">
        <f>_xll.ciqfunctions.udf.CIQ($B$1,"IQ_EBIT","IQ_FQ-3")</f>
        <v>174.13</v>
      </c>
      <c r="D150" s="7">
        <f t="shared" si="5"/>
        <v>174.13</v>
      </c>
      <c r="E150" s="5" t="s">
        <v>24</v>
      </c>
    </row>
    <row r="151" spans="1:5" x14ac:dyDescent="0.4">
      <c r="A151" s="5" t="s">
        <v>23</v>
      </c>
      <c r="B151" s="5" t="s">
        <v>50</v>
      </c>
      <c r="C151" s="6">
        <f>_xll.ciqfunctions.udf.CIQ($B$1,"IQ_EBIT","IQ_FQ-4")</f>
        <v>687.70399999999995</v>
      </c>
      <c r="D151" s="7">
        <f t="shared" si="5"/>
        <v>687.70399999999995</v>
      </c>
      <c r="E151" s="5" t="s">
        <v>24</v>
      </c>
    </row>
    <row r="152" spans="1:5" x14ac:dyDescent="0.4">
      <c r="A152" s="5" t="s">
        <v>23</v>
      </c>
      <c r="B152" s="5" t="s">
        <v>51</v>
      </c>
      <c r="C152" s="6">
        <f>_xll.ciqfunctions.udf.CIQ($B$1,"IQ_EBIT","IQ_FQ-5")</f>
        <v>650.59900000000005</v>
      </c>
      <c r="D152" s="7">
        <f t="shared" si="5"/>
        <v>650.59900000000005</v>
      </c>
      <c r="E152" s="5" t="s">
        <v>24</v>
      </c>
    </row>
    <row r="153" spans="1:5" x14ac:dyDescent="0.4">
      <c r="A153" s="5" t="s">
        <v>23</v>
      </c>
      <c r="B153" s="5" t="s">
        <v>52</v>
      </c>
      <c r="C153" s="6">
        <f>_xll.ciqfunctions.udf.CIQ($B$1,"IQ_EBIT","IQ_FQ-6")</f>
        <v>494.46899999999999</v>
      </c>
      <c r="D153" s="7">
        <f t="shared" si="5"/>
        <v>494.46899999999999</v>
      </c>
      <c r="E153" s="5" t="s">
        <v>24</v>
      </c>
    </row>
    <row r="154" spans="1:5" x14ac:dyDescent="0.4">
      <c r="A154" s="5" t="s">
        <v>23</v>
      </c>
      <c r="B154" s="5" t="s">
        <v>53</v>
      </c>
      <c r="C154" s="6">
        <f>_xll.ciqfunctions.udf.CIQ($B$1,"IQ_EBIT","IQ_FQ-7")</f>
        <v>473.81</v>
      </c>
      <c r="D154" s="7">
        <f t="shared" si="5"/>
        <v>473.81</v>
      </c>
      <c r="E154" s="5" t="s">
        <v>24</v>
      </c>
    </row>
    <row r="155" spans="1:5" x14ac:dyDescent="0.4">
      <c r="A155" s="5" t="s">
        <v>25</v>
      </c>
      <c r="B155" s="5" t="s">
        <v>46</v>
      </c>
      <c r="C155" s="6">
        <f>_xll.ciqfunctions.udf.CIQ($B$1,"IQ_EBITDA","IQ_FQ-0")</f>
        <v>1246.0350000000001</v>
      </c>
      <c r="D155" s="7">
        <f t="shared" si="5"/>
        <v>1246.0350000000001</v>
      </c>
      <c r="E155" s="5" t="s">
        <v>26</v>
      </c>
    </row>
    <row r="156" spans="1:5" x14ac:dyDescent="0.4">
      <c r="A156" s="5" t="s">
        <v>25</v>
      </c>
      <c r="B156" s="5" t="s">
        <v>47</v>
      </c>
      <c r="C156" s="6">
        <f>_xll.ciqfunctions.udf.CIQ($B$1,"IQ_EBITDA","IQ_FQ-1")</f>
        <v>909.64700000000005</v>
      </c>
      <c r="D156" s="7">
        <f t="shared" si="5"/>
        <v>909.64700000000005</v>
      </c>
      <c r="E156" s="5" t="s">
        <v>26</v>
      </c>
    </row>
    <row r="157" spans="1:5" x14ac:dyDescent="0.4">
      <c r="A157" s="5" t="s">
        <v>25</v>
      </c>
      <c r="B157" s="5" t="s">
        <v>48</v>
      </c>
      <c r="C157" s="6">
        <f>_xll.ciqfunctions.udf.CIQ($B$1,"IQ_EBITDA","IQ_FQ-2")</f>
        <v>1048.2102500000001</v>
      </c>
      <c r="D157" s="7">
        <f t="shared" si="5"/>
        <v>1048.2102500000001</v>
      </c>
      <c r="E157" s="5" t="s">
        <v>26</v>
      </c>
    </row>
    <row r="158" spans="1:5" x14ac:dyDescent="0.4">
      <c r="A158" s="5" t="s">
        <v>25</v>
      </c>
      <c r="B158" s="5" t="s">
        <v>49</v>
      </c>
      <c r="C158" s="6">
        <f>_xll.ciqfunctions.udf.CIQ($B$1,"IQ_EBITDA","IQ_FQ-3")</f>
        <v>419.10599999999999</v>
      </c>
      <c r="D158" s="7">
        <f t="shared" si="5"/>
        <v>419.10599999999999</v>
      </c>
      <c r="E158" s="5" t="s">
        <v>26</v>
      </c>
    </row>
    <row r="159" spans="1:5" x14ac:dyDescent="0.4">
      <c r="A159" s="5" t="s">
        <v>25</v>
      </c>
      <c r="B159" s="5" t="s">
        <v>50</v>
      </c>
      <c r="C159" s="6">
        <f>_xll.ciqfunctions.udf.CIQ($B$1,"IQ_EBITDA","IQ_FQ-4")</f>
        <v>970.46299999999997</v>
      </c>
      <c r="D159" s="7">
        <f t="shared" si="5"/>
        <v>970.46299999999997</v>
      </c>
      <c r="E159" s="5" t="s">
        <v>26</v>
      </c>
    </row>
    <row r="160" spans="1:5" x14ac:dyDescent="0.4">
      <c r="A160" s="5" t="s">
        <v>25</v>
      </c>
      <c r="B160" s="5" t="s">
        <v>51</v>
      </c>
      <c r="C160" s="6">
        <f>_xll.ciqfunctions.udf.CIQ($B$1,"IQ_EBITDA","IQ_FQ-5")</f>
        <v>918.47799999999995</v>
      </c>
      <c r="D160" s="7">
        <f t="shared" si="5"/>
        <v>918.47799999999995</v>
      </c>
      <c r="E160" s="5" t="s">
        <v>26</v>
      </c>
    </row>
    <row r="161" spans="1:5" x14ac:dyDescent="0.4">
      <c r="A161" s="5" t="s">
        <v>25</v>
      </c>
      <c r="B161" s="5" t="s">
        <v>52</v>
      </c>
      <c r="C161" s="6">
        <f>_xll.ciqfunctions.udf.CIQ($B$1,"IQ_EBITDA","IQ_FQ-6")</f>
        <v>751.69600000000003</v>
      </c>
      <c r="D161" s="7">
        <f t="shared" si="5"/>
        <v>751.69600000000003</v>
      </c>
      <c r="E161" s="5" t="s">
        <v>26</v>
      </c>
    </row>
    <row r="162" spans="1:5" x14ac:dyDescent="0.4">
      <c r="A162" s="5" t="s">
        <v>25</v>
      </c>
      <c r="B162" s="5" t="s">
        <v>53</v>
      </c>
      <c r="C162" s="6">
        <f>_xll.ciqfunctions.udf.CIQ($B$1,"IQ_EBITDA","IQ_FQ-7")</f>
        <v>741.96600000000001</v>
      </c>
      <c r="D162" s="7">
        <f t="shared" si="5"/>
        <v>741.96600000000001</v>
      </c>
      <c r="E162" s="5" t="s">
        <v>26</v>
      </c>
    </row>
    <row r="163" spans="1:5" x14ac:dyDescent="0.4">
      <c r="A163" s="5" t="s">
        <v>27</v>
      </c>
      <c r="B163" s="5" t="s">
        <v>46</v>
      </c>
      <c r="C163" s="6">
        <f>_xll.ciqfunctions.udf.CIQ($B$1,"IQ_NI","IQ_FQ-0")</f>
        <v>545.53599999999994</v>
      </c>
      <c r="D163" s="7">
        <f t="shared" si="5"/>
        <v>545.53599999999994</v>
      </c>
      <c r="E163" s="5" t="s">
        <v>28</v>
      </c>
    </row>
    <row r="164" spans="1:5" x14ac:dyDescent="0.4">
      <c r="A164" s="5" t="s">
        <v>27</v>
      </c>
      <c r="B164" s="5" t="s">
        <v>47</v>
      </c>
      <c r="C164" s="6">
        <f>_xll.ciqfunctions.udf.CIQ($B$1,"IQ_NI","IQ_FQ-1")</f>
        <v>340.27600000000001</v>
      </c>
      <c r="D164" s="7">
        <f t="shared" si="5"/>
        <v>340.27600000000001</v>
      </c>
      <c r="E164" s="5" t="s">
        <v>28</v>
      </c>
    </row>
    <row r="165" spans="1:5" x14ac:dyDescent="0.4">
      <c r="A165" s="5" t="s">
        <v>27</v>
      </c>
      <c r="B165" s="5" t="s">
        <v>48</v>
      </c>
      <c r="C165" s="6">
        <f>_xll.ciqfunctions.udf.CIQ($B$1,"IQ_NI","IQ_FQ-2")</f>
        <v>505</v>
      </c>
      <c r="D165" s="7">
        <f t="shared" si="5"/>
        <v>505</v>
      </c>
      <c r="E165" s="5" t="s">
        <v>28</v>
      </c>
    </row>
    <row r="166" spans="1:5" x14ac:dyDescent="0.4">
      <c r="A166" s="5" t="s">
        <v>27</v>
      </c>
      <c r="B166" s="5" t="s">
        <v>49</v>
      </c>
      <c r="C166" s="6">
        <f>_xll.ciqfunctions.udf.CIQ($B$1,"IQ_NI","IQ_FQ-3")</f>
        <v>89.878</v>
      </c>
      <c r="D166" s="7">
        <f t="shared" si="5"/>
        <v>89.878</v>
      </c>
      <c r="E166" s="5" t="s">
        <v>28</v>
      </c>
    </row>
    <row r="167" spans="1:5" x14ac:dyDescent="0.4">
      <c r="A167" s="5" t="s">
        <v>27</v>
      </c>
      <c r="B167" s="5" t="s">
        <v>50</v>
      </c>
      <c r="C167" s="6">
        <f>_xll.ciqfunctions.udf.CIQ($B$1,"IQ_NI","IQ_FQ-4")</f>
        <v>692.67</v>
      </c>
      <c r="D167" s="7">
        <f t="shared" si="5"/>
        <v>692.67</v>
      </c>
      <c r="E167" s="5" t="s">
        <v>28</v>
      </c>
    </row>
    <row r="168" spans="1:5" x14ac:dyDescent="0.4">
      <c r="A168" s="5" t="s">
        <v>27</v>
      </c>
      <c r="B168" s="5" t="s">
        <v>51</v>
      </c>
      <c r="C168" s="6">
        <f>_xll.ciqfunctions.udf.CIQ($B$1,"IQ_NI","IQ_FQ-5")</f>
        <v>358.53199999999998</v>
      </c>
      <c r="D168" s="7">
        <f t="shared" si="5"/>
        <v>358.53199999999998</v>
      </c>
      <c r="E168" s="5" t="s">
        <v>28</v>
      </c>
    </row>
    <row r="169" spans="1:5" x14ac:dyDescent="0.4">
      <c r="A169" s="5" t="s">
        <v>27</v>
      </c>
      <c r="B169" s="5" t="s">
        <v>52</v>
      </c>
      <c r="C169" s="6">
        <f>_xll.ciqfunctions.udf.CIQ($B$1,"IQ_NI","IQ_FQ-6")</f>
        <v>243.36500000000001</v>
      </c>
      <c r="D169" s="7">
        <f t="shared" si="5"/>
        <v>243.36500000000001</v>
      </c>
      <c r="E169" s="5" t="s">
        <v>28</v>
      </c>
    </row>
    <row r="170" spans="1:5" x14ac:dyDescent="0.4">
      <c r="A170" s="5" t="s">
        <v>27</v>
      </c>
      <c r="B170" s="5" t="s">
        <v>53</v>
      </c>
      <c r="C170" s="6">
        <f>_xll.ciqfunctions.udf.CIQ($B$1,"IQ_NI","IQ_FQ-7")</f>
        <v>247.72399999999999</v>
      </c>
      <c r="D170" s="7">
        <f t="shared" si="5"/>
        <v>247.72399999999999</v>
      </c>
      <c r="E170" s="5" t="s">
        <v>28</v>
      </c>
    </row>
    <row r="171" spans="1:5" x14ac:dyDescent="0.4">
      <c r="A171" s="5" t="s">
        <v>29</v>
      </c>
      <c r="B171" s="5" t="s">
        <v>46</v>
      </c>
      <c r="C171" s="6">
        <f>ABS(_xll.ciqfunctions.udf.CIQ($B$1,"IQ_INTEREST_EXP","IQ_FQ-0"))</f>
        <v>80.861000000000004</v>
      </c>
      <c r="D171" s="7">
        <f t="shared" ref="D171:D202" si="6">C171</f>
        <v>80.861000000000004</v>
      </c>
      <c r="E171" s="5" t="s">
        <v>30</v>
      </c>
    </row>
    <row r="172" spans="1:5" x14ac:dyDescent="0.4">
      <c r="A172" s="5" t="s">
        <v>29</v>
      </c>
      <c r="B172" s="5" t="s">
        <v>47</v>
      </c>
      <c r="C172" s="6">
        <f>ABS(_xll.ciqfunctions.udf.CIQ($B$1,"IQ_INTEREST_EXP","IQ_FQ-1"))</f>
        <v>74.632000000000005</v>
      </c>
      <c r="D172" s="7">
        <f t="shared" si="6"/>
        <v>74.632000000000005</v>
      </c>
      <c r="E172" s="5" t="s">
        <v>30</v>
      </c>
    </row>
    <row r="173" spans="1:5" x14ac:dyDescent="0.4">
      <c r="A173" s="5" t="s">
        <v>29</v>
      </c>
      <c r="B173" s="5" t="s">
        <v>48</v>
      </c>
      <c r="C173" s="6">
        <f>ABS(_xll.ciqfunctions.udf.CIQ($B$1,"IQ_INTEREST_EXP","IQ_FQ-2"))</f>
        <v>0</v>
      </c>
      <c r="D173" s="7">
        <f t="shared" si="6"/>
        <v>0</v>
      </c>
      <c r="E173" s="5" t="s">
        <v>30</v>
      </c>
    </row>
    <row r="174" spans="1:5" x14ac:dyDescent="0.4">
      <c r="A174" s="5" t="s">
        <v>29</v>
      </c>
      <c r="B174" s="5" t="s">
        <v>49</v>
      </c>
      <c r="C174" s="6">
        <f>ABS(_xll.ciqfunctions.udf.CIQ($B$1,"IQ_INTEREST_EXP","IQ_FQ-3"))</f>
        <v>82.807000000000002</v>
      </c>
      <c r="D174" s="7">
        <f t="shared" si="6"/>
        <v>82.807000000000002</v>
      </c>
      <c r="E174" s="5" t="s">
        <v>30</v>
      </c>
    </row>
    <row r="175" spans="1:5" x14ac:dyDescent="0.4">
      <c r="A175" s="5" t="s">
        <v>29</v>
      </c>
      <c r="B175" s="5" t="s">
        <v>50</v>
      </c>
      <c r="C175" s="6">
        <f>ABS(_xll.ciqfunctions.udf.CIQ($B$1,"IQ_INTEREST_EXP","IQ_FQ-4"))</f>
        <v>76.962000000000003</v>
      </c>
      <c r="D175" s="7">
        <f t="shared" si="6"/>
        <v>76.962000000000003</v>
      </c>
      <c r="E175" s="5" t="s">
        <v>30</v>
      </c>
    </row>
    <row r="176" spans="1:5" x14ac:dyDescent="0.4">
      <c r="A176" s="5" t="s">
        <v>29</v>
      </c>
      <c r="B176" s="5" t="s">
        <v>51</v>
      </c>
      <c r="C176" s="6">
        <f>ABS(_xll.ciqfunctions.udf.CIQ($B$1,"IQ_INTEREST_EXP","IQ_FQ-5"))</f>
        <v>64.251000000000005</v>
      </c>
      <c r="D176" s="7">
        <f t="shared" si="6"/>
        <v>64.251000000000005</v>
      </c>
      <c r="E176" s="5" t="s">
        <v>30</v>
      </c>
    </row>
    <row r="177" spans="1:5" x14ac:dyDescent="0.4">
      <c r="A177" s="5" t="s">
        <v>29</v>
      </c>
      <c r="B177" s="5" t="s">
        <v>52</v>
      </c>
      <c r="C177" s="6">
        <f>ABS(_xll.ciqfunctions.udf.CIQ($B$1,"IQ_INTEREST_EXP","IQ_FQ-6"))</f>
        <v>69.575000000000003</v>
      </c>
      <c r="D177" s="7">
        <f t="shared" si="6"/>
        <v>69.575000000000003</v>
      </c>
      <c r="E177" s="5" t="s">
        <v>30</v>
      </c>
    </row>
    <row r="178" spans="1:5" x14ac:dyDescent="0.4">
      <c r="A178" s="5" t="s">
        <v>29</v>
      </c>
      <c r="B178" s="5" t="s">
        <v>53</v>
      </c>
      <c r="C178" s="6">
        <f>ABS(_xll.ciqfunctions.udf.CIQ($B$1,"IQ_INTEREST_EXP","IQ_FQ-7"))</f>
        <v>74.787000000000006</v>
      </c>
      <c r="D178" s="7">
        <f t="shared" si="6"/>
        <v>74.787000000000006</v>
      </c>
      <c r="E178" s="5" t="s">
        <v>30</v>
      </c>
    </row>
    <row r="179" spans="1:5" x14ac:dyDescent="0.4">
      <c r="A179" s="5" t="s">
        <v>31</v>
      </c>
      <c r="B179" s="5" t="s">
        <v>46</v>
      </c>
      <c r="C179" s="6">
        <f>ABS(_xll.ciqfunctions.udf.CIQ($B$1,"IQ_DA_CF","IQ_FQ-0"))</f>
        <v>328.233</v>
      </c>
      <c r="D179" s="7">
        <f t="shared" si="6"/>
        <v>328.233</v>
      </c>
      <c r="E179" s="5" t="s">
        <v>32</v>
      </c>
    </row>
    <row r="180" spans="1:5" x14ac:dyDescent="0.4">
      <c r="A180" s="5" t="s">
        <v>31</v>
      </c>
      <c r="B180" s="5" t="s">
        <v>47</v>
      </c>
      <c r="C180" s="6">
        <f>ABS(_xll.ciqfunctions.udf.CIQ($B$1,"IQ_DA_CF","IQ_FQ-1"))</f>
        <v>0</v>
      </c>
      <c r="D180" s="7">
        <f t="shared" si="6"/>
        <v>0</v>
      </c>
      <c r="E180" s="5" t="s">
        <v>32</v>
      </c>
    </row>
    <row r="181" spans="1:5" x14ac:dyDescent="0.4">
      <c r="A181" s="5" t="s">
        <v>31</v>
      </c>
      <c r="B181" s="5" t="s">
        <v>48</v>
      </c>
      <c r="C181" s="6">
        <f>ABS(_xll.ciqfunctions.udf.CIQ($B$1,"IQ_DA_CF","IQ_FQ-2"))</f>
        <v>0</v>
      </c>
      <c r="D181" s="7">
        <f t="shared" si="6"/>
        <v>0</v>
      </c>
      <c r="E181" s="5" t="s">
        <v>32</v>
      </c>
    </row>
    <row r="182" spans="1:5" x14ac:dyDescent="0.4">
      <c r="A182" s="5" t="s">
        <v>31</v>
      </c>
      <c r="B182" s="5" t="s">
        <v>49</v>
      </c>
      <c r="C182" s="6">
        <f>ABS(_xll.ciqfunctions.udf.CIQ($B$1,"IQ_DA_CF","IQ_FQ-3"))</f>
        <v>273.76799999999997</v>
      </c>
      <c r="D182" s="7">
        <f t="shared" si="6"/>
        <v>273.76799999999997</v>
      </c>
      <c r="E182" s="5" t="s">
        <v>32</v>
      </c>
    </row>
    <row r="183" spans="1:5" x14ac:dyDescent="0.4">
      <c r="A183" s="5" t="s">
        <v>31</v>
      </c>
      <c r="B183" s="5" t="s">
        <v>50</v>
      </c>
      <c r="C183" s="6">
        <f>ABS(_xll.ciqfunctions.udf.CIQ($B$1,"IQ_DA_CF","IQ_FQ-4"))</f>
        <v>313.64299999999997</v>
      </c>
      <c r="D183" s="7">
        <f t="shared" si="6"/>
        <v>313.64299999999997</v>
      </c>
      <c r="E183" s="5" t="s">
        <v>32</v>
      </c>
    </row>
    <row r="184" spans="1:5" x14ac:dyDescent="0.4">
      <c r="A184" s="5" t="s">
        <v>31</v>
      </c>
      <c r="B184" s="5" t="s">
        <v>51</v>
      </c>
      <c r="C184" s="6">
        <f>ABS(_xll.ciqfunctions.udf.CIQ($B$1,"IQ_DA_CF","IQ_FQ-5"))</f>
        <v>295.24599999999998</v>
      </c>
      <c r="D184" s="7">
        <f t="shared" si="6"/>
        <v>295.24599999999998</v>
      </c>
      <c r="E184" s="5" t="s">
        <v>32</v>
      </c>
    </row>
    <row r="185" spans="1:5" x14ac:dyDescent="0.4">
      <c r="A185" s="5" t="s">
        <v>31</v>
      </c>
      <c r="B185" s="5" t="s">
        <v>52</v>
      </c>
      <c r="C185" s="6">
        <f>ABS(_xll.ciqfunctions.udf.CIQ($B$1,"IQ_DA_CF","IQ_FQ-6"))</f>
        <v>286.149</v>
      </c>
      <c r="D185" s="7">
        <f t="shared" si="6"/>
        <v>286.149</v>
      </c>
      <c r="E185" s="5" t="s">
        <v>32</v>
      </c>
    </row>
    <row r="186" spans="1:5" x14ac:dyDescent="0.4">
      <c r="A186" s="5" t="s">
        <v>31</v>
      </c>
      <c r="B186" s="5" t="s">
        <v>53</v>
      </c>
      <c r="C186" s="6">
        <f>ABS(_xll.ciqfunctions.udf.CIQ($B$1,"IQ_DA_CF","IQ_FQ-7"))</f>
        <v>295.33600000000001</v>
      </c>
      <c r="D186" s="7">
        <f t="shared" si="6"/>
        <v>295.33600000000001</v>
      </c>
      <c r="E186" s="5" t="s">
        <v>32</v>
      </c>
    </row>
    <row r="187" spans="1:5" x14ac:dyDescent="0.4">
      <c r="A187" s="5" t="s">
        <v>33</v>
      </c>
      <c r="B187" s="5" t="s">
        <v>46</v>
      </c>
      <c r="C187" s="6">
        <f>_xll.ciqfunctions.udf.CIQ($B$1,"IQ_RD_EXP","IQ_FQ-0")</f>
        <v>637.72699999999998</v>
      </c>
      <c r="D187" s="7">
        <f t="shared" si="6"/>
        <v>637.72699999999998</v>
      </c>
      <c r="E187" s="5" t="s">
        <v>34</v>
      </c>
    </row>
    <row r="188" spans="1:5" x14ac:dyDescent="0.4">
      <c r="A188" s="5" t="s">
        <v>33</v>
      </c>
      <c r="B188" s="5" t="s">
        <v>47</v>
      </c>
      <c r="C188" s="6">
        <f>_xll.ciqfunctions.udf.CIQ($B$1,"IQ_RD_EXP","IQ_FQ-1")</f>
        <v>580.58500000000004</v>
      </c>
      <c r="D188" s="7">
        <f t="shared" si="6"/>
        <v>580.58500000000004</v>
      </c>
      <c r="E188" s="5" t="s">
        <v>34</v>
      </c>
    </row>
    <row r="189" spans="1:5" x14ac:dyDescent="0.4">
      <c r="A189" s="5" t="s">
        <v>33</v>
      </c>
      <c r="B189" s="5" t="s">
        <v>48</v>
      </c>
      <c r="C189" s="6">
        <f>_xll.ciqfunctions.udf.CIQ($B$1,"IQ_RD_EXP","IQ_FQ-2")</f>
        <v>524</v>
      </c>
      <c r="D189" s="7">
        <f t="shared" si="6"/>
        <v>524</v>
      </c>
      <c r="E189" s="5" t="s">
        <v>34</v>
      </c>
    </row>
    <row r="190" spans="1:5" x14ac:dyDescent="0.4">
      <c r="A190" s="5" t="s">
        <v>33</v>
      </c>
      <c r="B190" s="5" t="s">
        <v>49</v>
      </c>
      <c r="C190" s="6">
        <f>_xll.ciqfunctions.udf.CIQ($B$1,"IQ_RD_EXP","IQ_FQ-3")</f>
        <v>643.89200000000005</v>
      </c>
      <c r="D190" s="7">
        <f t="shared" si="6"/>
        <v>643.89200000000005</v>
      </c>
      <c r="E190" s="5" t="s">
        <v>34</v>
      </c>
    </row>
    <row r="191" spans="1:5" x14ac:dyDescent="0.4">
      <c r="A191" s="5" t="s">
        <v>33</v>
      </c>
      <c r="B191" s="5" t="s">
        <v>50</v>
      </c>
      <c r="C191" s="6">
        <f>_xll.ciqfunctions.udf.CIQ($B$1,"IQ_RD_EXP","IQ_FQ-4")</f>
        <v>620.78899999999999</v>
      </c>
      <c r="D191" s="7">
        <f t="shared" si="6"/>
        <v>620.78899999999999</v>
      </c>
      <c r="E191" s="5" t="s">
        <v>34</v>
      </c>
    </row>
    <row r="192" spans="1:5" x14ac:dyDescent="0.4">
      <c r="A192" s="5" t="s">
        <v>33</v>
      </c>
      <c r="B192" s="5" t="s">
        <v>51</v>
      </c>
      <c r="C192" s="6">
        <f>_xll.ciqfunctions.udf.CIQ($B$1,"IQ_RD_EXP","IQ_FQ-5")</f>
        <v>547.52800000000002</v>
      </c>
      <c r="D192" s="7">
        <f t="shared" si="6"/>
        <v>547.52800000000002</v>
      </c>
      <c r="E192" s="5" t="s">
        <v>34</v>
      </c>
    </row>
    <row r="193" spans="1:5" x14ac:dyDescent="0.4">
      <c r="A193" s="5" t="s">
        <v>33</v>
      </c>
      <c r="B193" s="5" t="s">
        <v>52</v>
      </c>
      <c r="C193" s="6">
        <f>_xll.ciqfunctions.udf.CIQ($B$1,"IQ_RD_EXP","IQ_FQ-6")</f>
        <v>475.995</v>
      </c>
      <c r="D193" s="7">
        <f t="shared" si="6"/>
        <v>475.995</v>
      </c>
      <c r="E193" s="5" t="s">
        <v>34</v>
      </c>
    </row>
    <row r="194" spans="1:5" x14ac:dyDescent="0.4">
      <c r="A194" s="5" t="s">
        <v>33</v>
      </c>
      <c r="B194" s="5" t="s">
        <v>53</v>
      </c>
      <c r="C194" s="6">
        <f>_xll.ciqfunctions.udf.CIQ($B$1,"IQ_RD_EXP","IQ_FQ-7")</f>
        <v>531.74</v>
      </c>
      <c r="D194" s="7">
        <f t="shared" si="6"/>
        <v>531.74</v>
      </c>
      <c r="E194" s="5" t="s">
        <v>34</v>
      </c>
    </row>
    <row r="195" spans="1:5" x14ac:dyDescent="0.4">
      <c r="A195" s="5" t="s">
        <v>35</v>
      </c>
      <c r="B195" s="5" t="s">
        <v>46</v>
      </c>
      <c r="C195" s="6">
        <f>_xll.ciqfunctions.udf.CIQ($B$1,"IQ_RD_EXP_FN","IQ_FQ-0")</f>
        <v>637.72699999999998</v>
      </c>
      <c r="D195" s="7">
        <f t="shared" si="6"/>
        <v>637.72699999999998</v>
      </c>
      <c r="E195" s="5" t="s">
        <v>36</v>
      </c>
    </row>
    <row r="196" spans="1:5" x14ac:dyDescent="0.4">
      <c r="A196" s="5" t="s">
        <v>35</v>
      </c>
      <c r="B196" s="5" t="s">
        <v>47</v>
      </c>
      <c r="C196" s="6">
        <f>_xll.ciqfunctions.udf.CIQ($B$1,"IQ_RD_EXP_FN","IQ_FQ-1")</f>
        <v>580.58500000000004</v>
      </c>
      <c r="D196" s="7">
        <f t="shared" si="6"/>
        <v>580.58500000000004</v>
      </c>
      <c r="E196" s="5" t="s">
        <v>36</v>
      </c>
    </row>
    <row r="197" spans="1:5" x14ac:dyDescent="0.4">
      <c r="A197" s="5" t="s">
        <v>35</v>
      </c>
      <c r="B197" s="5" t="s">
        <v>48</v>
      </c>
      <c r="C197" s="6">
        <f>_xll.ciqfunctions.udf.CIQ($B$1,"IQ_RD_EXP_FN","IQ_FQ-2")</f>
        <v>524</v>
      </c>
      <c r="D197" s="7">
        <f t="shared" si="6"/>
        <v>524</v>
      </c>
      <c r="E197" s="5" t="s">
        <v>36</v>
      </c>
    </row>
    <row r="198" spans="1:5" x14ac:dyDescent="0.4">
      <c r="A198" s="5" t="s">
        <v>35</v>
      </c>
      <c r="B198" s="5" t="s">
        <v>49</v>
      </c>
      <c r="C198" s="6">
        <f>_xll.ciqfunctions.udf.CIQ($B$1,"IQ_RD_EXP_FN","IQ_FQ-3")</f>
        <v>643.89200000000005</v>
      </c>
      <c r="D198" s="7">
        <f t="shared" si="6"/>
        <v>643.89200000000005</v>
      </c>
      <c r="E198" s="5" t="s">
        <v>36</v>
      </c>
    </row>
    <row r="199" spans="1:5" x14ac:dyDescent="0.4">
      <c r="A199" s="5" t="s">
        <v>35</v>
      </c>
      <c r="B199" s="5" t="s">
        <v>50</v>
      </c>
      <c r="C199" s="6">
        <f>_xll.ciqfunctions.udf.CIQ($B$1,"IQ_RD_EXP_FN","IQ_FQ-4")</f>
        <v>620.78899999999999</v>
      </c>
      <c r="D199" s="7">
        <f t="shared" si="6"/>
        <v>620.78899999999999</v>
      </c>
      <c r="E199" s="5" t="s">
        <v>36</v>
      </c>
    </row>
    <row r="200" spans="1:5" x14ac:dyDescent="0.4">
      <c r="A200" s="5" t="s">
        <v>35</v>
      </c>
      <c r="B200" s="5" t="s">
        <v>51</v>
      </c>
      <c r="C200" s="6">
        <f>_xll.ciqfunctions.udf.CIQ($B$1,"IQ_RD_EXP_FN","IQ_FQ-5")</f>
        <v>547.52800000000002</v>
      </c>
      <c r="D200" s="7">
        <f t="shared" si="6"/>
        <v>547.52800000000002</v>
      </c>
      <c r="E200" s="5" t="s">
        <v>36</v>
      </c>
    </row>
    <row r="201" spans="1:5" x14ac:dyDescent="0.4">
      <c r="A201" s="5" t="s">
        <v>35</v>
      </c>
      <c r="B201" s="5" t="s">
        <v>52</v>
      </c>
      <c r="C201" s="6">
        <f>_xll.ciqfunctions.udf.CIQ($B$1,"IQ_RD_EXP_FN","IQ_FQ-6")</f>
        <v>475.995</v>
      </c>
      <c r="D201" s="7">
        <f t="shared" si="6"/>
        <v>475.995</v>
      </c>
      <c r="E201" s="5" t="s">
        <v>36</v>
      </c>
    </row>
    <row r="202" spans="1:5" x14ac:dyDescent="0.4">
      <c r="A202" s="5" t="s">
        <v>35</v>
      </c>
      <c r="B202" s="5" t="s">
        <v>53</v>
      </c>
      <c r="C202" s="6">
        <f>_xll.ciqfunctions.udf.CIQ($B$1,"IQ_RD_EXP_FN","IQ_FQ-7")</f>
        <v>531.74</v>
      </c>
      <c r="D202" s="7">
        <f t="shared" si="6"/>
        <v>531.74</v>
      </c>
      <c r="E202" s="5" t="s">
        <v>36</v>
      </c>
    </row>
    <row r="203" spans="1:5" x14ac:dyDescent="0.4">
      <c r="A203" s="5" t="s">
        <v>37</v>
      </c>
      <c r="B203" s="5" t="s">
        <v>46</v>
      </c>
      <c r="C203" s="6">
        <f>ABS(_xll.ciqfunctions.udf.CIQ($B$1,"IQ_CAPEX","IQ_FQ-0"))</f>
        <v>404.82499999999999</v>
      </c>
      <c r="D203" s="7">
        <f t="shared" ref="D203:D234" si="7">C203</f>
        <v>404.82499999999999</v>
      </c>
      <c r="E203" s="5" t="s">
        <v>38</v>
      </c>
    </row>
    <row r="204" spans="1:5" x14ac:dyDescent="0.4">
      <c r="A204" s="5" t="s">
        <v>37</v>
      </c>
      <c r="B204" s="5" t="s">
        <v>47</v>
      </c>
      <c r="C204" s="6">
        <f>ABS(_xll.ciqfunctions.udf.CIQ($B$1,"IQ_CAPEX","IQ_FQ-1"))</f>
        <v>0</v>
      </c>
      <c r="D204" s="7">
        <f t="shared" si="7"/>
        <v>0</v>
      </c>
      <c r="E204" s="5" t="s">
        <v>38</v>
      </c>
    </row>
    <row r="205" spans="1:5" x14ac:dyDescent="0.4">
      <c r="A205" s="5" t="s">
        <v>37</v>
      </c>
      <c r="B205" s="5" t="s">
        <v>48</v>
      </c>
      <c r="C205" s="6">
        <f>ABS(_xll.ciqfunctions.udf.CIQ($B$1,"IQ_CAPEX","IQ_FQ-2"))</f>
        <v>0</v>
      </c>
      <c r="D205" s="7">
        <f t="shared" si="7"/>
        <v>0</v>
      </c>
      <c r="E205" s="5" t="s">
        <v>38</v>
      </c>
    </row>
    <row r="206" spans="1:5" x14ac:dyDescent="0.4">
      <c r="A206" s="5" t="s">
        <v>37</v>
      </c>
      <c r="B206" s="5" t="s">
        <v>49</v>
      </c>
      <c r="C206" s="6">
        <f>ABS(_xll.ciqfunctions.udf.CIQ($B$1,"IQ_CAPEX","IQ_FQ-3"))</f>
        <v>185.381</v>
      </c>
      <c r="D206" s="7">
        <f t="shared" si="7"/>
        <v>185.381</v>
      </c>
      <c r="E206" s="5" t="s">
        <v>38</v>
      </c>
    </row>
    <row r="207" spans="1:5" x14ac:dyDescent="0.4">
      <c r="A207" s="5" t="s">
        <v>37</v>
      </c>
      <c r="B207" s="5" t="s">
        <v>50</v>
      </c>
      <c r="C207" s="6">
        <f>ABS(_xll.ciqfunctions.udf.CIQ($B$1,"IQ_CAPEX","IQ_FQ-4"))</f>
        <v>174.33</v>
      </c>
      <c r="D207" s="7">
        <f t="shared" si="7"/>
        <v>174.33</v>
      </c>
      <c r="E207" s="5" t="s">
        <v>38</v>
      </c>
    </row>
    <row r="208" spans="1:5" x14ac:dyDescent="0.4">
      <c r="A208" s="5" t="s">
        <v>37</v>
      </c>
      <c r="B208" s="5" t="s">
        <v>51</v>
      </c>
      <c r="C208" s="6">
        <f>ABS(_xll.ciqfunctions.udf.CIQ($B$1,"IQ_CAPEX","IQ_FQ-5"))</f>
        <v>152.23400000000001</v>
      </c>
      <c r="D208" s="7">
        <f t="shared" si="7"/>
        <v>152.23400000000001</v>
      </c>
      <c r="E208" s="5" t="s">
        <v>38</v>
      </c>
    </row>
    <row r="209" spans="1:5" x14ac:dyDescent="0.4">
      <c r="A209" s="5" t="s">
        <v>37</v>
      </c>
      <c r="B209" s="5" t="s">
        <v>52</v>
      </c>
      <c r="C209" s="6">
        <f>ABS(_xll.ciqfunctions.udf.CIQ($B$1,"IQ_CAPEX","IQ_FQ-6"))</f>
        <v>154.53299999999999</v>
      </c>
      <c r="D209" s="7">
        <f t="shared" si="7"/>
        <v>154.53299999999999</v>
      </c>
      <c r="E209" s="5" t="s">
        <v>38</v>
      </c>
    </row>
    <row r="210" spans="1:5" x14ac:dyDescent="0.4">
      <c r="A210" s="5" t="s">
        <v>37</v>
      </c>
      <c r="B210" s="5" t="s">
        <v>53</v>
      </c>
      <c r="C210" s="6">
        <f>ABS(_xll.ciqfunctions.udf.CIQ($B$1,"IQ_CAPEX","IQ_FQ-7"))</f>
        <v>204.423</v>
      </c>
      <c r="D210" s="7">
        <f t="shared" si="7"/>
        <v>204.423</v>
      </c>
      <c r="E210" s="5" t="s">
        <v>38</v>
      </c>
    </row>
    <row r="211" spans="1:5" x14ac:dyDescent="0.4">
      <c r="A211" s="5" t="s">
        <v>39</v>
      </c>
      <c r="B211" s="5" t="s">
        <v>46</v>
      </c>
      <c r="C211" s="6">
        <f>ABS(_xll.ciqfunctions.udf.CIQ($B$1,"IQ_OPERATING_LEASE_PAYMENTS","IQ_FQ-0"))</f>
        <v>26.53</v>
      </c>
      <c r="D211" s="7">
        <f t="shared" si="7"/>
        <v>26.53</v>
      </c>
      <c r="E211" s="5" t="s">
        <v>40</v>
      </c>
    </row>
    <row r="212" spans="1:5" x14ac:dyDescent="0.4">
      <c r="A212" s="5" t="s">
        <v>39</v>
      </c>
      <c r="B212" s="5" t="s">
        <v>47</v>
      </c>
      <c r="C212" s="6">
        <f>ABS(_xll.ciqfunctions.udf.CIQ($B$1,"IQ_OPERATING_LEASE_PAYMENTS","IQ_FQ-1"))</f>
        <v>0</v>
      </c>
      <c r="D212" s="7">
        <f t="shared" si="7"/>
        <v>0</v>
      </c>
      <c r="E212" s="5" t="s">
        <v>40</v>
      </c>
    </row>
    <row r="213" spans="1:5" x14ac:dyDescent="0.4">
      <c r="A213" s="5" t="s">
        <v>39</v>
      </c>
      <c r="B213" s="5" t="s">
        <v>48</v>
      </c>
      <c r="C213" s="6">
        <f>ABS(_xll.ciqfunctions.udf.CIQ($B$1,"IQ_OPERATING_LEASE_PAYMENTS","IQ_FQ-2"))</f>
        <v>0</v>
      </c>
      <c r="D213" s="7">
        <f t="shared" si="7"/>
        <v>0</v>
      </c>
      <c r="E213" s="5" t="s">
        <v>40</v>
      </c>
    </row>
    <row r="214" spans="1:5" x14ac:dyDescent="0.4">
      <c r="A214" s="5" t="s">
        <v>39</v>
      </c>
      <c r="B214" s="5" t="s">
        <v>49</v>
      </c>
      <c r="C214" s="6">
        <f>ABS(_xll.ciqfunctions.udf.CIQ($B$1,"IQ_OPERATING_LEASE_PAYMENTS","IQ_FQ-3"))</f>
        <v>29.135000000000002</v>
      </c>
      <c r="D214" s="7">
        <f t="shared" si="7"/>
        <v>29.135000000000002</v>
      </c>
      <c r="E214" s="5" t="s">
        <v>40</v>
      </c>
    </row>
    <row r="215" spans="1:5" x14ac:dyDescent="0.4">
      <c r="A215" s="5" t="s">
        <v>39</v>
      </c>
      <c r="B215" s="5" t="s">
        <v>50</v>
      </c>
      <c r="C215" s="6">
        <f>ABS(_xll.ciqfunctions.udf.CIQ($B$1,"IQ_OPERATING_LEASE_PAYMENTS","IQ_FQ-4"))</f>
        <v>29.678000000000001</v>
      </c>
      <c r="D215" s="7">
        <f t="shared" si="7"/>
        <v>29.678000000000001</v>
      </c>
      <c r="E215" s="5" t="s">
        <v>40</v>
      </c>
    </row>
    <row r="216" spans="1:5" x14ac:dyDescent="0.4">
      <c r="A216" s="5" t="s">
        <v>39</v>
      </c>
      <c r="B216" s="5" t="s">
        <v>51</v>
      </c>
      <c r="C216" s="6">
        <f>ABS(_xll.ciqfunctions.udf.CIQ($B$1,"IQ_OPERATING_LEASE_PAYMENTS","IQ_FQ-5"))</f>
        <v>27.587</v>
      </c>
      <c r="D216" s="7">
        <f t="shared" si="7"/>
        <v>27.587</v>
      </c>
      <c r="E216" s="5" t="s">
        <v>40</v>
      </c>
    </row>
    <row r="217" spans="1:5" x14ac:dyDescent="0.4">
      <c r="A217" s="5" t="s">
        <v>39</v>
      </c>
      <c r="B217" s="5" t="s">
        <v>52</v>
      </c>
      <c r="C217" s="6">
        <f>ABS(_xll.ciqfunctions.udf.CIQ($B$1,"IQ_OPERATING_LEASE_PAYMENTS","IQ_FQ-6"))</f>
        <v>34.670999999999999</v>
      </c>
      <c r="D217" s="7">
        <f t="shared" si="7"/>
        <v>34.670999999999999</v>
      </c>
      <c r="E217" s="5" t="s">
        <v>40</v>
      </c>
    </row>
    <row r="218" spans="1:5" x14ac:dyDescent="0.4">
      <c r="A218" s="5" t="s">
        <v>39</v>
      </c>
      <c r="B218" s="5" t="s">
        <v>53</v>
      </c>
      <c r="C218" s="6">
        <f>ABS(_xll.ciqfunctions.udf.CIQ($B$1,"IQ_OPERATING_LEASE_PAYMENTS","IQ_FQ-7"))</f>
        <v>39.238999999999997</v>
      </c>
      <c r="D218" s="7">
        <f t="shared" si="7"/>
        <v>39.238999999999997</v>
      </c>
      <c r="E218" s="5" t="s">
        <v>40</v>
      </c>
    </row>
    <row r="219" spans="1:5" x14ac:dyDescent="0.4">
      <c r="A219" s="5" t="s">
        <v>41</v>
      </c>
      <c r="B219" s="5" t="s">
        <v>46</v>
      </c>
      <c r="C219" s="6">
        <f>_xll.ciqfunctions.udf.CIQ($B$1,"IQ_EBT_EXCL","IQ_FQ-0")</f>
        <v>818.18499999999995</v>
      </c>
      <c r="D219" s="7">
        <f t="shared" si="7"/>
        <v>818.18499999999995</v>
      </c>
      <c r="E219" s="5" t="s">
        <v>42</v>
      </c>
    </row>
    <row r="220" spans="1:5" x14ac:dyDescent="0.4">
      <c r="A220" s="5" t="s">
        <v>41</v>
      </c>
      <c r="B220" s="5" t="s">
        <v>47</v>
      </c>
      <c r="C220" s="6">
        <f>_xll.ciqfunctions.udf.CIQ($B$1,"IQ_EBT_EXCL","IQ_FQ-1")</f>
        <v>494.28500000000003</v>
      </c>
      <c r="D220" s="7">
        <f t="shared" si="7"/>
        <v>494.28500000000003</v>
      </c>
      <c r="E220" s="5" t="s">
        <v>42</v>
      </c>
    </row>
    <row r="221" spans="1:5" x14ac:dyDescent="0.4">
      <c r="A221" s="5" t="s">
        <v>41</v>
      </c>
      <c r="B221" s="5" t="s">
        <v>48</v>
      </c>
      <c r="C221" s="6">
        <f>_xll.ciqfunctions.udf.CIQ($B$1,"IQ_EBT_EXCL","IQ_FQ-2")</f>
        <v>622</v>
      </c>
      <c r="D221" s="7">
        <f t="shared" si="7"/>
        <v>622</v>
      </c>
      <c r="E221" s="5" t="s">
        <v>42</v>
      </c>
    </row>
    <row r="222" spans="1:5" x14ac:dyDescent="0.4">
      <c r="A222" s="5" t="s">
        <v>41</v>
      </c>
      <c r="B222" s="5" t="s">
        <v>49</v>
      </c>
      <c r="C222" s="6">
        <f>_xll.ciqfunctions.udf.CIQ($B$1,"IQ_EBT_EXCL","IQ_FQ-3")</f>
        <v>181.29400000000001</v>
      </c>
      <c r="D222" s="7">
        <f t="shared" si="7"/>
        <v>181.29400000000001</v>
      </c>
      <c r="E222" s="5" t="s">
        <v>42</v>
      </c>
    </row>
    <row r="223" spans="1:5" x14ac:dyDescent="0.4">
      <c r="A223" s="5" t="s">
        <v>41</v>
      </c>
      <c r="B223" s="5" t="s">
        <v>50</v>
      </c>
      <c r="C223" s="6">
        <f>_xll.ciqfunctions.udf.CIQ($B$1,"IQ_EBT_EXCL","IQ_FQ-4")</f>
        <v>516.99099999999999</v>
      </c>
      <c r="D223" s="7">
        <f t="shared" si="7"/>
        <v>516.99099999999999</v>
      </c>
      <c r="E223" s="5" t="s">
        <v>42</v>
      </c>
    </row>
    <row r="224" spans="1:5" x14ac:dyDescent="0.4">
      <c r="A224" s="5" t="s">
        <v>41</v>
      </c>
      <c r="B224" s="5" t="s">
        <v>51</v>
      </c>
      <c r="C224" s="6">
        <f>_xll.ciqfunctions.udf.CIQ($B$1,"IQ_EBT_EXCL","IQ_FQ-5")</f>
        <v>473.18599999999998</v>
      </c>
      <c r="D224" s="7">
        <f t="shared" si="7"/>
        <v>473.18599999999998</v>
      </c>
      <c r="E224" s="5" t="s">
        <v>42</v>
      </c>
    </row>
    <row r="225" spans="1:5" x14ac:dyDescent="0.4">
      <c r="A225" s="5" t="s">
        <v>41</v>
      </c>
      <c r="B225" s="5" t="s">
        <v>52</v>
      </c>
      <c r="C225" s="6">
        <f>_xll.ciqfunctions.udf.CIQ($B$1,"IQ_EBT_EXCL","IQ_FQ-6")</f>
        <v>312.995</v>
      </c>
      <c r="D225" s="7">
        <f t="shared" si="7"/>
        <v>312.995</v>
      </c>
      <c r="E225" s="5" t="s">
        <v>42</v>
      </c>
    </row>
    <row r="226" spans="1:5" x14ac:dyDescent="0.4">
      <c r="A226" s="5" t="s">
        <v>41</v>
      </c>
      <c r="B226" s="5" t="s">
        <v>53</v>
      </c>
      <c r="C226" s="6">
        <f>_xll.ciqfunctions.udf.CIQ($B$1,"IQ_EBT_EXCL","IQ_FQ-7")</f>
        <v>312.14400000000001</v>
      </c>
      <c r="D226" s="7">
        <f t="shared" si="7"/>
        <v>312.14400000000001</v>
      </c>
      <c r="E226" s="5" t="s">
        <v>42</v>
      </c>
    </row>
    <row r="227" spans="1:5" x14ac:dyDescent="0.4">
      <c r="A227" s="5" t="s">
        <v>43</v>
      </c>
      <c r="B227" s="5" t="s">
        <v>46</v>
      </c>
      <c r="C227" s="6">
        <f>_xll.ciqfunctions.udf.CIQ($B$1,"IQ_INC_TAX","IQ_FQ-0")</f>
        <v>170.215</v>
      </c>
      <c r="D227" s="7">
        <f t="shared" si="7"/>
        <v>170.215</v>
      </c>
      <c r="E227" s="5" t="s">
        <v>44</v>
      </c>
    </row>
    <row r="228" spans="1:5" x14ac:dyDescent="0.4">
      <c r="A228" s="5" t="s">
        <v>43</v>
      </c>
      <c r="B228" s="5" t="s">
        <v>47</v>
      </c>
      <c r="C228" s="6">
        <f>_xll.ciqfunctions.udf.CIQ($B$1,"IQ_INC_TAX","IQ_FQ-1")</f>
        <v>113.99299999999999</v>
      </c>
      <c r="D228" s="7">
        <f t="shared" si="7"/>
        <v>113.99299999999999</v>
      </c>
      <c r="E228" s="5" t="s">
        <v>44</v>
      </c>
    </row>
    <row r="229" spans="1:5" x14ac:dyDescent="0.4">
      <c r="A229" s="5" t="s">
        <v>43</v>
      </c>
      <c r="B229" s="5" t="s">
        <v>48</v>
      </c>
      <c r="C229" s="6">
        <f>_xll.ciqfunctions.udf.CIQ($B$1,"IQ_INC_TAX","IQ_FQ-2")</f>
        <v>84</v>
      </c>
      <c r="D229" s="7">
        <f t="shared" si="7"/>
        <v>84</v>
      </c>
      <c r="E229" s="5" t="s">
        <v>44</v>
      </c>
    </row>
    <row r="230" spans="1:5" x14ac:dyDescent="0.4">
      <c r="A230" s="5" t="s">
        <v>43</v>
      </c>
      <c r="B230" s="5" t="s">
        <v>49</v>
      </c>
      <c r="C230" s="6">
        <f>_xll.ciqfunctions.udf.CIQ($B$1,"IQ_INC_TAX","IQ_FQ-3")</f>
        <v>53.28</v>
      </c>
      <c r="D230" s="7">
        <f t="shared" si="7"/>
        <v>53.28</v>
      </c>
      <c r="E230" s="5" t="s">
        <v>44</v>
      </c>
    </row>
    <row r="231" spans="1:5" x14ac:dyDescent="0.4">
      <c r="A231" s="5" t="s">
        <v>43</v>
      </c>
      <c r="B231" s="5" t="s">
        <v>50</v>
      </c>
      <c r="C231" s="6">
        <f>_xll.ciqfunctions.udf.CIQ($B$1,"IQ_INC_TAX","IQ_FQ-4")</f>
        <v>-183.77199999999999</v>
      </c>
      <c r="D231" s="7">
        <f t="shared" si="7"/>
        <v>-183.77199999999999</v>
      </c>
      <c r="E231" s="5" t="s">
        <v>44</v>
      </c>
    </row>
    <row r="232" spans="1:5" x14ac:dyDescent="0.4">
      <c r="A232" s="5" t="s">
        <v>43</v>
      </c>
      <c r="B232" s="5" t="s">
        <v>51</v>
      </c>
      <c r="C232" s="6">
        <f>_xll.ciqfunctions.udf.CIQ($B$1,"IQ_INC_TAX","IQ_FQ-5")</f>
        <v>89.91</v>
      </c>
      <c r="D232" s="7">
        <f t="shared" si="7"/>
        <v>89.91</v>
      </c>
      <c r="E232" s="5" t="s">
        <v>44</v>
      </c>
    </row>
    <row r="233" spans="1:5" x14ac:dyDescent="0.4">
      <c r="A233" s="5" t="s">
        <v>43</v>
      </c>
      <c r="B233" s="5" t="s">
        <v>52</v>
      </c>
      <c r="C233" s="6">
        <f>_xll.ciqfunctions.udf.CIQ($B$1,"IQ_INC_TAX","IQ_FQ-6")</f>
        <v>59.5</v>
      </c>
      <c r="D233" s="7">
        <f t="shared" si="7"/>
        <v>59.5</v>
      </c>
      <c r="E233" s="5" t="s">
        <v>44</v>
      </c>
    </row>
    <row r="234" spans="1:5" x14ac:dyDescent="0.4">
      <c r="A234" s="5" t="s">
        <v>43</v>
      </c>
      <c r="B234" s="5" t="s">
        <v>53</v>
      </c>
      <c r="C234" s="6">
        <f>_xll.ciqfunctions.udf.CIQ($B$1,"IQ_INC_TAX","IQ_FQ-7")</f>
        <v>55.633000000000003</v>
      </c>
      <c r="D234" s="7">
        <f t="shared" si="7"/>
        <v>55.633000000000003</v>
      </c>
      <c r="E234" s="5" t="s">
        <v>44</v>
      </c>
    </row>
    <row r="235" spans="1:5" x14ac:dyDescent="0.4">
      <c r="A235" s="8" t="s">
        <v>54</v>
      </c>
      <c r="B235" s="9"/>
      <c r="C235" s="9"/>
      <c r="D235" s="9"/>
      <c r="E235" s="9"/>
    </row>
    <row r="236" spans="1:5" x14ac:dyDescent="0.4">
      <c r="A236" s="5" t="s">
        <v>55</v>
      </c>
      <c r="B236" s="5" t="s">
        <v>11</v>
      </c>
      <c r="C236" s="6">
        <f>_xll.ciqfunctions.udf.CIQ($B$1,"IQ_CASH_EQUIV","IQ_FY-0")</f>
        <v>4728.1239999999998</v>
      </c>
      <c r="D236" s="7">
        <f t="shared" ref="D236:D267" si="8">C236</f>
        <v>4728.1239999999998</v>
      </c>
      <c r="E236" s="5" t="s">
        <v>56</v>
      </c>
    </row>
    <row r="237" spans="1:5" x14ac:dyDescent="0.4">
      <c r="A237" s="5" t="s">
        <v>55</v>
      </c>
      <c r="B237" s="5" t="s">
        <v>13</v>
      </c>
      <c r="C237" s="6">
        <f>_xll.ciqfunctions.udf.CIQ($B$1,"IQ_CASH_EQUIV","IQ_FY-1")</f>
        <v>3559.8310000000001</v>
      </c>
      <c r="D237" s="7">
        <f t="shared" si="8"/>
        <v>3559.8310000000001</v>
      </c>
      <c r="E237" s="5" t="s">
        <v>56</v>
      </c>
    </row>
    <row r="238" spans="1:5" x14ac:dyDescent="0.4">
      <c r="A238" s="5" t="s">
        <v>55</v>
      </c>
      <c r="B238" s="5" t="s">
        <v>14</v>
      </c>
      <c r="C238" s="6">
        <f>_xll.ciqfunctions.udf.CIQ($B$1,"IQ_CASH_EQUIV","IQ_FY-2")</f>
        <v>4250.085</v>
      </c>
      <c r="D238" s="7">
        <f t="shared" si="8"/>
        <v>4250.085</v>
      </c>
      <c r="E238" s="5" t="s">
        <v>56</v>
      </c>
    </row>
    <row r="239" spans="1:5" x14ac:dyDescent="0.4">
      <c r="A239" s="5" t="s">
        <v>55</v>
      </c>
      <c r="B239" s="5" t="s">
        <v>15</v>
      </c>
      <c r="C239" s="6">
        <f>_xll.ciqfunctions.udf.CIQ($B$1,"IQ_CASH_EQUIV","IQ_FY-3")</f>
        <v>3930.2869999999998</v>
      </c>
      <c r="D239" s="7">
        <f t="shared" si="8"/>
        <v>3930.2869999999998</v>
      </c>
      <c r="E239" s="5" t="s">
        <v>56</v>
      </c>
    </row>
    <row r="240" spans="1:5" x14ac:dyDescent="0.4">
      <c r="A240" s="5" t="s">
        <v>55</v>
      </c>
      <c r="B240" s="5" t="s">
        <v>16</v>
      </c>
      <c r="C240" s="6">
        <f>_xll.ciqfunctions.udf.CIQ($B$1,"IQ_CASH_EQUIV","IQ_FY-4")</f>
        <v>3068.3850000000002</v>
      </c>
      <c r="D240" s="7">
        <f t="shared" si="8"/>
        <v>3068.3850000000002</v>
      </c>
      <c r="E240" s="5" t="s">
        <v>56</v>
      </c>
    </row>
    <row r="241" spans="1:5" x14ac:dyDescent="0.4">
      <c r="A241" s="5" t="s">
        <v>55</v>
      </c>
      <c r="B241" s="5" t="s">
        <v>17</v>
      </c>
      <c r="C241" s="6">
        <f>_xll.ciqfunctions.udf.CIQ($B$1,"IQ_CASH_EQUIV","IQ_FY-5")</f>
        <v>3550.99</v>
      </c>
      <c r="D241" s="7">
        <f t="shared" si="8"/>
        <v>3550.99</v>
      </c>
      <c r="E241" s="5" t="s">
        <v>56</v>
      </c>
    </row>
    <row r="242" spans="1:5" x14ac:dyDescent="0.4">
      <c r="A242" s="5" t="s">
        <v>55</v>
      </c>
      <c r="B242" s="5" t="s">
        <v>18</v>
      </c>
      <c r="C242" s="6">
        <f>_xll.ciqfunctions.udf.CIQ($B$1,"IQ_CASH_EQUIV","IQ_FY-6")</f>
        <v>2662.8539999999998</v>
      </c>
      <c r="D242" s="7">
        <f t="shared" si="8"/>
        <v>2662.8539999999998</v>
      </c>
      <c r="E242" s="5" t="s">
        <v>56</v>
      </c>
    </row>
    <row r="243" spans="1:5" x14ac:dyDescent="0.4">
      <c r="A243" s="5" t="s">
        <v>55</v>
      </c>
      <c r="B243" s="5" t="s">
        <v>19</v>
      </c>
      <c r="C243" s="6">
        <f>_xll.ciqfunctions.udf.CIQ($B$1,"IQ_CASH_EQUIV","IQ_FY-7")</f>
        <v>1848.0170000000001</v>
      </c>
      <c r="D243" s="7">
        <f t="shared" si="8"/>
        <v>1848.0170000000001</v>
      </c>
      <c r="E243" s="5" t="s">
        <v>56</v>
      </c>
    </row>
    <row r="244" spans="1:5" x14ac:dyDescent="0.4">
      <c r="A244" s="5" t="s">
        <v>55</v>
      </c>
      <c r="B244" s="5" t="s">
        <v>20</v>
      </c>
      <c r="C244" s="6">
        <f>_xll.ciqfunctions.udf.CIQ($B$1,"IQ_CASH_EQUIV","IQ_FY-8")</f>
        <v>2754.5990000000002</v>
      </c>
      <c r="D244" s="7">
        <f t="shared" si="8"/>
        <v>2754.5990000000002</v>
      </c>
      <c r="E244" s="5" t="s">
        <v>56</v>
      </c>
    </row>
    <row r="245" spans="1:5" x14ac:dyDescent="0.4">
      <c r="A245" s="5" t="s">
        <v>55</v>
      </c>
      <c r="B245" s="5" t="s">
        <v>21</v>
      </c>
      <c r="C245" s="6">
        <f>_xll.ciqfunctions.udf.CIQ($B$1,"IQ_CASH_EQUIV","IQ_FY-9")</f>
        <v>1926.88</v>
      </c>
      <c r="D245" s="7">
        <f t="shared" si="8"/>
        <v>1926.88</v>
      </c>
      <c r="E245" s="5" t="s">
        <v>56</v>
      </c>
    </row>
    <row r="246" spans="1:5" x14ac:dyDescent="0.4">
      <c r="A246" s="5" t="s">
        <v>55</v>
      </c>
      <c r="B246" s="5" t="s">
        <v>22</v>
      </c>
      <c r="C246" s="6">
        <f>_xll.ciqfunctions.udf.CIQ($B$1,"IQ_CASH_EQUIV","IQ_FY-10")</f>
        <v>2855.223</v>
      </c>
      <c r="D246" s="7">
        <f t="shared" si="8"/>
        <v>2855.223</v>
      </c>
      <c r="E246" s="5" t="s">
        <v>56</v>
      </c>
    </row>
    <row r="247" spans="1:5" x14ac:dyDescent="0.4">
      <c r="A247" s="5" t="s">
        <v>57</v>
      </c>
      <c r="B247" s="5" t="s">
        <v>11</v>
      </c>
      <c r="C247" s="6">
        <f>_xll.ciqfunctions.udf.CIQ($B$1,"IQ_TOTAL_EQUITY","IQ_FY-0")</f>
        <v>6659.9170000000004</v>
      </c>
      <c r="D247" s="7">
        <f t="shared" si="8"/>
        <v>6659.9170000000004</v>
      </c>
      <c r="E247" s="5" t="s">
        <v>58</v>
      </c>
    </row>
    <row r="248" spans="1:5" x14ac:dyDescent="0.4">
      <c r="A248" s="5" t="s">
        <v>57</v>
      </c>
      <c r="B248" s="5" t="s">
        <v>13</v>
      </c>
      <c r="C248" s="6">
        <f>_xll.ciqfunctions.udf.CIQ($B$1,"IQ_TOTAL_EQUITY","IQ_FY-1")</f>
        <v>6081.1869999999999</v>
      </c>
      <c r="D248" s="7">
        <f t="shared" si="8"/>
        <v>6081.1869999999999</v>
      </c>
      <c r="E248" s="5" t="s">
        <v>58</v>
      </c>
    </row>
    <row r="249" spans="1:5" x14ac:dyDescent="0.4">
      <c r="A249" s="5" t="s">
        <v>57</v>
      </c>
      <c r="B249" s="5" t="s">
        <v>14</v>
      </c>
      <c r="C249" s="6">
        <f>_xll.ciqfunctions.udf.CIQ($B$1,"IQ_TOTAL_EQUITY","IQ_FY-2")</f>
        <v>6047.0209999999997</v>
      </c>
      <c r="D249" s="7">
        <f t="shared" si="8"/>
        <v>6047.0209999999997</v>
      </c>
      <c r="E249" s="5" t="s">
        <v>58</v>
      </c>
    </row>
    <row r="250" spans="1:5" x14ac:dyDescent="0.4">
      <c r="A250" s="5" t="s">
        <v>57</v>
      </c>
      <c r="B250" s="5" t="s">
        <v>15</v>
      </c>
      <c r="C250" s="6">
        <f>_xll.ciqfunctions.udf.CIQ($B$1,"IQ_TOTAL_EQUITY","IQ_FY-3")</f>
        <v>5394.701</v>
      </c>
      <c r="D250" s="7">
        <f t="shared" si="8"/>
        <v>5394.701</v>
      </c>
      <c r="E250" s="5" t="s">
        <v>58</v>
      </c>
    </row>
    <row r="251" spans="1:5" x14ac:dyDescent="0.4">
      <c r="A251" s="5" t="s">
        <v>57</v>
      </c>
      <c r="B251" s="5" t="s">
        <v>16</v>
      </c>
      <c r="C251" s="6">
        <f>_xll.ciqfunctions.udf.CIQ($B$1,"IQ_TOTAL_EQUITY","IQ_FY-4")</f>
        <v>3610.5329999999999</v>
      </c>
      <c r="D251" s="7">
        <f t="shared" si="8"/>
        <v>3610.5329999999999</v>
      </c>
      <c r="E251" s="5" t="s">
        <v>58</v>
      </c>
    </row>
    <row r="252" spans="1:5" x14ac:dyDescent="0.4">
      <c r="A252" s="5" t="s">
        <v>57</v>
      </c>
      <c r="B252" s="5" t="s">
        <v>17</v>
      </c>
      <c r="C252" s="6">
        <f>_xll.ciqfunctions.udf.CIQ($B$1,"IQ_TOTAL_EQUITY","IQ_FY-5")</f>
        <v>4059.2950000000001</v>
      </c>
      <c r="D252" s="7">
        <f t="shared" si="8"/>
        <v>4059.2950000000001</v>
      </c>
      <c r="E252" s="5" t="s">
        <v>58</v>
      </c>
    </row>
    <row r="253" spans="1:5" x14ac:dyDescent="0.4">
      <c r="A253" s="5" t="s">
        <v>57</v>
      </c>
      <c r="B253" s="5" t="s">
        <v>18</v>
      </c>
      <c r="C253" s="6">
        <f>_xll.ciqfunctions.udf.CIQ($B$1,"IQ_TOTAL_EQUITY","IQ_FY-6")</f>
        <v>4097.0630000000001</v>
      </c>
      <c r="D253" s="7">
        <f t="shared" si="8"/>
        <v>4097.0630000000001</v>
      </c>
      <c r="E253" s="5" t="s">
        <v>58</v>
      </c>
    </row>
    <row r="254" spans="1:5" x14ac:dyDescent="0.4">
      <c r="A254" s="5" t="s">
        <v>57</v>
      </c>
      <c r="B254" s="5" t="s">
        <v>19</v>
      </c>
      <c r="C254" s="6">
        <f>_xll.ciqfunctions.udf.CIQ($B$1,"IQ_TOTAL_EQUITY","IQ_FY-7")</f>
        <v>4545.9880000000003</v>
      </c>
      <c r="D254" s="7">
        <f t="shared" si="8"/>
        <v>4545.9880000000003</v>
      </c>
      <c r="E254" s="5" t="s">
        <v>58</v>
      </c>
    </row>
    <row r="255" spans="1:5" x14ac:dyDescent="0.4">
      <c r="A255" s="5" t="s">
        <v>57</v>
      </c>
      <c r="B255" s="5" t="s">
        <v>20</v>
      </c>
      <c r="C255" s="6">
        <f>_xll.ciqfunctions.udf.CIQ($B$1,"IQ_TOTAL_EQUITY","IQ_FY-8")</f>
        <v>4095.2220000000002</v>
      </c>
      <c r="D255" s="7">
        <f t="shared" si="8"/>
        <v>4095.2220000000002</v>
      </c>
      <c r="E255" s="5" t="s">
        <v>58</v>
      </c>
    </row>
    <row r="256" spans="1:5" x14ac:dyDescent="0.4">
      <c r="A256" s="5" t="s">
        <v>57</v>
      </c>
      <c r="B256" s="5" t="s">
        <v>21</v>
      </c>
      <c r="C256" s="6">
        <f>_xll.ciqfunctions.udf.CIQ($B$1,"IQ_TOTAL_EQUITY","IQ_FY-9")</f>
        <v>3026.2489999999998</v>
      </c>
      <c r="D256" s="7">
        <f t="shared" si="8"/>
        <v>3026.2489999999998</v>
      </c>
      <c r="E256" s="5" t="s">
        <v>58</v>
      </c>
    </row>
    <row r="257" spans="1:5" x14ac:dyDescent="0.4">
      <c r="A257" s="5" t="s">
        <v>57</v>
      </c>
      <c r="B257" s="5" t="s">
        <v>22</v>
      </c>
      <c r="C257" s="6">
        <f>_xll.ciqfunctions.udf.CIQ($B$1,"IQ_TOTAL_EQUITY","IQ_FY-10")</f>
        <v>4106.1210000000001</v>
      </c>
      <c r="D257" s="7">
        <f t="shared" si="8"/>
        <v>4106.1210000000001</v>
      </c>
      <c r="E257" s="5" t="s">
        <v>58</v>
      </c>
    </row>
    <row r="258" spans="1:5" x14ac:dyDescent="0.4">
      <c r="A258" s="5" t="s">
        <v>59</v>
      </c>
      <c r="B258" s="5" t="s">
        <v>11</v>
      </c>
      <c r="C258" s="6">
        <f>_xll.ciqfunctions.udf.CIQ($B$1,"IQ_TOTAL_DEBT","IQ_FY-0")</f>
        <v>5732.9579999999996</v>
      </c>
      <c r="D258" s="7">
        <f t="shared" si="8"/>
        <v>5732.9579999999996</v>
      </c>
      <c r="E258" s="5" t="s">
        <v>60</v>
      </c>
    </row>
    <row r="259" spans="1:5" x14ac:dyDescent="0.4">
      <c r="A259" s="5" t="s">
        <v>59</v>
      </c>
      <c r="B259" s="5" t="s">
        <v>13</v>
      </c>
      <c r="C259" s="6">
        <f>_xll.ciqfunctions.udf.CIQ($B$1,"IQ_TOTAL_DEBT","IQ_FY-1")</f>
        <v>3961.6889999999999</v>
      </c>
      <c r="D259" s="7">
        <f t="shared" si="8"/>
        <v>3961.6889999999999</v>
      </c>
      <c r="E259" s="5" t="s">
        <v>60</v>
      </c>
    </row>
    <row r="260" spans="1:5" x14ac:dyDescent="0.4">
      <c r="A260" s="5" t="s">
        <v>59</v>
      </c>
      <c r="B260" s="5" t="s">
        <v>14</v>
      </c>
      <c r="C260" s="6">
        <f>_xll.ciqfunctions.udf.CIQ($B$1,"IQ_TOTAL_DEBT","IQ_FY-2")</f>
        <v>4359.3500000000004</v>
      </c>
      <c r="D260" s="7">
        <f t="shared" si="8"/>
        <v>4359.3500000000004</v>
      </c>
      <c r="E260" s="5" t="s">
        <v>60</v>
      </c>
    </row>
    <row r="261" spans="1:5" x14ac:dyDescent="0.4">
      <c r="A261" s="5" t="s">
        <v>59</v>
      </c>
      <c r="B261" s="5" t="s">
        <v>15</v>
      </c>
      <c r="C261" s="6">
        <f>_xll.ciqfunctions.udf.CIQ($B$1,"IQ_TOTAL_DEBT","IQ_FY-3")</f>
        <v>3829.2669999999998</v>
      </c>
      <c r="D261" s="7">
        <f t="shared" si="8"/>
        <v>3829.2669999999998</v>
      </c>
      <c r="E261" s="5" t="s">
        <v>60</v>
      </c>
    </row>
    <row r="262" spans="1:5" x14ac:dyDescent="0.4">
      <c r="A262" s="5" t="s">
        <v>59</v>
      </c>
      <c r="B262" s="5" t="s">
        <v>16</v>
      </c>
      <c r="C262" s="6">
        <f>_xll.ciqfunctions.udf.CIQ($B$1,"IQ_TOTAL_DEBT","IQ_FY-4")</f>
        <v>4464.7790000000005</v>
      </c>
      <c r="D262" s="7">
        <f t="shared" si="8"/>
        <v>4464.7790000000005</v>
      </c>
      <c r="E262" s="5" t="s">
        <v>60</v>
      </c>
    </row>
    <row r="263" spans="1:5" x14ac:dyDescent="0.4">
      <c r="A263" s="5" t="s">
        <v>59</v>
      </c>
      <c r="B263" s="5" t="s">
        <v>17</v>
      </c>
      <c r="C263" s="6">
        <f>_xll.ciqfunctions.udf.CIQ($B$1,"IQ_TOTAL_DEBT","IQ_FY-5")</f>
        <v>5298.3810000000003</v>
      </c>
      <c r="D263" s="7">
        <f t="shared" si="8"/>
        <v>5298.3810000000003</v>
      </c>
      <c r="E263" s="5" t="s">
        <v>60</v>
      </c>
    </row>
    <row r="264" spans="1:5" x14ac:dyDescent="0.4">
      <c r="A264" s="5" t="s">
        <v>59</v>
      </c>
      <c r="B264" s="5" t="s">
        <v>18</v>
      </c>
      <c r="C264" s="6">
        <f>_xll.ciqfunctions.udf.CIQ($B$1,"IQ_TOTAL_DEBT","IQ_FY-6")</f>
        <v>4379.8130000000001</v>
      </c>
      <c r="D264" s="7">
        <f t="shared" si="8"/>
        <v>4379.8130000000001</v>
      </c>
      <c r="E264" s="5" t="s">
        <v>60</v>
      </c>
    </row>
    <row r="265" spans="1:5" x14ac:dyDescent="0.4">
      <c r="A265" s="5" t="s">
        <v>59</v>
      </c>
      <c r="B265" s="5" t="s">
        <v>19</v>
      </c>
      <c r="C265" s="6">
        <f>_xll.ciqfunctions.udf.CIQ($B$1,"IQ_TOTAL_DEBT","IQ_FY-7")</f>
        <v>3815.4169999999999</v>
      </c>
      <c r="D265" s="7">
        <f t="shared" si="8"/>
        <v>3815.4169999999999</v>
      </c>
      <c r="E265" s="5" t="s">
        <v>60</v>
      </c>
    </row>
    <row r="266" spans="1:5" x14ac:dyDescent="0.4">
      <c r="A266" s="5" t="s">
        <v>59</v>
      </c>
      <c r="B266" s="5" t="s">
        <v>20</v>
      </c>
      <c r="C266" s="6">
        <f>_xll.ciqfunctions.udf.CIQ($B$1,"IQ_TOTAL_DEBT","IQ_FY-8")</f>
        <v>3036.6950000000002</v>
      </c>
      <c r="D266" s="7">
        <f t="shared" si="8"/>
        <v>3036.6950000000002</v>
      </c>
      <c r="E266" s="5" t="s">
        <v>60</v>
      </c>
    </row>
    <row r="267" spans="1:5" x14ac:dyDescent="0.4">
      <c r="A267" s="5" t="s">
        <v>59</v>
      </c>
      <c r="B267" s="5" t="s">
        <v>21</v>
      </c>
      <c r="C267" s="6">
        <f>_xll.ciqfunctions.udf.CIQ($B$1,"IQ_TOTAL_DEBT","IQ_FY-9")</f>
        <v>3250.9270000000001</v>
      </c>
      <c r="D267" s="7">
        <f t="shared" si="8"/>
        <v>3250.9270000000001</v>
      </c>
      <c r="E267" s="5" t="s">
        <v>60</v>
      </c>
    </row>
    <row r="268" spans="1:5" x14ac:dyDescent="0.4">
      <c r="A268" s="5" t="s">
        <v>59</v>
      </c>
      <c r="B268" s="5" t="s">
        <v>22</v>
      </c>
      <c r="C268" s="6">
        <f>_xll.ciqfunctions.udf.CIQ($B$1,"IQ_TOTAL_DEBT","IQ_FY-10")</f>
        <v>3054.1219999999998</v>
      </c>
      <c r="D268" s="7">
        <f t="shared" ref="D268:D299" si="9">C268</f>
        <v>3054.1219999999998</v>
      </c>
      <c r="E268" s="5" t="s">
        <v>60</v>
      </c>
    </row>
    <row r="269" spans="1:5" x14ac:dyDescent="0.4">
      <c r="A269" s="5" t="s">
        <v>61</v>
      </c>
      <c r="B269" s="5" t="s">
        <v>11</v>
      </c>
      <c r="C269" s="6">
        <f>_xll.ciqfunctions.udf.CIQ($B$1,"IQ_TOTAL_OUTSTANDING_FILING_DATE","IQ_FY-0")</f>
        <v>12404.659299999999</v>
      </c>
      <c r="D269" s="7">
        <f t="shared" si="9"/>
        <v>12404.659299999999</v>
      </c>
      <c r="E269" s="5" t="s">
        <v>62</v>
      </c>
    </row>
    <row r="270" spans="1:5" x14ac:dyDescent="0.4">
      <c r="A270" s="5" t="s">
        <v>61</v>
      </c>
      <c r="B270" s="5" t="s">
        <v>13</v>
      </c>
      <c r="C270" s="6">
        <f>_xll.ciqfunctions.udf.CIQ($B$1,"IQ_TOTAL_OUTSTANDING_FILING_DATE","IQ_FY-1")</f>
        <v>12404.659299999999</v>
      </c>
      <c r="D270" s="7">
        <f t="shared" si="9"/>
        <v>12404.659299999999</v>
      </c>
      <c r="E270" s="5" t="s">
        <v>62</v>
      </c>
    </row>
    <row r="271" spans="1:5" x14ac:dyDescent="0.4">
      <c r="A271" s="5" t="s">
        <v>61</v>
      </c>
      <c r="B271" s="5" t="s">
        <v>14</v>
      </c>
      <c r="C271" s="6">
        <f>_xll.ciqfunctions.udf.CIQ($B$1,"IQ_TOTAL_OUTSTANDING_FILING_DATE","IQ_FY-2")</f>
        <v>12128.130289999999</v>
      </c>
      <c r="D271" s="7">
        <f t="shared" si="9"/>
        <v>12128.130289999999</v>
      </c>
      <c r="E271" s="5" t="s">
        <v>62</v>
      </c>
    </row>
    <row r="272" spans="1:5" x14ac:dyDescent="0.4">
      <c r="A272" s="5" t="s">
        <v>61</v>
      </c>
      <c r="B272" s="5" t="s">
        <v>15</v>
      </c>
      <c r="C272" s="6">
        <f>_xll.ciqfunctions.udf.CIQ($B$1,"IQ_TOTAL_OUTSTANDING_FILING_DATE","IQ_FY-3")</f>
        <v>12041.705610000001</v>
      </c>
      <c r="D272" s="7">
        <f t="shared" si="9"/>
        <v>12041.705610000001</v>
      </c>
      <c r="E272" s="5" t="s">
        <v>62</v>
      </c>
    </row>
    <row r="273" spans="1:5" x14ac:dyDescent="0.4">
      <c r="A273" s="5" t="s">
        <v>61</v>
      </c>
      <c r="B273" s="5" t="s">
        <v>16</v>
      </c>
      <c r="C273" s="6">
        <f>_xll.ciqfunctions.udf.CIQ($B$1,"IQ_TOTAL_OUTSTANDING_FILING_DATE","IQ_FY-4")</f>
        <v>12041.705610000001</v>
      </c>
      <c r="D273" s="7">
        <f t="shared" si="9"/>
        <v>12041.705610000001</v>
      </c>
      <c r="E273" s="5" t="s">
        <v>62</v>
      </c>
    </row>
    <row r="274" spans="1:5" x14ac:dyDescent="0.4">
      <c r="A274" s="5" t="s">
        <v>61</v>
      </c>
      <c r="B274" s="5" t="s">
        <v>17</v>
      </c>
      <c r="C274" s="6">
        <f>_xll.ciqfunctions.udf.CIQ($B$1,"IQ_TOTAL_OUTSTANDING_FILING_DATE","IQ_FY-5")</f>
        <v>12014.79161</v>
      </c>
      <c r="D274" s="7">
        <f t="shared" si="9"/>
        <v>12014.79161</v>
      </c>
      <c r="E274" s="5" t="s">
        <v>62</v>
      </c>
    </row>
    <row r="275" spans="1:5" x14ac:dyDescent="0.4">
      <c r="A275" s="5" t="s">
        <v>61</v>
      </c>
      <c r="B275" s="5" t="s">
        <v>18</v>
      </c>
      <c r="C275" s="6">
        <f>_xll.ciqfunctions.udf.CIQ($B$1,"IQ_TOTAL_OUTSTANDING_FILING_DATE","IQ_FY-6")</f>
        <v>12014.79161</v>
      </c>
      <c r="D275" s="7">
        <f t="shared" si="9"/>
        <v>12014.79161</v>
      </c>
      <c r="E275" s="5" t="s">
        <v>62</v>
      </c>
    </row>
    <row r="276" spans="1:5" x14ac:dyDescent="0.4">
      <c r="A276" s="5" t="s">
        <v>61</v>
      </c>
      <c r="B276" s="5" t="s">
        <v>19</v>
      </c>
      <c r="C276" s="6">
        <f>_xll.ciqfunctions.udf.CIQ($B$1,"IQ_TOTAL_OUTSTANDING_FILING_DATE","IQ_FY-7")</f>
        <v>12014.79161</v>
      </c>
      <c r="D276" s="7">
        <f t="shared" si="9"/>
        <v>12014.79161</v>
      </c>
      <c r="E276" s="5" t="s">
        <v>62</v>
      </c>
    </row>
    <row r="277" spans="1:5" x14ac:dyDescent="0.4">
      <c r="A277" s="5" t="s">
        <v>61</v>
      </c>
      <c r="B277" s="5" t="s">
        <v>20</v>
      </c>
      <c r="C277" s="6">
        <f>_xll.ciqfunctions.udf.CIQ($B$1,"IQ_TOTAL_OUTSTANDING_FILING_DATE","IQ_FY-8")</f>
        <v>11108.65472</v>
      </c>
      <c r="D277" s="7">
        <f t="shared" si="9"/>
        <v>11108.65472</v>
      </c>
      <c r="E277" s="5" t="s">
        <v>62</v>
      </c>
    </row>
    <row r="278" spans="1:5" x14ac:dyDescent="0.4">
      <c r="A278" s="5" t="s">
        <v>61</v>
      </c>
      <c r="B278" s="5" t="s">
        <v>21</v>
      </c>
      <c r="C278" s="6">
        <f>_xll.ciqfunctions.udf.CIQ($B$1,"IQ_TOTAL_OUTSTANDING_FILING_DATE","IQ_FY-9")</f>
        <v>11108.65472</v>
      </c>
      <c r="D278" s="7">
        <f t="shared" si="9"/>
        <v>11108.65472</v>
      </c>
      <c r="E278" s="5" t="s">
        <v>62</v>
      </c>
    </row>
    <row r="279" spans="1:5" x14ac:dyDescent="0.4">
      <c r="A279" s="5" t="s">
        <v>61</v>
      </c>
      <c r="B279" s="5" t="s">
        <v>22</v>
      </c>
      <c r="C279" s="6">
        <f>_xll.ciqfunctions.udf.CIQ($B$1,"IQ_TOTAL_OUTSTANDING_FILING_DATE","IQ_FY-10")</f>
        <v>11108.65472</v>
      </c>
      <c r="D279" s="7">
        <f t="shared" si="9"/>
        <v>11108.65472</v>
      </c>
      <c r="E279" s="5" t="s">
        <v>62</v>
      </c>
    </row>
    <row r="280" spans="1:5" x14ac:dyDescent="0.4">
      <c r="A280" s="5" t="s">
        <v>63</v>
      </c>
      <c r="B280" s="5" t="s">
        <v>11</v>
      </c>
      <c r="C280" s="6">
        <f>_xll.ciqfunctions.udf.CIQ($B$1,"IQ_LT_INVEST","IQ_FY-0")</f>
        <v>1825.47</v>
      </c>
      <c r="D280" s="7">
        <f t="shared" si="9"/>
        <v>1825.47</v>
      </c>
      <c r="E280" s="5" t="s">
        <v>64</v>
      </c>
    </row>
    <row r="281" spans="1:5" x14ac:dyDescent="0.4">
      <c r="A281" s="5" t="s">
        <v>63</v>
      </c>
      <c r="B281" s="5" t="s">
        <v>13</v>
      </c>
      <c r="C281" s="6">
        <f>_xll.ciqfunctions.udf.CIQ($B$1,"IQ_LT_INVEST","IQ_FY-1")</f>
        <v>1768.442</v>
      </c>
      <c r="D281" s="7">
        <f t="shared" si="9"/>
        <v>1768.442</v>
      </c>
      <c r="E281" s="5" t="s">
        <v>64</v>
      </c>
    </row>
    <row r="282" spans="1:5" x14ac:dyDescent="0.4">
      <c r="A282" s="5" t="s">
        <v>63</v>
      </c>
      <c r="B282" s="5" t="s">
        <v>14</v>
      </c>
      <c r="C282" s="6">
        <f>_xll.ciqfunctions.udf.CIQ($B$1,"IQ_LT_INVEST","IQ_FY-2")</f>
        <v>1738.414</v>
      </c>
      <c r="D282" s="7">
        <f t="shared" si="9"/>
        <v>1738.414</v>
      </c>
      <c r="E282" s="5" t="s">
        <v>64</v>
      </c>
    </row>
    <row r="283" spans="1:5" x14ac:dyDescent="0.4">
      <c r="A283" s="5" t="s">
        <v>63</v>
      </c>
      <c r="B283" s="5" t="s">
        <v>15</v>
      </c>
      <c r="C283" s="6">
        <f>_xll.ciqfunctions.udf.CIQ($B$1,"IQ_LT_INVEST","IQ_FY-3")</f>
        <v>1508.527</v>
      </c>
      <c r="D283" s="7">
        <f t="shared" si="9"/>
        <v>1508.527</v>
      </c>
      <c r="E283" s="5" t="s">
        <v>64</v>
      </c>
    </row>
    <row r="284" spans="1:5" x14ac:dyDescent="0.4">
      <c r="A284" s="5" t="s">
        <v>63</v>
      </c>
      <c r="B284" s="5" t="s">
        <v>16</v>
      </c>
      <c r="C284" s="6">
        <f>_xll.ciqfunctions.udf.CIQ($B$1,"IQ_LT_INVEST","IQ_FY-4")</f>
        <v>955.26400000000001</v>
      </c>
      <c r="D284" s="7">
        <f t="shared" si="9"/>
        <v>955.26400000000001</v>
      </c>
      <c r="E284" s="5" t="s">
        <v>64</v>
      </c>
    </row>
    <row r="285" spans="1:5" x14ac:dyDescent="0.4">
      <c r="A285" s="5" t="s">
        <v>63</v>
      </c>
      <c r="B285" s="5" t="s">
        <v>17</v>
      </c>
      <c r="C285" s="6">
        <f>_xll.ciqfunctions.udf.CIQ($B$1,"IQ_LT_INVEST","IQ_FY-5")</f>
        <v>611.25</v>
      </c>
      <c r="D285" s="7">
        <f t="shared" si="9"/>
        <v>611.25</v>
      </c>
      <c r="E285" s="5" t="s">
        <v>64</v>
      </c>
    </row>
    <row r="286" spans="1:5" x14ac:dyDescent="0.4">
      <c r="A286" s="5" t="s">
        <v>63</v>
      </c>
      <c r="B286" s="5" t="s">
        <v>18</v>
      </c>
      <c r="C286" s="6">
        <f>_xll.ciqfunctions.udf.CIQ($B$1,"IQ_LT_INVEST","IQ_FY-6")</f>
        <v>599.91</v>
      </c>
      <c r="D286" s="7">
        <f t="shared" si="9"/>
        <v>599.91</v>
      </c>
      <c r="E286" s="5" t="s">
        <v>64</v>
      </c>
    </row>
    <row r="287" spans="1:5" x14ac:dyDescent="0.4">
      <c r="A287" s="5" t="s">
        <v>63</v>
      </c>
      <c r="B287" s="5" t="s">
        <v>19</v>
      </c>
      <c r="C287" s="6">
        <f>_xll.ciqfunctions.udf.CIQ($B$1,"IQ_LT_INVEST","IQ_FY-7")</f>
        <v>408.74299999999999</v>
      </c>
      <c r="D287" s="7">
        <f t="shared" si="9"/>
        <v>408.74299999999999</v>
      </c>
      <c r="E287" s="5" t="s">
        <v>64</v>
      </c>
    </row>
    <row r="288" spans="1:5" x14ac:dyDescent="0.4">
      <c r="A288" s="5" t="s">
        <v>63</v>
      </c>
      <c r="B288" s="5" t="s">
        <v>20</v>
      </c>
      <c r="C288" s="6">
        <f>_xll.ciqfunctions.udf.CIQ($B$1,"IQ_LT_INVEST","IQ_FY-8")</f>
        <v>288.46499999999997</v>
      </c>
      <c r="D288" s="7">
        <f t="shared" si="9"/>
        <v>288.46499999999997</v>
      </c>
      <c r="E288" s="5" t="s">
        <v>64</v>
      </c>
    </row>
    <row r="289" spans="1:5" x14ac:dyDescent="0.4">
      <c r="A289" s="5" t="s">
        <v>63</v>
      </c>
      <c r="B289" s="5" t="s">
        <v>21</v>
      </c>
      <c r="C289" s="6">
        <f>_xll.ciqfunctions.udf.CIQ($B$1,"IQ_LT_INVEST","IQ_FY-9")</f>
        <v>180.011</v>
      </c>
      <c r="D289" s="7">
        <f t="shared" si="9"/>
        <v>180.011</v>
      </c>
      <c r="E289" s="5" t="s">
        <v>64</v>
      </c>
    </row>
    <row r="290" spans="1:5" x14ac:dyDescent="0.4">
      <c r="A290" s="5" t="s">
        <v>63</v>
      </c>
      <c r="B290" s="5" t="s">
        <v>22</v>
      </c>
      <c r="C290" s="6">
        <f>_xll.ciqfunctions.udf.CIQ($B$1,"IQ_LT_INVEST","IQ_FY-10")</f>
        <v>119.119</v>
      </c>
      <c r="D290" s="7">
        <f t="shared" si="9"/>
        <v>119.119</v>
      </c>
      <c r="E290" s="5" t="s">
        <v>64</v>
      </c>
    </row>
    <row r="291" spans="1:5" x14ac:dyDescent="0.4">
      <c r="A291" s="5" t="s">
        <v>65</v>
      </c>
      <c r="B291" s="5" t="s">
        <v>11</v>
      </c>
      <c r="C291" s="6">
        <f>_xll.ciqfunctions.udf.CIQ($B$1,"IQ_MINORITY_INTEREST","IQ_FY-0")</f>
        <v>1138.2829999999999</v>
      </c>
      <c r="D291" s="7">
        <f t="shared" si="9"/>
        <v>1138.2829999999999</v>
      </c>
      <c r="E291" s="5" t="s">
        <v>66</v>
      </c>
    </row>
    <row r="292" spans="1:5" x14ac:dyDescent="0.4">
      <c r="A292" s="5" t="s">
        <v>65</v>
      </c>
      <c r="B292" s="5" t="s">
        <v>13</v>
      </c>
      <c r="C292" s="6">
        <f>_xll.ciqfunctions.udf.CIQ($B$1,"IQ_MINORITY_INTEREST","IQ_FY-1")</f>
        <v>1045.9469999999999</v>
      </c>
      <c r="D292" s="7">
        <f t="shared" si="9"/>
        <v>1045.9469999999999</v>
      </c>
      <c r="E292" s="5" t="s">
        <v>66</v>
      </c>
    </row>
    <row r="293" spans="1:5" x14ac:dyDescent="0.4">
      <c r="A293" s="5" t="s">
        <v>65</v>
      </c>
      <c r="B293" s="5" t="s">
        <v>14</v>
      </c>
      <c r="C293" s="6">
        <f>_xll.ciqfunctions.udf.CIQ($B$1,"IQ_MINORITY_INTEREST","IQ_FY-2")</f>
        <v>1006.784</v>
      </c>
      <c r="D293" s="7">
        <f t="shared" si="9"/>
        <v>1006.784</v>
      </c>
      <c r="E293" s="5" t="s">
        <v>66</v>
      </c>
    </row>
    <row r="294" spans="1:5" x14ac:dyDescent="0.4">
      <c r="A294" s="5" t="s">
        <v>65</v>
      </c>
      <c r="B294" s="5" t="s">
        <v>15</v>
      </c>
      <c r="C294" s="6">
        <f>_xll.ciqfunctions.udf.CIQ($B$1,"IQ_MINORITY_INTEREST","IQ_FY-3")</f>
        <v>951.41499999999996</v>
      </c>
      <c r="D294" s="7">
        <f t="shared" si="9"/>
        <v>951.41499999999996</v>
      </c>
      <c r="E294" s="5" t="s">
        <v>66</v>
      </c>
    </row>
    <row r="295" spans="1:5" x14ac:dyDescent="0.4">
      <c r="A295" s="5" t="s">
        <v>65</v>
      </c>
      <c r="B295" s="5" t="s">
        <v>16</v>
      </c>
      <c r="C295" s="6">
        <f>_xll.ciqfunctions.udf.CIQ($B$1,"IQ_MINORITY_INTEREST","IQ_FY-4")</f>
        <v>817.73500000000001</v>
      </c>
      <c r="D295" s="7">
        <f t="shared" si="9"/>
        <v>817.73500000000001</v>
      </c>
      <c r="E295" s="5" t="s">
        <v>66</v>
      </c>
    </row>
    <row r="296" spans="1:5" x14ac:dyDescent="0.4">
      <c r="A296" s="5" t="s">
        <v>65</v>
      </c>
      <c r="B296" s="5" t="s">
        <v>17</v>
      </c>
      <c r="C296" s="6">
        <f>_xll.ciqfunctions.udf.CIQ($B$1,"IQ_MINORITY_INTEREST","IQ_FY-5")</f>
        <v>1627.991</v>
      </c>
      <c r="D296" s="7">
        <f t="shared" si="9"/>
        <v>1627.991</v>
      </c>
      <c r="E296" s="5" t="s">
        <v>66</v>
      </c>
    </row>
    <row r="297" spans="1:5" x14ac:dyDescent="0.4">
      <c r="A297" s="5" t="s">
        <v>65</v>
      </c>
      <c r="B297" s="5" t="s">
        <v>18</v>
      </c>
      <c r="C297" s="6">
        <f>_xll.ciqfunctions.udf.CIQ($B$1,"IQ_MINORITY_INTEREST","IQ_FY-6")</f>
        <v>1466.848</v>
      </c>
      <c r="D297" s="7">
        <f t="shared" si="9"/>
        <v>1466.848</v>
      </c>
      <c r="E297" s="5" t="s">
        <v>66</v>
      </c>
    </row>
    <row r="298" spans="1:5" x14ac:dyDescent="0.4">
      <c r="A298" s="5" t="s">
        <v>65</v>
      </c>
      <c r="B298" s="5" t="s">
        <v>19</v>
      </c>
      <c r="C298" s="6">
        <f>_xll.ciqfunctions.udf.CIQ($B$1,"IQ_MINORITY_INTEREST","IQ_FY-7")</f>
        <v>1240.268</v>
      </c>
      <c r="D298" s="7">
        <f t="shared" si="9"/>
        <v>1240.268</v>
      </c>
      <c r="E298" s="5" t="s">
        <v>66</v>
      </c>
    </row>
    <row r="299" spans="1:5" x14ac:dyDescent="0.4">
      <c r="A299" s="5" t="s">
        <v>65</v>
      </c>
      <c r="B299" s="5" t="s">
        <v>20</v>
      </c>
      <c r="C299" s="6">
        <f>_xll.ciqfunctions.udf.CIQ($B$1,"IQ_MINORITY_INTEREST","IQ_FY-8")</f>
        <v>1084.521</v>
      </c>
      <c r="D299" s="7">
        <f t="shared" si="9"/>
        <v>1084.521</v>
      </c>
      <c r="E299" s="5" t="s">
        <v>66</v>
      </c>
    </row>
    <row r="300" spans="1:5" x14ac:dyDescent="0.4">
      <c r="A300" s="5" t="s">
        <v>65</v>
      </c>
      <c r="B300" s="5" t="s">
        <v>21</v>
      </c>
      <c r="C300" s="6">
        <f>_xll.ciqfunctions.udf.CIQ($B$1,"IQ_MINORITY_INTEREST","IQ_FY-9")</f>
        <v>238.94900000000001</v>
      </c>
      <c r="D300" s="7">
        <f t="shared" ref="D300:D331" si="10">C300</f>
        <v>238.94900000000001</v>
      </c>
      <c r="E300" s="5" t="s">
        <v>66</v>
      </c>
    </row>
    <row r="301" spans="1:5" x14ac:dyDescent="0.4">
      <c r="A301" s="5" t="s">
        <v>65</v>
      </c>
      <c r="B301" s="5" t="s">
        <v>22</v>
      </c>
      <c r="C301" s="6">
        <f>_xll.ciqfunctions.udf.CIQ($B$1,"IQ_MINORITY_INTEREST","IQ_FY-10")</f>
        <v>235.37799999999999</v>
      </c>
      <c r="D301" s="7">
        <f t="shared" si="10"/>
        <v>235.37799999999999</v>
      </c>
      <c r="E301" s="5" t="s">
        <v>66</v>
      </c>
    </row>
    <row r="302" spans="1:5" x14ac:dyDescent="0.4">
      <c r="A302" s="8" t="s">
        <v>67</v>
      </c>
      <c r="B302" s="9"/>
      <c r="C302" s="9"/>
      <c r="D302" s="9"/>
      <c r="E302" s="9"/>
    </row>
    <row r="303" spans="1:5" x14ac:dyDescent="0.4">
      <c r="A303" s="5" t="s">
        <v>55</v>
      </c>
      <c r="B303" s="5" t="s">
        <v>46</v>
      </c>
      <c r="C303" s="6">
        <f>_xll.ciqfunctions.udf.CIQ($B$1,"IQ_CASH_EQUIV","IQ_FQ-0")</f>
        <v>5221.41</v>
      </c>
      <c r="D303" s="7">
        <f t="shared" ref="D303:D308" si="11">C303</f>
        <v>5221.41</v>
      </c>
      <c r="E303" s="5" t="s">
        <v>68</v>
      </c>
    </row>
    <row r="304" spans="1:5" x14ac:dyDescent="0.4">
      <c r="A304" s="5" t="s">
        <v>57</v>
      </c>
      <c r="B304" s="5" t="s">
        <v>46</v>
      </c>
      <c r="C304" s="6">
        <f>_xll.ciqfunctions.udf.CIQ($B$1,"IQ_TOTAL_EQUITY","IQ_FQ-0")</f>
        <v>7846.0770000000002</v>
      </c>
      <c r="D304" s="7">
        <f t="shared" si="11"/>
        <v>7846.0770000000002</v>
      </c>
      <c r="E304" s="5" t="s">
        <v>69</v>
      </c>
    </row>
    <row r="305" spans="1:5" x14ac:dyDescent="0.4">
      <c r="A305" s="5" t="s">
        <v>59</v>
      </c>
      <c r="B305" s="5" t="s">
        <v>46</v>
      </c>
      <c r="C305" s="6">
        <f>_xll.ciqfunctions.udf.CIQ($B$1,"IQ_TOTAL_DEBT","IQ_FQ-0")</f>
        <v>5052.4679999999998</v>
      </c>
      <c r="D305" s="7">
        <f t="shared" si="11"/>
        <v>5052.4679999999998</v>
      </c>
      <c r="E305" s="5" t="s">
        <v>70</v>
      </c>
    </row>
    <row r="306" spans="1:5" x14ac:dyDescent="0.4">
      <c r="A306" s="5" t="s">
        <v>61</v>
      </c>
      <c r="B306" s="5" t="s">
        <v>46</v>
      </c>
      <c r="C306" s="6">
        <f>_xll.ciqfunctions.udf.CIQ($B$1,"IQ_TOTAL_OUTSTANDING_FILING_DATE","IQ_FQ-0")</f>
        <v>12404.659299999999</v>
      </c>
      <c r="D306" s="7">
        <f t="shared" si="11"/>
        <v>12404.659299999999</v>
      </c>
      <c r="E306" s="5" t="s">
        <v>71</v>
      </c>
    </row>
    <row r="307" spans="1:5" x14ac:dyDescent="0.4">
      <c r="A307" s="5" t="s">
        <v>63</v>
      </c>
      <c r="B307" s="5" t="s">
        <v>46</v>
      </c>
      <c r="C307" s="6">
        <f>_xll.ciqfunctions.udf.CIQ($B$1,"IQ_LT_INVEST","IQ_FQ-0")</f>
        <v>2210.8649999999998</v>
      </c>
      <c r="D307" s="7">
        <f t="shared" si="11"/>
        <v>2210.8649999999998</v>
      </c>
      <c r="E307" s="5" t="s">
        <v>72</v>
      </c>
    </row>
    <row r="308" spans="1:5" x14ac:dyDescent="0.4">
      <c r="A308" s="5" t="s">
        <v>65</v>
      </c>
      <c r="B308" s="5" t="s">
        <v>46</v>
      </c>
      <c r="C308" s="6">
        <f>_xll.ciqfunctions.udf.CIQ($B$1,"IQ_MINORITY_INTEREST","IQ_FQ-0")</f>
        <v>1321.864</v>
      </c>
      <c r="D308" s="7">
        <f t="shared" si="11"/>
        <v>1321.864</v>
      </c>
      <c r="E308" s="5" t="s">
        <v>73</v>
      </c>
    </row>
    <row r="309" spans="1:5" x14ac:dyDescent="0.4">
      <c r="A309" s="8" t="s">
        <v>74</v>
      </c>
      <c r="B309" s="9"/>
      <c r="C309" s="9"/>
      <c r="D309" s="9"/>
      <c r="E309" s="9"/>
    </row>
    <row r="310" spans="1:5" x14ac:dyDescent="0.4">
      <c r="A310" s="5" t="s">
        <v>75</v>
      </c>
      <c r="B310" s="5" t="s">
        <v>76</v>
      </c>
      <c r="C310" s="6">
        <f>_xll.ciqfunctions.udf.CIQ($B$1,"IQ_CLOSEPRICE")</f>
        <v>11.86</v>
      </c>
      <c r="D310" s="7">
        <f t="shared" ref="D310:D316" si="12">C310</f>
        <v>11.86</v>
      </c>
      <c r="E310" s="5" t="s">
        <v>77</v>
      </c>
    </row>
    <row r="311" spans="1:5" x14ac:dyDescent="0.4">
      <c r="A311" s="5" t="s">
        <v>78</v>
      </c>
      <c r="B311" s="5" t="s">
        <v>76</v>
      </c>
      <c r="C311" s="6">
        <f>_xll.ciqfunctions.udf.CIQ($B$1,"IQ_MARKETCAP")</f>
        <v>147119.25932000001</v>
      </c>
      <c r="D311" s="7">
        <f t="shared" si="12"/>
        <v>147119.25932000001</v>
      </c>
      <c r="E311" s="5" t="s">
        <v>79</v>
      </c>
    </row>
    <row r="312" spans="1:5" x14ac:dyDescent="0.4">
      <c r="A312" s="5" t="s">
        <v>80</v>
      </c>
      <c r="B312" s="5" t="s">
        <v>76</v>
      </c>
      <c r="C312" s="6">
        <f>_xll.ciqfunctions.udf.CIQ($B$1,"IQ_CLOSEPRICE","","REPORTED")</f>
        <v>1.5134099999999999</v>
      </c>
      <c r="D312" s="7">
        <f t="shared" si="12"/>
        <v>1.5134099999999999</v>
      </c>
      <c r="E312" s="5" t="s">
        <v>81</v>
      </c>
    </row>
    <row r="313" spans="1:5" x14ac:dyDescent="0.4">
      <c r="A313" s="5" t="s">
        <v>82</v>
      </c>
      <c r="B313" s="5" t="s">
        <v>76</v>
      </c>
      <c r="C313" s="6">
        <f>_xll.ciqfunctions.udf.CIQ($B$1,"IQ_MARKETCAP","","REPORTED")</f>
        <v>18773.281230000001</v>
      </c>
      <c r="D313" s="7">
        <f t="shared" si="12"/>
        <v>18773.281230000001</v>
      </c>
      <c r="E313" s="5" t="s">
        <v>83</v>
      </c>
    </row>
    <row r="314" spans="1:5" x14ac:dyDescent="0.4">
      <c r="A314" s="5" t="s">
        <v>84</v>
      </c>
      <c r="B314" s="5" t="s">
        <v>76</v>
      </c>
      <c r="C314" s="6" t="str">
        <f>_xll.ciqfunctions.udf.CIQ($B$1,"IQ_FILING_CURRENCY")</f>
        <v>USD</v>
      </c>
      <c r="D314" s="7" t="str">
        <f t="shared" si="12"/>
        <v>USD</v>
      </c>
      <c r="E314" s="5" t="s">
        <v>85</v>
      </c>
    </row>
    <row r="315" spans="1:5" x14ac:dyDescent="0.4">
      <c r="A315" s="5" t="s">
        <v>86</v>
      </c>
      <c r="B315" s="5" t="s">
        <v>76</v>
      </c>
      <c r="C315" s="6" t="str">
        <f>_xll.ciqfunctions.udf.CIQ($B$1,"IQ_EXCHANGE")</f>
        <v>SEHK</v>
      </c>
      <c r="D315" s="7" t="str">
        <f t="shared" si="12"/>
        <v>SEHK</v>
      </c>
      <c r="E315" s="5" t="s">
        <v>87</v>
      </c>
    </row>
    <row r="316" spans="1:5" x14ac:dyDescent="0.4">
      <c r="A316" s="5" t="s">
        <v>88</v>
      </c>
      <c r="B316" s="5" t="s">
        <v>89</v>
      </c>
      <c r="C316" s="6">
        <f>_xll.ciqfunctions.udf.CIQ($B$1,"IQ_EFFECT_TAX_RATE","IQ_FY")/100</f>
        <v>1.2774000000000001E-2</v>
      </c>
      <c r="D316" s="7">
        <f t="shared" si="12"/>
        <v>1.2774000000000001E-2</v>
      </c>
      <c r="E316" s="5" t="s">
        <v>90</v>
      </c>
    </row>
    <row r="317" spans="1:5" x14ac:dyDescent="0.4">
      <c r="A317" s="8" t="s">
        <v>91</v>
      </c>
      <c r="B317" s="9"/>
      <c r="C317" s="9"/>
      <c r="D317" s="9"/>
      <c r="E317" s="9"/>
    </row>
    <row r="318" spans="1:5" x14ac:dyDescent="0.4">
      <c r="A318" s="5" t="s">
        <v>92</v>
      </c>
      <c r="B318" s="5" t="s">
        <v>76</v>
      </c>
      <c r="C318" s="6">
        <f>_xll.ciqfunctions.udf.CIQ($B$1,"IQ_OPTIONS_END_OS")</f>
        <v>0</v>
      </c>
      <c r="D318" s="7">
        <f>C318</f>
        <v>0</v>
      </c>
      <c r="E318" s="5" t="s">
        <v>93</v>
      </c>
    </row>
    <row r="319" spans="1:5" x14ac:dyDescent="0.4">
      <c r="A319" s="5" t="s">
        <v>94</v>
      </c>
      <c r="B319" s="5" t="s">
        <v>76</v>
      </c>
      <c r="C319" s="6">
        <f>_xll.ciqfunctions.udf.CIQ($B$1,"IQ_OPTIONS_STRIKE_PRICE_OS")</f>
        <v>0</v>
      </c>
      <c r="D319" s="7">
        <f>C319</f>
        <v>0</v>
      </c>
      <c r="E319" s="5" t="s">
        <v>95</v>
      </c>
    </row>
    <row r="320" spans="1:5" x14ac:dyDescent="0.4">
      <c r="A320" s="5" t="s">
        <v>96</v>
      </c>
      <c r="B320" s="5" t="s">
        <v>76</v>
      </c>
      <c r="C320" s="6" t="str">
        <f>_xll.ciqfunctions.udf.CIQ($B$1,"IQ_OPTIONS_AVG_LIFE")</f>
        <v>(Invalid Formula Name)</v>
      </c>
      <c r="D320" s="7" t="str">
        <f>C320</f>
        <v>(Invalid Formula Name)</v>
      </c>
      <c r="E320" s="5" t="s">
        <v>97</v>
      </c>
    </row>
    <row r="321" spans="1:5" x14ac:dyDescent="0.4">
      <c r="A321" s="8" t="s">
        <v>98</v>
      </c>
      <c r="B321" s="9"/>
      <c r="C321" s="9"/>
      <c r="D321" s="9"/>
      <c r="E321" s="9"/>
    </row>
    <row r="322" spans="1:5" x14ac:dyDescent="0.4">
      <c r="A322" s="5" t="s">
        <v>99</v>
      </c>
      <c r="B322" s="5" t="s">
        <v>76</v>
      </c>
      <c r="C322" s="6">
        <f>_xll.ciqfunctions.udf.CIQ($B$1,"IQ_OL_COMM_CY")</f>
        <v>0</v>
      </c>
      <c r="D322" s="7">
        <f t="shared" ref="D322:D327" si="13">C322</f>
        <v>0</v>
      </c>
      <c r="E322" s="5" t="s">
        <v>100</v>
      </c>
    </row>
    <row r="323" spans="1:5" x14ac:dyDescent="0.4">
      <c r="A323" s="5" t="s">
        <v>101</v>
      </c>
      <c r="B323" s="5" t="s">
        <v>76</v>
      </c>
      <c r="C323" s="6">
        <f>_xll.ciqfunctions.udf.CIQ($B$1,"IQ_OL_COMM_CY1")</f>
        <v>0</v>
      </c>
      <c r="D323" s="7">
        <f t="shared" si="13"/>
        <v>0</v>
      </c>
      <c r="E323" s="5" t="s">
        <v>102</v>
      </c>
    </row>
    <row r="324" spans="1:5" x14ac:dyDescent="0.4">
      <c r="A324" s="5" t="s">
        <v>103</v>
      </c>
      <c r="B324" s="5" t="s">
        <v>76</v>
      </c>
      <c r="C324" s="6">
        <f>_xll.ciqfunctions.udf.CIQ($B$1,"IQ_OL_COMM_CY2")</f>
        <v>0</v>
      </c>
      <c r="D324" s="7">
        <f t="shared" si="13"/>
        <v>0</v>
      </c>
      <c r="E324" s="5" t="s">
        <v>104</v>
      </c>
    </row>
    <row r="325" spans="1:5" x14ac:dyDescent="0.4">
      <c r="A325" s="5" t="s">
        <v>105</v>
      </c>
      <c r="B325" s="5" t="s">
        <v>76</v>
      </c>
      <c r="C325" s="6">
        <f>_xll.ciqfunctions.udf.CIQ($B$1,"IQ_OL_COMM_CY3")</f>
        <v>0</v>
      </c>
      <c r="D325" s="7">
        <f t="shared" si="13"/>
        <v>0</v>
      </c>
      <c r="E325" s="5" t="s">
        <v>106</v>
      </c>
    </row>
    <row r="326" spans="1:5" x14ac:dyDescent="0.4">
      <c r="A326" s="5" t="s">
        <v>107</v>
      </c>
      <c r="B326" s="5" t="s">
        <v>76</v>
      </c>
      <c r="C326" s="6">
        <f>_xll.ciqfunctions.udf.CIQ($B$1,"IQ_OL_COMM_CY4")</f>
        <v>0</v>
      </c>
      <c r="D326" s="7">
        <f t="shared" si="13"/>
        <v>0</v>
      </c>
      <c r="E326" s="5" t="s">
        <v>108</v>
      </c>
    </row>
    <row r="327" spans="1:5" x14ac:dyDescent="0.4">
      <c r="A327" s="5" t="s">
        <v>109</v>
      </c>
      <c r="B327" s="5" t="s">
        <v>76</v>
      </c>
      <c r="C327" s="6">
        <f>_xll.ciqfunctions.udf.CIQ($B$1,"IQ_OL_COMM_NEXT_FIVE")</f>
        <v>0</v>
      </c>
      <c r="D327" s="7">
        <f t="shared" si="13"/>
        <v>0</v>
      </c>
      <c r="E327" s="5" t="s">
        <v>110</v>
      </c>
    </row>
    <row r="328" spans="1:5" x14ac:dyDescent="0.4">
      <c r="A328" s="8" t="s">
        <v>111</v>
      </c>
      <c r="B328" s="9"/>
      <c r="C328" s="9"/>
      <c r="D328" s="9"/>
      <c r="E328" s="9"/>
    </row>
    <row r="329" spans="1:5" x14ac:dyDescent="0.4">
      <c r="A329" s="5" t="s">
        <v>112</v>
      </c>
      <c r="B329" s="5" t="s">
        <v>11</v>
      </c>
      <c r="C329" s="6">
        <f>_xll.ciqfunctions.udf.CIQ($B$1,"IQ_PERIODDATE","IQ_FY-0")</f>
        <v>45747</v>
      </c>
      <c r="D329" s="7">
        <f>C329</f>
        <v>45747</v>
      </c>
      <c r="E329" s="5" t="s">
        <v>113</v>
      </c>
    </row>
    <row r="330" spans="1:5" x14ac:dyDescent="0.4">
      <c r="A330" s="5" t="s">
        <v>114</v>
      </c>
      <c r="B330" s="5" t="s">
        <v>46</v>
      </c>
      <c r="C330" s="6">
        <f>_xll.ciqfunctions.udf.CIQ($B$1,"IQ_PERIODDATE","IQ_FQ-0")</f>
        <v>46022</v>
      </c>
      <c r="D330" s="7">
        <f>C330</f>
        <v>46022</v>
      </c>
      <c r="E330" s="5" t="s">
        <v>115</v>
      </c>
    </row>
    <row r="331" spans="1:5" x14ac:dyDescent="0.4">
      <c r="A331" s="10" t="s">
        <v>153</v>
      </c>
      <c r="C331" s="6">
        <f>_xll.ciqfunctions.udf.CIQ($B$1,"IQ_GEO_SEG_REV_TOTAL","IQ_FQ-0")</f>
        <v>0</v>
      </c>
    </row>
    <row r="333" spans="1:5" x14ac:dyDescent="0.4">
      <c r="A333" s="11" t="str">
        <f>_xll.ciqfunctions.udf.CIQRANGE($B$1, "IQ_GEO_SEG_NAME_ABS", 1, 10, IQ_FY, , , , , , "Segment Name")</f>
        <v>Segment Name</v>
      </c>
      <c r="B333" s="11" t="str">
        <f>_xll.ciqfunctions.udf.CIQRANGE($B$1, "IQ_GEO_SEG_REV_ABS", 1, 10, IQ_FY, , , , , , "Revenue")</f>
        <v>Revenue</v>
      </c>
    </row>
    <row r="334" spans="1:5" x14ac:dyDescent="0.4">
      <c r="A334" s="12" t="str">
        <f>_xll.ciqfunctions.udf.CIQ("992", "IQ_GEO_SEG_NAME_ABS", IQ_FY, , , , , , 1)</f>
        <v>China</v>
      </c>
      <c r="B334" s="12">
        <f>_xll.ciqfunctions.udf.CIQ("992", "IQ_GEO_SEG_REV_ABS", IQ_FY, , , , , , 1)</f>
        <v>15901.218000000001</v>
      </c>
      <c r="C334">
        <f>B334/$C$6</f>
        <v>0.23019565653200069</v>
      </c>
    </row>
    <row r="335" spans="1:5" x14ac:dyDescent="0.4">
      <c r="A335" s="12" t="str">
        <f>_xll.ciqfunctions.udf.CIQ("992", "IQ_GEO_SEG_NAME_ABS", IQ_FY, , , , , , 2)</f>
        <v>Asia Pacific (AP)</v>
      </c>
      <c r="B335" s="12">
        <f>_xll.ciqfunctions.udf.CIQ("992", "IQ_GEO_SEG_REV_ABS", IQ_FY, , , , , , 2)</f>
        <v>12942.052</v>
      </c>
      <c r="C335">
        <f t="shared" ref="C335:C343" si="14">B335/$C$6</f>
        <v>0.18735697837808979</v>
      </c>
    </row>
    <row r="336" spans="1:5" x14ac:dyDescent="0.4">
      <c r="A336" s="12" t="str">
        <f>_xll.ciqfunctions.udf.CIQ("992", "IQ_GEO_SEG_NAME_ABS", IQ_FY, , , , , , 3)</f>
        <v>Europe-Middle East-Africa (EMEA)</v>
      </c>
      <c r="B336" s="12">
        <f>_xll.ciqfunctions.udf.CIQ("992", "IQ_GEO_SEG_REV_ABS", IQ_FY, , , , , , 3)</f>
        <v>16936.25</v>
      </c>
      <c r="C336">
        <f t="shared" si="14"/>
        <v>0.2451794062530365</v>
      </c>
    </row>
    <row r="337" spans="1:3" x14ac:dyDescent="0.4">
      <c r="A337" s="12" t="str">
        <f>_xll.ciqfunctions.udf.CIQ("992", "IQ_GEO_SEG_NAME_ABS", IQ_FY, , , , , , 4)</f>
        <v>Americas (AG)</v>
      </c>
      <c r="B337" s="12">
        <f>_xll.ciqfunctions.udf.CIQ("992", "IQ_GEO_SEG_REV_ABS", IQ_FY, , , , , , 4)</f>
        <v>23297.448</v>
      </c>
      <c r="C337">
        <f t="shared" si="14"/>
        <v>0.33726795883687311</v>
      </c>
    </row>
    <row r="338" spans="1:3" x14ac:dyDescent="0.4">
      <c r="A338" s="12" t="str">
        <f>_xll.ciqfunctions.udf.CIQ("992", "IQ_GEO_SEG_NAME_ABS", IQ_FY, , , , , , 5)</f>
        <v>Mainland China</v>
      </c>
      <c r="B338" s="12">
        <f>_xll.ciqfunctions.udf.CIQ("992", "IQ_GEO_SEG_REV_ABS", IQ_FY, , , , , , 5)</f>
        <v>0</v>
      </c>
      <c r="C338">
        <f t="shared" si="14"/>
        <v>0</v>
      </c>
    </row>
    <row r="339" spans="1:3" x14ac:dyDescent="0.4">
      <c r="A339" s="12" t="str">
        <f>_xll.ciqfunctions.udf.CIQ("992", "IQ_GEO_SEG_NAME_ABS", IQ_FY, , , , , , 6)</f>
        <v>Other Countries</v>
      </c>
      <c r="B339" s="12">
        <f>_xll.ciqfunctions.udf.CIQ("992", "IQ_GEO_SEG_REV_ABS", IQ_FY, , , , , , 6)</f>
        <v>0</v>
      </c>
      <c r="C339">
        <f t="shared" si="14"/>
        <v>0</v>
      </c>
    </row>
    <row r="340" spans="1:3" x14ac:dyDescent="0.4">
      <c r="A340" s="12" t="str">
        <f>_xll.ciqfunctions.udf.CIQ("992", "IQ_GEO_SEG_NAME_ABS", IQ_FY, , , , , , 7)</f>
        <v>Headquarters and Corporate Expenses</v>
      </c>
      <c r="B340" s="12">
        <f>_xll.ciqfunctions.udf.CIQ("992", "IQ_GEO_SEG_REV_ABS", IQ_FY, , , , , , 7)</f>
        <v>0</v>
      </c>
      <c r="C340">
        <f t="shared" si="14"/>
        <v>0</v>
      </c>
    </row>
    <row r="341" spans="1:3" x14ac:dyDescent="0.4">
      <c r="A341" s="12" t="str">
        <f>_xll.ciqfunctions.udf.CIQ("992", "IQ_GEO_SEG_NAME_ABS", IQ_FY, , , , , , 8)</f>
        <v>Unallocated Restructuring Costs</v>
      </c>
      <c r="B341" s="12">
        <f>_xll.ciqfunctions.udf.CIQ("992", "IQ_GEO_SEG_REV_ABS", IQ_FY, , , , , , 8)</f>
        <v>0</v>
      </c>
      <c r="C341">
        <f t="shared" si="14"/>
        <v>0</v>
      </c>
    </row>
    <row r="342" spans="1:3" x14ac:dyDescent="0.4">
      <c r="A342" s="12" t="str">
        <f>_xll.ciqfunctions.udf.CIQ("992", "IQ_GEO_SEG_NAME_ABS", IQ_FY, , , , , , 9)</f>
        <v>Unallocated Finance Income</v>
      </c>
      <c r="B342" s="12">
        <f>_xll.ciqfunctions.udf.CIQ("992", "IQ_GEO_SEG_REV_ABS", IQ_FY, , , , , , 9)</f>
        <v>0</v>
      </c>
      <c r="C342">
        <f t="shared" si="14"/>
        <v>0</v>
      </c>
    </row>
    <row r="343" spans="1:3" x14ac:dyDescent="0.4">
      <c r="A343" s="12" t="str">
        <f>_xll.ciqfunctions.udf.CIQ("992", "IQ_GEO_SEG_NAME_ABS", IQ_FY, , , , , , 10)</f>
        <v>Unallocated Finance Costs</v>
      </c>
      <c r="B343" s="12">
        <f>_xll.ciqfunctions.udf.CIQ("992", "IQ_GEO_SEG_REV_ABS", IQ_FY, , , , , , 10)</f>
        <v>0</v>
      </c>
      <c r="C343">
        <f t="shared" si="14"/>
        <v>0</v>
      </c>
    </row>
    <row r="344" spans="1:3" x14ac:dyDescent="0.4">
      <c r="A344" s="14" t="s">
        <v>171</v>
      </c>
      <c r="B344" s="14"/>
      <c r="C344" s="14">
        <f>SUM(C334:C343)</f>
        <v>1</v>
      </c>
    </row>
  </sheetData>
  <mergeCells count="8">
    <mergeCell ref="A328:E328"/>
    <mergeCell ref="A302:E302"/>
    <mergeCell ref="A235:E235"/>
    <mergeCell ref="A138:E138"/>
    <mergeCell ref="A5:E5"/>
    <mergeCell ref="A309:E309"/>
    <mergeCell ref="A321:E321"/>
    <mergeCell ref="A317:E317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9"/>
  <sheetViews>
    <sheetView workbookViewId="0"/>
  </sheetViews>
  <sheetFormatPr defaultRowHeight="14.1" x14ac:dyDescent="0.4"/>
  <sheetData>
    <row r="1" spans="1:4" x14ac:dyDescent="0.4">
      <c r="A1" t="s">
        <v>116</v>
      </c>
      <c r="B1" t="s">
        <v>117</v>
      </c>
      <c r="C1" t="s">
        <v>118</v>
      </c>
      <c r="D1" t="s">
        <v>119</v>
      </c>
    </row>
    <row r="2" spans="1:4" x14ac:dyDescent="0.4">
      <c r="A2">
        <v>6</v>
      </c>
      <c r="B2" t="s">
        <v>10</v>
      </c>
      <c r="C2" t="s">
        <v>11</v>
      </c>
      <c r="D2" t="s">
        <v>120</v>
      </c>
    </row>
    <row r="3" spans="1:4" x14ac:dyDescent="0.4">
      <c r="A3">
        <v>7</v>
      </c>
      <c r="B3" t="s">
        <v>10</v>
      </c>
      <c r="C3" t="s">
        <v>13</v>
      </c>
      <c r="D3" t="s">
        <v>120</v>
      </c>
    </row>
    <row r="4" spans="1:4" x14ac:dyDescent="0.4">
      <c r="A4">
        <v>8</v>
      </c>
      <c r="B4" t="s">
        <v>10</v>
      </c>
      <c r="C4" t="s">
        <v>14</v>
      </c>
      <c r="D4" t="s">
        <v>120</v>
      </c>
    </row>
    <row r="5" spans="1:4" x14ac:dyDescent="0.4">
      <c r="A5">
        <v>9</v>
      </c>
      <c r="B5" t="s">
        <v>10</v>
      </c>
      <c r="C5" t="s">
        <v>15</v>
      </c>
      <c r="D5" t="s">
        <v>120</v>
      </c>
    </row>
    <row r="6" spans="1:4" x14ac:dyDescent="0.4">
      <c r="A6">
        <v>10</v>
      </c>
      <c r="B6" t="s">
        <v>10</v>
      </c>
      <c r="C6" t="s">
        <v>16</v>
      </c>
      <c r="D6" t="s">
        <v>120</v>
      </c>
    </row>
    <row r="7" spans="1:4" x14ac:dyDescent="0.4">
      <c r="A7">
        <v>11</v>
      </c>
      <c r="B7" t="s">
        <v>10</v>
      </c>
      <c r="C7" t="s">
        <v>17</v>
      </c>
      <c r="D7" t="s">
        <v>120</v>
      </c>
    </row>
    <row r="8" spans="1:4" x14ac:dyDescent="0.4">
      <c r="A8">
        <v>12</v>
      </c>
      <c r="B8" t="s">
        <v>10</v>
      </c>
      <c r="C8" t="s">
        <v>18</v>
      </c>
      <c r="D8" t="s">
        <v>120</v>
      </c>
    </row>
    <row r="9" spans="1:4" x14ac:dyDescent="0.4">
      <c r="A9">
        <v>13</v>
      </c>
      <c r="B9" t="s">
        <v>10</v>
      </c>
      <c r="C9" t="s">
        <v>19</v>
      </c>
      <c r="D9" t="s">
        <v>120</v>
      </c>
    </row>
    <row r="10" spans="1:4" x14ac:dyDescent="0.4">
      <c r="A10">
        <v>14</v>
      </c>
      <c r="B10" t="s">
        <v>10</v>
      </c>
      <c r="C10" t="s">
        <v>20</v>
      </c>
      <c r="D10" t="s">
        <v>120</v>
      </c>
    </row>
    <row r="11" spans="1:4" x14ac:dyDescent="0.4">
      <c r="A11">
        <v>15</v>
      </c>
      <c r="B11" t="s">
        <v>10</v>
      </c>
      <c r="C11" t="s">
        <v>21</v>
      </c>
      <c r="D11" t="s">
        <v>120</v>
      </c>
    </row>
    <row r="12" spans="1:4" x14ac:dyDescent="0.4">
      <c r="A12">
        <v>16</v>
      </c>
      <c r="B12" t="s">
        <v>10</v>
      </c>
      <c r="C12" t="s">
        <v>22</v>
      </c>
      <c r="D12" t="s">
        <v>120</v>
      </c>
    </row>
    <row r="13" spans="1:4" x14ac:dyDescent="0.4">
      <c r="A13">
        <v>17</v>
      </c>
      <c r="B13" t="s">
        <v>23</v>
      </c>
      <c r="C13" t="s">
        <v>11</v>
      </c>
      <c r="D13" t="s">
        <v>121</v>
      </c>
    </row>
    <row r="14" spans="1:4" x14ac:dyDescent="0.4">
      <c r="A14">
        <v>18</v>
      </c>
      <c r="B14" t="s">
        <v>23</v>
      </c>
      <c r="C14" t="s">
        <v>13</v>
      </c>
      <c r="D14" t="s">
        <v>121</v>
      </c>
    </row>
    <row r="15" spans="1:4" x14ac:dyDescent="0.4">
      <c r="A15">
        <v>19</v>
      </c>
      <c r="B15" t="s">
        <v>23</v>
      </c>
      <c r="C15" t="s">
        <v>14</v>
      </c>
      <c r="D15" t="s">
        <v>121</v>
      </c>
    </row>
    <row r="16" spans="1:4" x14ac:dyDescent="0.4">
      <c r="A16">
        <v>20</v>
      </c>
      <c r="B16" t="s">
        <v>23</v>
      </c>
      <c r="C16" t="s">
        <v>15</v>
      </c>
      <c r="D16" t="s">
        <v>121</v>
      </c>
    </row>
    <row r="17" spans="1:4" x14ac:dyDescent="0.4">
      <c r="A17">
        <v>21</v>
      </c>
      <c r="B17" t="s">
        <v>23</v>
      </c>
      <c r="C17" t="s">
        <v>16</v>
      </c>
      <c r="D17" t="s">
        <v>121</v>
      </c>
    </row>
    <row r="18" spans="1:4" x14ac:dyDescent="0.4">
      <c r="A18">
        <v>22</v>
      </c>
      <c r="B18" t="s">
        <v>23</v>
      </c>
      <c r="C18" t="s">
        <v>17</v>
      </c>
      <c r="D18" t="s">
        <v>121</v>
      </c>
    </row>
    <row r="19" spans="1:4" x14ac:dyDescent="0.4">
      <c r="A19">
        <v>23</v>
      </c>
      <c r="B19" t="s">
        <v>23</v>
      </c>
      <c r="C19" t="s">
        <v>18</v>
      </c>
      <c r="D19" t="s">
        <v>121</v>
      </c>
    </row>
    <row r="20" spans="1:4" x14ac:dyDescent="0.4">
      <c r="A20">
        <v>24</v>
      </c>
      <c r="B20" t="s">
        <v>23</v>
      </c>
      <c r="C20" t="s">
        <v>19</v>
      </c>
      <c r="D20" t="s">
        <v>121</v>
      </c>
    </row>
    <row r="21" spans="1:4" x14ac:dyDescent="0.4">
      <c r="A21">
        <v>25</v>
      </c>
      <c r="B21" t="s">
        <v>23</v>
      </c>
      <c r="C21" t="s">
        <v>20</v>
      </c>
      <c r="D21" t="s">
        <v>121</v>
      </c>
    </row>
    <row r="22" spans="1:4" x14ac:dyDescent="0.4">
      <c r="A22">
        <v>26</v>
      </c>
      <c r="B22" t="s">
        <v>23</v>
      </c>
      <c r="C22" t="s">
        <v>21</v>
      </c>
      <c r="D22" t="s">
        <v>121</v>
      </c>
    </row>
    <row r="23" spans="1:4" x14ac:dyDescent="0.4">
      <c r="A23">
        <v>27</v>
      </c>
      <c r="B23" t="s">
        <v>23</v>
      </c>
      <c r="C23" t="s">
        <v>22</v>
      </c>
      <c r="D23" t="s">
        <v>121</v>
      </c>
    </row>
    <row r="24" spans="1:4" x14ac:dyDescent="0.4">
      <c r="A24">
        <v>28</v>
      </c>
      <c r="B24" t="s">
        <v>25</v>
      </c>
      <c r="C24" t="s">
        <v>11</v>
      </c>
      <c r="D24" t="s">
        <v>122</v>
      </c>
    </row>
    <row r="25" spans="1:4" x14ac:dyDescent="0.4">
      <c r="A25">
        <v>29</v>
      </c>
      <c r="B25" t="s">
        <v>25</v>
      </c>
      <c r="C25" t="s">
        <v>13</v>
      </c>
      <c r="D25" t="s">
        <v>122</v>
      </c>
    </row>
    <row r="26" spans="1:4" x14ac:dyDescent="0.4">
      <c r="A26">
        <v>30</v>
      </c>
      <c r="B26" t="s">
        <v>25</v>
      </c>
      <c r="C26" t="s">
        <v>14</v>
      </c>
      <c r="D26" t="s">
        <v>122</v>
      </c>
    </row>
    <row r="27" spans="1:4" x14ac:dyDescent="0.4">
      <c r="A27">
        <v>31</v>
      </c>
      <c r="B27" t="s">
        <v>25</v>
      </c>
      <c r="C27" t="s">
        <v>15</v>
      </c>
      <c r="D27" t="s">
        <v>122</v>
      </c>
    </row>
    <row r="28" spans="1:4" x14ac:dyDescent="0.4">
      <c r="A28">
        <v>32</v>
      </c>
      <c r="B28" t="s">
        <v>25</v>
      </c>
      <c r="C28" t="s">
        <v>16</v>
      </c>
      <c r="D28" t="s">
        <v>122</v>
      </c>
    </row>
    <row r="29" spans="1:4" x14ac:dyDescent="0.4">
      <c r="A29">
        <v>33</v>
      </c>
      <c r="B29" t="s">
        <v>25</v>
      </c>
      <c r="C29" t="s">
        <v>17</v>
      </c>
      <c r="D29" t="s">
        <v>122</v>
      </c>
    </row>
    <row r="30" spans="1:4" x14ac:dyDescent="0.4">
      <c r="A30">
        <v>34</v>
      </c>
      <c r="B30" t="s">
        <v>25</v>
      </c>
      <c r="C30" t="s">
        <v>18</v>
      </c>
      <c r="D30" t="s">
        <v>122</v>
      </c>
    </row>
    <row r="31" spans="1:4" x14ac:dyDescent="0.4">
      <c r="A31">
        <v>35</v>
      </c>
      <c r="B31" t="s">
        <v>25</v>
      </c>
      <c r="C31" t="s">
        <v>19</v>
      </c>
      <c r="D31" t="s">
        <v>122</v>
      </c>
    </row>
    <row r="32" spans="1:4" x14ac:dyDescent="0.4">
      <c r="A32">
        <v>36</v>
      </c>
      <c r="B32" t="s">
        <v>25</v>
      </c>
      <c r="C32" t="s">
        <v>20</v>
      </c>
      <c r="D32" t="s">
        <v>122</v>
      </c>
    </row>
    <row r="33" spans="1:4" x14ac:dyDescent="0.4">
      <c r="A33">
        <v>37</v>
      </c>
      <c r="B33" t="s">
        <v>25</v>
      </c>
      <c r="C33" t="s">
        <v>21</v>
      </c>
      <c r="D33" t="s">
        <v>122</v>
      </c>
    </row>
    <row r="34" spans="1:4" x14ac:dyDescent="0.4">
      <c r="A34">
        <v>38</v>
      </c>
      <c r="B34" t="s">
        <v>25</v>
      </c>
      <c r="C34" t="s">
        <v>22</v>
      </c>
      <c r="D34" t="s">
        <v>122</v>
      </c>
    </row>
    <row r="35" spans="1:4" x14ac:dyDescent="0.4">
      <c r="A35">
        <v>39</v>
      </c>
      <c r="B35" t="s">
        <v>27</v>
      </c>
      <c r="C35" t="s">
        <v>11</v>
      </c>
      <c r="D35" t="s">
        <v>123</v>
      </c>
    </row>
    <row r="36" spans="1:4" x14ac:dyDescent="0.4">
      <c r="A36">
        <v>40</v>
      </c>
      <c r="B36" t="s">
        <v>27</v>
      </c>
      <c r="C36" t="s">
        <v>13</v>
      </c>
      <c r="D36" t="s">
        <v>123</v>
      </c>
    </row>
    <row r="37" spans="1:4" x14ac:dyDescent="0.4">
      <c r="A37">
        <v>41</v>
      </c>
      <c r="B37" t="s">
        <v>27</v>
      </c>
      <c r="C37" t="s">
        <v>14</v>
      </c>
      <c r="D37" t="s">
        <v>123</v>
      </c>
    </row>
    <row r="38" spans="1:4" x14ac:dyDescent="0.4">
      <c r="A38">
        <v>42</v>
      </c>
      <c r="B38" t="s">
        <v>27</v>
      </c>
      <c r="C38" t="s">
        <v>15</v>
      </c>
      <c r="D38" t="s">
        <v>123</v>
      </c>
    </row>
    <row r="39" spans="1:4" x14ac:dyDescent="0.4">
      <c r="A39">
        <v>43</v>
      </c>
      <c r="B39" t="s">
        <v>27</v>
      </c>
      <c r="C39" t="s">
        <v>16</v>
      </c>
      <c r="D39" t="s">
        <v>123</v>
      </c>
    </row>
    <row r="40" spans="1:4" x14ac:dyDescent="0.4">
      <c r="A40">
        <v>44</v>
      </c>
      <c r="B40" t="s">
        <v>27</v>
      </c>
      <c r="C40" t="s">
        <v>17</v>
      </c>
      <c r="D40" t="s">
        <v>123</v>
      </c>
    </row>
    <row r="41" spans="1:4" x14ac:dyDescent="0.4">
      <c r="A41">
        <v>45</v>
      </c>
      <c r="B41" t="s">
        <v>27</v>
      </c>
      <c r="C41" t="s">
        <v>18</v>
      </c>
      <c r="D41" t="s">
        <v>123</v>
      </c>
    </row>
    <row r="42" spans="1:4" x14ac:dyDescent="0.4">
      <c r="A42">
        <v>46</v>
      </c>
      <c r="B42" t="s">
        <v>27</v>
      </c>
      <c r="C42" t="s">
        <v>19</v>
      </c>
      <c r="D42" t="s">
        <v>123</v>
      </c>
    </row>
    <row r="43" spans="1:4" x14ac:dyDescent="0.4">
      <c r="A43">
        <v>47</v>
      </c>
      <c r="B43" t="s">
        <v>27</v>
      </c>
      <c r="C43" t="s">
        <v>20</v>
      </c>
      <c r="D43" t="s">
        <v>123</v>
      </c>
    </row>
    <row r="44" spans="1:4" x14ac:dyDescent="0.4">
      <c r="A44">
        <v>48</v>
      </c>
      <c r="B44" t="s">
        <v>27</v>
      </c>
      <c r="C44" t="s">
        <v>21</v>
      </c>
      <c r="D44" t="s">
        <v>123</v>
      </c>
    </row>
    <row r="45" spans="1:4" x14ac:dyDescent="0.4">
      <c r="A45">
        <v>49</v>
      </c>
      <c r="B45" t="s">
        <v>27</v>
      </c>
      <c r="C45" t="s">
        <v>22</v>
      </c>
      <c r="D45" t="s">
        <v>123</v>
      </c>
    </row>
    <row r="46" spans="1:4" x14ac:dyDescent="0.4">
      <c r="A46">
        <v>50</v>
      </c>
      <c r="B46" t="s">
        <v>29</v>
      </c>
      <c r="C46" t="s">
        <v>11</v>
      </c>
      <c r="D46" t="s">
        <v>124</v>
      </c>
    </row>
    <row r="47" spans="1:4" x14ac:dyDescent="0.4">
      <c r="A47">
        <v>51</v>
      </c>
      <c r="B47" t="s">
        <v>29</v>
      </c>
      <c r="C47" t="s">
        <v>13</v>
      </c>
      <c r="D47" t="s">
        <v>124</v>
      </c>
    </row>
    <row r="48" spans="1:4" x14ac:dyDescent="0.4">
      <c r="A48">
        <v>52</v>
      </c>
      <c r="B48" t="s">
        <v>29</v>
      </c>
      <c r="C48" t="s">
        <v>14</v>
      </c>
      <c r="D48" t="s">
        <v>124</v>
      </c>
    </row>
    <row r="49" spans="1:4" x14ac:dyDescent="0.4">
      <c r="A49">
        <v>53</v>
      </c>
      <c r="B49" t="s">
        <v>29</v>
      </c>
      <c r="C49" t="s">
        <v>15</v>
      </c>
      <c r="D49" t="s">
        <v>124</v>
      </c>
    </row>
    <row r="50" spans="1:4" x14ac:dyDescent="0.4">
      <c r="A50">
        <v>54</v>
      </c>
      <c r="B50" t="s">
        <v>29</v>
      </c>
      <c r="C50" t="s">
        <v>16</v>
      </c>
      <c r="D50" t="s">
        <v>124</v>
      </c>
    </row>
    <row r="51" spans="1:4" x14ac:dyDescent="0.4">
      <c r="A51">
        <v>55</v>
      </c>
      <c r="B51" t="s">
        <v>29</v>
      </c>
      <c r="C51" t="s">
        <v>17</v>
      </c>
      <c r="D51" t="s">
        <v>124</v>
      </c>
    </row>
    <row r="52" spans="1:4" x14ac:dyDescent="0.4">
      <c r="A52">
        <v>56</v>
      </c>
      <c r="B52" t="s">
        <v>29</v>
      </c>
      <c r="C52" t="s">
        <v>18</v>
      </c>
      <c r="D52" t="s">
        <v>124</v>
      </c>
    </row>
    <row r="53" spans="1:4" x14ac:dyDescent="0.4">
      <c r="A53">
        <v>57</v>
      </c>
      <c r="B53" t="s">
        <v>29</v>
      </c>
      <c r="C53" t="s">
        <v>19</v>
      </c>
      <c r="D53" t="s">
        <v>124</v>
      </c>
    </row>
    <row r="54" spans="1:4" x14ac:dyDescent="0.4">
      <c r="A54">
        <v>58</v>
      </c>
      <c r="B54" t="s">
        <v>29</v>
      </c>
      <c r="C54" t="s">
        <v>20</v>
      </c>
      <c r="D54" t="s">
        <v>124</v>
      </c>
    </row>
    <row r="55" spans="1:4" x14ac:dyDescent="0.4">
      <c r="A55">
        <v>59</v>
      </c>
      <c r="B55" t="s">
        <v>29</v>
      </c>
      <c r="C55" t="s">
        <v>21</v>
      </c>
      <c r="D55" t="s">
        <v>124</v>
      </c>
    </row>
    <row r="56" spans="1:4" x14ac:dyDescent="0.4">
      <c r="A56">
        <v>60</v>
      </c>
      <c r="B56" t="s">
        <v>29</v>
      </c>
      <c r="C56" t="s">
        <v>22</v>
      </c>
      <c r="D56" t="s">
        <v>124</v>
      </c>
    </row>
    <row r="57" spans="1:4" x14ac:dyDescent="0.4">
      <c r="A57">
        <v>61</v>
      </c>
      <c r="B57" t="s">
        <v>31</v>
      </c>
      <c r="C57" t="s">
        <v>11</v>
      </c>
      <c r="D57" t="s">
        <v>125</v>
      </c>
    </row>
    <row r="58" spans="1:4" x14ac:dyDescent="0.4">
      <c r="A58">
        <v>62</v>
      </c>
      <c r="B58" t="s">
        <v>31</v>
      </c>
      <c r="C58" t="s">
        <v>13</v>
      </c>
      <c r="D58" t="s">
        <v>125</v>
      </c>
    </row>
    <row r="59" spans="1:4" x14ac:dyDescent="0.4">
      <c r="A59">
        <v>63</v>
      </c>
      <c r="B59" t="s">
        <v>31</v>
      </c>
      <c r="C59" t="s">
        <v>14</v>
      </c>
      <c r="D59" t="s">
        <v>125</v>
      </c>
    </row>
    <row r="60" spans="1:4" x14ac:dyDescent="0.4">
      <c r="A60">
        <v>64</v>
      </c>
      <c r="B60" t="s">
        <v>31</v>
      </c>
      <c r="C60" t="s">
        <v>15</v>
      </c>
      <c r="D60" t="s">
        <v>125</v>
      </c>
    </row>
    <row r="61" spans="1:4" x14ac:dyDescent="0.4">
      <c r="A61">
        <v>65</v>
      </c>
      <c r="B61" t="s">
        <v>31</v>
      </c>
      <c r="C61" t="s">
        <v>16</v>
      </c>
      <c r="D61" t="s">
        <v>125</v>
      </c>
    </row>
    <row r="62" spans="1:4" x14ac:dyDescent="0.4">
      <c r="A62">
        <v>66</v>
      </c>
      <c r="B62" t="s">
        <v>31</v>
      </c>
      <c r="C62" t="s">
        <v>17</v>
      </c>
      <c r="D62" t="s">
        <v>125</v>
      </c>
    </row>
    <row r="63" spans="1:4" x14ac:dyDescent="0.4">
      <c r="A63">
        <v>67</v>
      </c>
      <c r="B63" t="s">
        <v>31</v>
      </c>
      <c r="C63" t="s">
        <v>18</v>
      </c>
      <c r="D63" t="s">
        <v>125</v>
      </c>
    </row>
    <row r="64" spans="1:4" x14ac:dyDescent="0.4">
      <c r="A64">
        <v>68</v>
      </c>
      <c r="B64" t="s">
        <v>31</v>
      </c>
      <c r="C64" t="s">
        <v>19</v>
      </c>
      <c r="D64" t="s">
        <v>125</v>
      </c>
    </row>
    <row r="65" spans="1:4" x14ac:dyDescent="0.4">
      <c r="A65">
        <v>69</v>
      </c>
      <c r="B65" t="s">
        <v>31</v>
      </c>
      <c r="C65" t="s">
        <v>20</v>
      </c>
      <c r="D65" t="s">
        <v>125</v>
      </c>
    </row>
    <row r="66" spans="1:4" x14ac:dyDescent="0.4">
      <c r="A66">
        <v>70</v>
      </c>
      <c r="B66" t="s">
        <v>31</v>
      </c>
      <c r="C66" t="s">
        <v>21</v>
      </c>
      <c r="D66" t="s">
        <v>125</v>
      </c>
    </row>
    <row r="67" spans="1:4" x14ac:dyDescent="0.4">
      <c r="A67">
        <v>71</v>
      </c>
      <c r="B67" t="s">
        <v>31</v>
      </c>
      <c r="C67" t="s">
        <v>22</v>
      </c>
      <c r="D67" t="s">
        <v>125</v>
      </c>
    </row>
    <row r="68" spans="1:4" x14ac:dyDescent="0.4">
      <c r="A68">
        <v>72</v>
      </c>
      <c r="B68" t="s">
        <v>33</v>
      </c>
      <c r="C68" t="s">
        <v>11</v>
      </c>
      <c r="D68" t="s">
        <v>126</v>
      </c>
    </row>
    <row r="69" spans="1:4" x14ac:dyDescent="0.4">
      <c r="A69">
        <v>73</v>
      </c>
      <c r="B69" t="s">
        <v>33</v>
      </c>
      <c r="C69" t="s">
        <v>13</v>
      </c>
      <c r="D69" t="s">
        <v>126</v>
      </c>
    </row>
    <row r="70" spans="1:4" x14ac:dyDescent="0.4">
      <c r="A70">
        <v>74</v>
      </c>
      <c r="B70" t="s">
        <v>33</v>
      </c>
      <c r="C70" t="s">
        <v>14</v>
      </c>
      <c r="D70" t="s">
        <v>126</v>
      </c>
    </row>
    <row r="71" spans="1:4" x14ac:dyDescent="0.4">
      <c r="A71">
        <v>75</v>
      </c>
      <c r="B71" t="s">
        <v>33</v>
      </c>
      <c r="C71" t="s">
        <v>15</v>
      </c>
      <c r="D71" t="s">
        <v>126</v>
      </c>
    </row>
    <row r="72" spans="1:4" x14ac:dyDescent="0.4">
      <c r="A72">
        <v>76</v>
      </c>
      <c r="B72" t="s">
        <v>33</v>
      </c>
      <c r="C72" t="s">
        <v>16</v>
      </c>
      <c r="D72" t="s">
        <v>126</v>
      </c>
    </row>
    <row r="73" spans="1:4" x14ac:dyDescent="0.4">
      <c r="A73">
        <v>77</v>
      </c>
      <c r="B73" t="s">
        <v>33</v>
      </c>
      <c r="C73" t="s">
        <v>17</v>
      </c>
      <c r="D73" t="s">
        <v>126</v>
      </c>
    </row>
    <row r="74" spans="1:4" x14ac:dyDescent="0.4">
      <c r="A74">
        <v>78</v>
      </c>
      <c r="B74" t="s">
        <v>33</v>
      </c>
      <c r="C74" t="s">
        <v>18</v>
      </c>
      <c r="D74" t="s">
        <v>126</v>
      </c>
    </row>
    <row r="75" spans="1:4" x14ac:dyDescent="0.4">
      <c r="A75">
        <v>79</v>
      </c>
      <c r="B75" t="s">
        <v>33</v>
      </c>
      <c r="C75" t="s">
        <v>19</v>
      </c>
      <c r="D75" t="s">
        <v>126</v>
      </c>
    </row>
    <row r="76" spans="1:4" x14ac:dyDescent="0.4">
      <c r="A76">
        <v>80</v>
      </c>
      <c r="B76" t="s">
        <v>33</v>
      </c>
      <c r="C76" t="s">
        <v>20</v>
      </c>
      <c r="D76" t="s">
        <v>126</v>
      </c>
    </row>
    <row r="77" spans="1:4" x14ac:dyDescent="0.4">
      <c r="A77">
        <v>81</v>
      </c>
      <c r="B77" t="s">
        <v>33</v>
      </c>
      <c r="C77" t="s">
        <v>21</v>
      </c>
      <c r="D77" t="s">
        <v>126</v>
      </c>
    </row>
    <row r="78" spans="1:4" x14ac:dyDescent="0.4">
      <c r="A78">
        <v>82</v>
      </c>
      <c r="B78" t="s">
        <v>33</v>
      </c>
      <c r="C78" t="s">
        <v>22</v>
      </c>
      <c r="D78" t="s">
        <v>126</v>
      </c>
    </row>
    <row r="79" spans="1:4" x14ac:dyDescent="0.4">
      <c r="A79">
        <v>83</v>
      </c>
      <c r="B79" t="s">
        <v>35</v>
      </c>
      <c r="C79" t="s">
        <v>11</v>
      </c>
      <c r="D79" t="s">
        <v>127</v>
      </c>
    </row>
    <row r="80" spans="1:4" x14ac:dyDescent="0.4">
      <c r="A80">
        <v>84</v>
      </c>
      <c r="B80" t="s">
        <v>35</v>
      </c>
      <c r="C80" t="s">
        <v>13</v>
      </c>
      <c r="D80" t="s">
        <v>127</v>
      </c>
    </row>
    <row r="81" spans="1:4" x14ac:dyDescent="0.4">
      <c r="A81">
        <v>85</v>
      </c>
      <c r="B81" t="s">
        <v>35</v>
      </c>
      <c r="C81" t="s">
        <v>14</v>
      </c>
      <c r="D81" t="s">
        <v>127</v>
      </c>
    </row>
    <row r="82" spans="1:4" x14ac:dyDescent="0.4">
      <c r="A82">
        <v>86</v>
      </c>
      <c r="B82" t="s">
        <v>35</v>
      </c>
      <c r="C82" t="s">
        <v>15</v>
      </c>
      <c r="D82" t="s">
        <v>127</v>
      </c>
    </row>
    <row r="83" spans="1:4" x14ac:dyDescent="0.4">
      <c r="A83">
        <v>87</v>
      </c>
      <c r="B83" t="s">
        <v>35</v>
      </c>
      <c r="C83" t="s">
        <v>16</v>
      </c>
      <c r="D83" t="s">
        <v>127</v>
      </c>
    </row>
    <row r="84" spans="1:4" x14ac:dyDescent="0.4">
      <c r="A84">
        <v>88</v>
      </c>
      <c r="B84" t="s">
        <v>35</v>
      </c>
      <c r="C84" t="s">
        <v>17</v>
      </c>
      <c r="D84" t="s">
        <v>127</v>
      </c>
    </row>
    <row r="85" spans="1:4" x14ac:dyDescent="0.4">
      <c r="A85">
        <v>89</v>
      </c>
      <c r="B85" t="s">
        <v>35</v>
      </c>
      <c r="C85" t="s">
        <v>18</v>
      </c>
      <c r="D85" t="s">
        <v>127</v>
      </c>
    </row>
    <row r="86" spans="1:4" x14ac:dyDescent="0.4">
      <c r="A86">
        <v>90</v>
      </c>
      <c r="B86" t="s">
        <v>35</v>
      </c>
      <c r="C86" t="s">
        <v>19</v>
      </c>
      <c r="D86" t="s">
        <v>127</v>
      </c>
    </row>
    <row r="87" spans="1:4" x14ac:dyDescent="0.4">
      <c r="A87">
        <v>91</v>
      </c>
      <c r="B87" t="s">
        <v>35</v>
      </c>
      <c r="C87" t="s">
        <v>20</v>
      </c>
      <c r="D87" t="s">
        <v>127</v>
      </c>
    </row>
    <row r="88" spans="1:4" x14ac:dyDescent="0.4">
      <c r="A88">
        <v>92</v>
      </c>
      <c r="B88" t="s">
        <v>35</v>
      </c>
      <c r="C88" t="s">
        <v>21</v>
      </c>
      <c r="D88" t="s">
        <v>127</v>
      </c>
    </row>
    <row r="89" spans="1:4" x14ac:dyDescent="0.4">
      <c r="A89">
        <v>93</v>
      </c>
      <c r="B89" t="s">
        <v>35</v>
      </c>
      <c r="C89" t="s">
        <v>22</v>
      </c>
      <c r="D89" t="s">
        <v>127</v>
      </c>
    </row>
    <row r="90" spans="1:4" x14ac:dyDescent="0.4">
      <c r="A90">
        <v>94</v>
      </c>
      <c r="B90" t="s">
        <v>37</v>
      </c>
      <c r="C90" t="s">
        <v>11</v>
      </c>
      <c r="D90" t="s">
        <v>128</v>
      </c>
    </row>
    <row r="91" spans="1:4" x14ac:dyDescent="0.4">
      <c r="A91">
        <v>95</v>
      </c>
      <c r="B91" t="s">
        <v>37</v>
      </c>
      <c r="C91" t="s">
        <v>13</v>
      </c>
      <c r="D91" t="s">
        <v>128</v>
      </c>
    </row>
    <row r="92" spans="1:4" x14ac:dyDescent="0.4">
      <c r="A92">
        <v>96</v>
      </c>
      <c r="B92" t="s">
        <v>37</v>
      </c>
      <c r="C92" t="s">
        <v>14</v>
      </c>
      <c r="D92" t="s">
        <v>128</v>
      </c>
    </row>
    <row r="93" spans="1:4" x14ac:dyDescent="0.4">
      <c r="A93">
        <v>97</v>
      </c>
      <c r="B93" t="s">
        <v>37</v>
      </c>
      <c r="C93" t="s">
        <v>15</v>
      </c>
      <c r="D93" t="s">
        <v>128</v>
      </c>
    </row>
    <row r="94" spans="1:4" x14ac:dyDescent="0.4">
      <c r="A94">
        <v>98</v>
      </c>
      <c r="B94" t="s">
        <v>37</v>
      </c>
      <c r="C94" t="s">
        <v>16</v>
      </c>
      <c r="D94" t="s">
        <v>128</v>
      </c>
    </row>
    <row r="95" spans="1:4" x14ac:dyDescent="0.4">
      <c r="A95">
        <v>99</v>
      </c>
      <c r="B95" t="s">
        <v>37</v>
      </c>
      <c r="C95" t="s">
        <v>17</v>
      </c>
      <c r="D95" t="s">
        <v>128</v>
      </c>
    </row>
    <row r="96" spans="1:4" x14ac:dyDescent="0.4">
      <c r="A96">
        <v>100</v>
      </c>
      <c r="B96" t="s">
        <v>37</v>
      </c>
      <c r="C96" t="s">
        <v>18</v>
      </c>
      <c r="D96" t="s">
        <v>128</v>
      </c>
    </row>
    <row r="97" spans="1:4" x14ac:dyDescent="0.4">
      <c r="A97">
        <v>101</v>
      </c>
      <c r="B97" t="s">
        <v>37</v>
      </c>
      <c r="C97" t="s">
        <v>19</v>
      </c>
      <c r="D97" t="s">
        <v>128</v>
      </c>
    </row>
    <row r="98" spans="1:4" x14ac:dyDescent="0.4">
      <c r="A98">
        <v>102</v>
      </c>
      <c r="B98" t="s">
        <v>37</v>
      </c>
      <c r="C98" t="s">
        <v>20</v>
      </c>
      <c r="D98" t="s">
        <v>128</v>
      </c>
    </row>
    <row r="99" spans="1:4" x14ac:dyDescent="0.4">
      <c r="A99">
        <v>103</v>
      </c>
      <c r="B99" t="s">
        <v>37</v>
      </c>
      <c r="C99" t="s">
        <v>21</v>
      </c>
      <c r="D99" t="s">
        <v>128</v>
      </c>
    </row>
    <row r="100" spans="1:4" x14ac:dyDescent="0.4">
      <c r="A100">
        <v>104</v>
      </c>
      <c r="B100" t="s">
        <v>37</v>
      </c>
      <c r="C100" t="s">
        <v>22</v>
      </c>
      <c r="D100" t="s">
        <v>128</v>
      </c>
    </row>
    <row r="101" spans="1:4" x14ac:dyDescent="0.4">
      <c r="A101">
        <v>105</v>
      </c>
      <c r="B101" t="s">
        <v>39</v>
      </c>
      <c r="C101" t="s">
        <v>11</v>
      </c>
      <c r="D101" t="s">
        <v>129</v>
      </c>
    </row>
    <row r="102" spans="1:4" x14ac:dyDescent="0.4">
      <c r="A102">
        <v>106</v>
      </c>
      <c r="B102" t="s">
        <v>39</v>
      </c>
      <c r="C102" t="s">
        <v>13</v>
      </c>
      <c r="D102" t="s">
        <v>129</v>
      </c>
    </row>
    <row r="103" spans="1:4" x14ac:dyDescent="0.4">
      <c r="A103">
        <v>107</v>
      </c>
      <c r="B103" t="s">
        <v>39</v>
      </c>
      <c r="C103" t="s">
        <v>14</v>
      </c>
      <c r="D103" t="s">
        <v>129</v>
      </c>
    </row>
    <row r="104" spans="1:4" x14ac:dyDescent="0.4">
      <c r="A104">
        <v>108</v>
      </c>
      <c r="B104" t="s">
        <v>39</v>
      </c>
      <c r="C104" t="s">
        <v>15</v>
      </c>
      <c r="D104" t="s">
        <v>129</v>
      </c>
    </row>
    <row r="105" spans="1:4" x14ac:dyDescent="0.4">
      <c r="A105">
        <v>109</v>
      </c>
      <c r="B105" t="s">
        <v>39</v>
      </c>
      <c r="C105" t="s">
        <v>16</v>
      </c>
      <c r="D105" t="s">
        <v>129</v>
      </c>
    </row>
    <row r="106" spans="1:4" x14ac:dyDescent="0.4">
      <c r="A106">
        <v>110</v>
      </c>
      <c r="B106" t="s">
        <v>39</v>
      </c>
      <c r="C106" t="s">
        <v>17</v>
      </c>
      <c r="D106" t="s">
        <v>129</v>
      </c>
    </row>
    <row r="107" spans="1:4" x14ac:dyDescent="0.4">
      <c r="A107">
        <v>111</v>
      </c>
      <c r="B107" t="s">
        <v>39</v>
      </c>
      <c r="C107" t="s">
        <v>18</v>
      </c>
      <c r="D107" t="s">
        <v>129</v>
      </c>
    </row>
    <row r="108" spans="1:4" x14ac:dyDescent="0.4">
      <c r="A108">
        <v>112</v>
      </c>
      <c r="B108" t="s">
        <v>39</v>
      </c>
      <c r="C108" t="s">
        <v>19</v>
      </c>
      <c r="D108" t="s">
        <v>129</v>
      </c>
    </row>
    <row r="109" spans="1:4" x14ac:dyDescent="0.4">
      <c r="A109">
        <v>113</v>
      </c>
      <c r="B109" t="s">
        <v>39</v>
      </c>
      <c r="C109" t="s">
        <v>20</v>
      </c>
      <c r="D109" t="s">
        <v>129</v>
      </c>
    </row>
    <row r="110" spans="1:4" x14ac:dyDescent="0.4">
      <c r="A110">
        <v>114</v>
      </c>
      <c r="B110" t="s">
        <v>39</v>
      </c>
      <c r="C110" t="s">
        <v>21</v>
      </c>
      <c r="D110" t="s">
        <v>129</v>
      </c>
    </row>
    <row r="111" spans="1:4" x14ac:dyDescent="0.4">
      <c r="A111">
        <v>115</v>
      </c>
      <c r="B111" t="s">
        <v>39</v>
      </c>
      <c r="C111" t="s">
        <v>22</v>
      </c>
      <c r="D111" t="s">
        <v>129</v>
      </c>
    </row>
    <row r="112" spans="1:4" x14ac:dyDescent="0.4">
      <c r="A112">
        <v>116</v>
      </c>
      <c r="B112" t="s">
        <v>41</v>
      </c>
      <c r="C112" t="s">
        <v>11</v>
      </c>
      <c r="D112" t="s">
        <v>130</v>
      </c>
    </row>
    <row r="113" spans="1:4" x14ac:dyDescent="0.4">
      <c r="A113">
        <v>117</v>
      </c>
      <c r="B113" t="s">
        <v>41</v>
      </c>
      <c r="C113" t="s">
        <v>13</v>
      </c>
      <c r="D113" t="s">
        <v>130</v>
      </c>
    </row>
    <row r="114" spans="1:4" x14ac:dyDescent="0.4">
      <c r="A114">
        <v>118</v>
      </c>
      <c r="B114" t="s">
        <v>41</v>
      </c>
      <c r="C114" t="s">
        <v>14</v>
      </c>
      <c r="D114" t="s">
        <v>130</v>
      </c>
    </row>
    <row r="115" spans="1:4" x14ac:dyDescent="0.4">
      <c r="A115">
        <v>119</v>
      </c>
      <c r="B115" t="s">
        <v>41</v>
      </c>
      <c r="C115" t="s">
        <v>15</v>
      </c>
      <c r="D115" t="s">
        <v>130</v>
      </c>
    </row>
    <row r="116" spans="1:4" x14ac:dyDescent="0.4">
      <c r="A116">
        <v>120</v>
      </c>
      <c r="B116" t="s">
        <v>41</v>
      </c>
      <c r="C116" t="s">
        <v>16</v>
      </c>
      <c r="D116" t="s">
        <v>130</v>
      </c>
    </row>
    <row r="117" spans="1:4" x14ac:dyDescent="0.4">
      <c r="A117">
        <v>121</v>
      </c>
      <c r="B117" t="s">
        <v>41</v>
      </c>
      <c r="C117" t="s">
        <v>17</v>
      </c>
      <c r="D117" t="s">
        <v>130</v>
      </c>
    </row>
    <row r="118" spans="1:4" x14ac:dyDescent="0.4">
      <c r="A118">
        <v>122</v>
      </c>
      <c r="B118" t="s">
        <v>41</v>
      </c>
      <c r="C118" t="s">
        <v>18</v>
      </c>
      <c r="D118" t="s">
        <v>130</v>
      </c>
    </row>
    <row r="119" spans="1:4" x14ac:dyDescent="0.4">
      <c r="A119">
        <v>123</v>
      </c>
      <c r="B119" t="s">
        <v>41</v>
      </c>
      <c r="C119" t="s">
        <v>19</v>
      </c>
      <c r="D119" t="s">
        <v>130</v>
      </c>
    </row>
    <row r="120" spans="1:4" x14ac:dyDescent="0.4">
      <c r="A120">
        <v>124</v>
      </c>
      <c r="B120" t="s">
        <v>41</v>
      </c>
      <c r="C120" t="s">
        <v>20</v>
      </c>
      <c r="D120" t="s">
        <v>130</v>
      </c>
    </row>
    <row r="121" spans="1:4" x14ac:dyDescent="0.4">
      <c r="A121">
        <v>125</v>
      </c>
      <c r="B121" t="s">
        <v>41</v>
      </c>
      <c r="C121" t="s">
        <v>21</v>
      </c>
      <c r="D121" t="s">
        <v>130</v>
      </c>
    </row>
    <row r="122" spans="1:4" x14ac:dyDescent="0.4">
      <c r="A122">
        <v>126</v>
      </c>
      <c r="B122" t="s">
        <v>41</v>
      </c>
      <c r="C122" t="s">
        <v>22</v>
      </c>
      <c r="D122" t="s">
        <v>130</v>
      </c>
    </row>
    <row r="123" spans="1:4" x14ac:dyDescent="0.4">
      <c r="A123">
        <v>127</v>
      </c>
      <c r="B123" t="s">
        <v>43</v>
      </c>
      <c r="C123" t="s">
        <v>11</v>
      </c>
      <c r="D123" t="s">
        <v>131</v>
      </c>
    </row>
    <row r="124" spans="1:4" x14ac:dyDescent="0.4">
      <c r="A124">
        <v>128</v>
      </c>
      <c r="B124" t="s">
        <v>43</v>
      </c>
      <c r="C124" t="s">
        <v>13</v>
      </c>
      <c r="D124" t="s">
        <v>131</v>
      </c>
    </row>
    <row r="125" spans="1:4" x14ac:dyDescent="0.4">
      <c r="A125">
        <v>129</v>
      </c>
      <c r="B125" t="s">
        <v>43</v>
      </c>
      <c r="C125" t="s">
        <v>14</v>
      </c>
      <c r="D125" t="s">
        <v>131</v>
      </c>
    </row>
    <row r="126" spans="1:4" x14ac:dyDescent="0.4">
      <c r="A126">
        <v>130</v>
      </c>
      <c r="B126" t="s">
        <v>43</v>
      </c>
      <c r="C126" t="s">
        <v>15</v>
      </c>
      <c r="D126" t="s">
        <v>131</v>
      </c>
    </row>
    <row r="127" spans="1:4" x14ac:dyDescent="0.4">
      <c r="A127">
        <v>131</v>
      </c>
      <c r="B127" t="s">
        <v>43</v>
      </c>
      <c r="C127" t="s">
        <v>16</v>
      </c>
      <c r="D127" t="s">
        <v>131</v>
      </c>
    </row>
    <row r="128" spans="1:4" x14ac:dyDescent="0.4">
      <c r="A128">
        <v>132</v>
      </c>
      <c r="B128" t="s">
        <v>43</v>
      </c>
      <c r="C128" t="s">
        <v>17</v>
      </c>
      <c r="D128" t="s">
        <v>131</v>
      </c>
    </row>
    <row r="129" spans="1:4" x14ac:dyDescent="0.4">
      <c r="A129">
        <v>133</v>
      </c>
      <c r="B129" t="s">
        <v>43</v>
      </c>
      <c r="C129" t="s">
        <v>18</v>
      </c>
      <c r="D129" t="s">
        <v>131</v>
      </c>
    </row>
    <row r="130" spans="1:4" x14ac:dyDescent="0.4">
      <c r="A130">
        <v>134</v>
      </c>
      <c r="B130" t="s">
        <v>43</v>
      </c>
      <c r="C130" t="s">
        <v>19</v>
      </c>
      <c r="D130" t="s">
        <v>131</v>
      </c>
    </row>
    <row r="131" spans="1:4" x14ac:dyDescent="0.4">
      <c r="A131">
        <v>135</v>
      </c>
      <c r="B131" t="s">
        <v>43</v>
      </c>
      <c r="C131" t="s">
        <v>20</v>
      </c>
      <c r="D131" t="s">
        <v>131</v>
      </c>
    </row>
    <row r="132" spans="1:4" x14ac:dyDescent="0.4">
      <c r="A132">
        <v>136</v>
      </c>
      <c r="B132" t="s">
        <v>43</v>
      </c>
      <c r="C132" t="s">
        <v>21</v>
      </c>
      <c r="D132" t="s">
        <v>131</v>
      </c>
    </row>
    <row r="133" spans="1:4" x14ac:dyDescent="0.4">
      <c r="A133">
        <v>137</v>
      </c>
      <c r="B133" t="s">
        <v>43</v>
      </c>
      <c r="C133" t="s">
        <v>22</v>
      </c>
      <c r="D133" t="s">
        <v>131</v>
      </c>
    </row>
    <row r="134" spans="1:4" x14ac:dyDescent="0.4">
      <c r="A134">
        <v>139</v>
      </c>
      <c r="B134" t="s">
        <v>10</v>
      </c>
      <c r="C134" t="s">
        <v>46</v>
      </c>
      <c r="D134" t="s">
        <v>120</v>
      </c>
    </row>
    <row r="135" spans="1:4" x14ac:dyDescent="0.4">
      <c r="A135">
        <v>140</v>
      </c>
      <c r="B135" t="s">
        <v>10</v>
      </c>
      <c r="C135" t="s">
        <v>47</v>
      </c>
      <c r="D135" t="s">
        <v>120</v>
      </c>
    </row>
    <row r="136" spans="1:4" x14ac:dyDescent="0.4">
      <c r="A136">
        <v>141</v>
      </c>
      <c r="B136" t="s">
        <v>10</v>
      </c>
      <c r="C136" t="s">
        <v>48</v>
      </c>
      <c r="D136" t="s">
        <v>120</v>
      </c>
    </row>
    <row r="137" spans="1:4" x14ac:dyDescent="0.4">
      <c r="A137">
        <v>142</v>
      </c>
      <c r="B137" t="s">
        <v>10</v>
      </c>
      <c r="C137" t="s">
        <v>49</v>
      </c>
      <c r="D137" t="s">
        <v>120</v>
      </c>
    </row>
    <row r="138" spans="1:4" x14ac:dyDescent="0.4">
      <c r="A138">
        <v>143</v>
      </c>
      <c r="B138" t="s">
        <v>10</v>
      </c>
      <c r="C138" t="s">
        <v>50</v>
      </c>
      <c r="D138" t="s">
        <v>120</v>
      </c>
    </row>
    <row r="139" spans="1:4" x14ac:dyDescent="0.4">
      <c r="A139">
        <v>144</v>
      </c>
      <c r="B139" t="s">
        <v>10</v>
      </c>
      <c r="C139" t="s">
        <v>51</v>
      </c>
      <c r="D139" t="s">
        <v>120</v>
      </c>
    </row>
    <row r="140" spans="1:4" x14ac:dyDescent="0.4">
      <c r="A140">
        <v>145</v>
      </c>
      <c r="B140" t="s">
        <v>10</v>
      </c>
      <c r="C140" t="s">
        <v>52</v>
      </c>
      <c r="D140" t="s">
        <v>120</v>
      </c>
    </row>
    <row r="141" spans="1:4" x14ac:dyDescent="0.4">
      <c r="A141">
        <v>146</v>
      </c>
      <c r="B141" t="s">
        <v>10</v>
      </c>
      <c r="C141" t="s">
        <v>53</v>
      </c>
      <c r="D141" t="s">
        <v>120</v>
      </c>
    </row>
    <row r="142" spans="1:4" x14ac:dyDescent="0.4">
      <c r="A142">
        <v>147</v>
      </c>
      <c r="B142" t="s">
        <v>23</v>
      </c>
      <c r="C142" t="s">
        <v>46</v>
      </c>
      <c r="D142" t="s">
        <v>121</v>
      </c>
    </row>
    <row r="143" spans="1:4" x14ac:dyDescent="0.4">
      <c r="A143">
        <v>148</v>
      </c>
      <c r="B143" t="s">
        <v>23</v>
      </c>
      <c r="C143" t="s">
        <v>47</v>
      </c>
      <c r="D143" t="s">
        <v>121</v>
      </c>
    </row>
    <row r="144" spans="1:4" x14ac:dyDescent="0.4">
      <c r="A144">
        <v>149</v>
      </c>
      <c r="B144" t="s">
        <v>23</v>
      </c>
      <c r="C144" t="s">
        <v>48</v>
      </c>
      <c r="D144" t="s">
        <v>121</v>
      </c>
    </row>
    <row r="145" spans="1:4" x14ac:dyDescent="0.4">
      <c r="A145">
        <v>150</v>
      </c>
      <c r="B145" t="s">
        <v>23</v>
      </c>
      <c r="C145" t="s">
        <v>49</v>
      </c>
      <c r="D145" t="s">
        <v>121</v>
      </c>
    </row>
    <row r="146" spans="1:4" x14ac:dyDescent="0.4">
      <c r="A146">
        <v>151</v>
      </c>
      <c r="B146" t="s">
        <v>23</v>
      </c>
      <c r="C146" t="s">
        <v>50</v>
      </c>
      <c r="D146" t="s">
        <v>121</v>
      </c>
    </row>
    <row r="147" spans="1:4" x14ac:dyDescent="0.4">
      <c r="A147">
        <v>152</v>
      </c>
      <c r="B147" t="s">
        <v>23</v>
      </c>
      <c r="C147" t="s">
        <v>51</v>
      </c>
      <c r="D147" t="s">
        <v>121</v>
      </c>
    </row>
    <row r="148" spans="1:4" x14ac:dyDescent="0.4">
      <c r="A148">
        <v>153</v>
      </c>
      <c r="B148" t="s">
        <v>23</v>
      </c>
      <c r="C148" t="s">
        <v>52</v>
      </c>
      <c r="D148" t="s">
        <v>121</v>
      </c>
    </row>
    <row r="149" spans="1:4" x14ac:dyDescent="0.4">
      <c r="A149">
        <v>154</v>
      </c>
      <c r="B149" t="s">
        <v>23</v>
      </c>
      <c r="C149" t="s">
        <v>53</v>
      </c>
      <c r="D149" t="s">
        <v>121</v>
      </c>
    </row>
    <row r="150" spans="1:4" x14ac:dyDescent="0.4">
      <c r="A150">
        <v>155</v>
      </c>
      <c r="B150" t="s">
        <v>25</v>
      </c>
      <c r="C150" t="s">
        <v>46</v>
      </c>
      <c r="D150" t="s">
        <v>122</v>
      </c>
    </row>
    <row r="151" spans="1:4" x14ac:dyDescent="0.4">
      <c r="A151">
        <v>156</v>
      </c>
      <c r="B151" t="s">
        <v>25</v>
      </c>
      <c r="C151" t="s">
        <v>47</v>
      </c>
      <c r="D151" t="s">
        <v>122</v>
      </c>
    </row>
    <row r="152" spans="1:4" x14ac:dyDescent="0.4">
      <c r="A152">
        <v>157</v>
      </c>
      <c r="B152" t="s">
        <v>25</v>
      </c>
      <c r="C152" t="s">
        <v>48</v>
      </c>
      <c r="D152" t="s">
        <v>122</v>
      </c>
    </row>
    <row r="153" spans="1:4" x14ac:dyDescent="0.4">
      <c r="A153">
        <v>158</v>
      </c>
      <c r="B153" t="s">
        <v>25</v>
      </c>
      <c r="C153" t="s">
        <v>49</v>
      </c>
      <c r="D153" t="s">
        <v>122</v>
      </c>
    </row>
    <row r="154" spans="1:4" x14ac:dyDescent="0.4">
      <c r="A154">
        <v>159</v>
      </c>
      <c r="B154" t="s">
        <v>25</v>
      </c>
      <c r="C154" t="s">
        <v>50</v>
      </c>
      <c r="D154" t="s">
        <v>122</v>
      </c>
    </row>
    <row r="155" spans="1:4" x14ac:dyDescent="0.4">
      <c r="A155">
        <v>160</v>
      </c>
      <c r="B155" t="s">
        <v>25</v>
      </c>
      <c r="C155" t="s">
        <v>51</v>
      </c>
      <c r="D155" t="s">
        <v>122</v>
      </c>
    </row>
    <row r="156" spans="1:4" x14ac:dyDescent="0.4">
      <c r="A156">
        <v>161</v>
      </c>
      <c r="B156" t="s">
        <v>25</v>
      </c>
      <c r="C156" t="s">
        <v>52</v>
      </c>
      <c r="D156" t="s">
        <v>122</v>
      </c>
    </row>
    <row r="157" spans="1:4" x14ac:dyDescent="0.4">
      <c r="A157">
        <v>162</v>
      </c>
      <c r="B157" t="s">
        <v>25</v>
      </c>
      <c r="C157" t="s">
        <v>53</v>
      </c>
      <c r="D157" t="s">
        <v>122</v>
      </c>
    </row>
    <row r="158" spans="1:4" x14ac:dyDescent="0.4">
      <c r="A158">
        <v>163</v>
      </c>
      <c r="B158" t="s">
        <v>27</v>
      </c>
      <c r="C158" t="s">
        <v>46</v>
      </c>
      <c r="D158" t="s">
        <v>123</v>
      </c>
    </row>
    <row r="159" spans="1:4" x14ac:dyDescent="0.4">
      <c r="A159">
        <v>164</v>
      </c>
      <c r="B159" t="s">
        <v>27</v>
      </c>
      <c r="C159" t="s">
        <v>47</v>
      </c>
      <c r="D159" t="s">
        <v>123</v>
      </c>
    </row>
    <row r="160" spans="1:4" x14ac:dyDescent="0.4">
      <c r="A160">
        <v>165</v>
      </c>
      <c r="B160" t="s">
        <v>27</v>
      </c>
      <c r="C160" t="s">
        <v>48</v>
      </c>
      <c r="D160" t="s">
        <v>123</v>
      </c>
    </row>
    <row r="161" spans="1:4" x14ac:dyDescent="0.4">
      <c r="A161">
        <v>166</v>
      </c>
      <c r="B161" t="s">
        <v>27</v>
      </c>
      <c r="C161" t="s">
        <v>49</v>
      </c>
      <c r="D161" t="s">
        <v>123</v>
      </c>
    </row>
    <row r="162" spans="1:4" x14ac:dyDescent="0.4">
      <c r="A162">
        <v>167</v>
      </c>
      <c r="B162" t="s">
        <v>27</v>
      </c>
      <c r="C162" t="s">
        <v>50</v>
      </c>
      <c r="D162" t="s">
        <v>123</v>
      </c>
    </row>
    <row r="163" spans="1:4" x14ac:dyDescent="0.4">
      <c r="A163">
        <v>168</v>
      </c>
      <c r="B163" t="s">
        <v>27</v>
      </c>
      <c r="C163" t="s">
        <v>51</v>
      </c>
      <c r="D163" t="s">
        <v>123</v>
      </c>
    </row>
    <row r="164" spans="1:4" x14ac:dyDescent="0.4">
      <c r="A164">
        <v>169</v>
      </c>
      <c r="B164" t="s">
        <v>27</v>
      </c>
      <c r="C164" t="s">
        <v>52</v>
      </c>
      <c r="D164" t="s">
        <v>123</v>
      </c>
    </row>
    <row r="165" spans="1:4" x14ac:dyDescent="0.4">
      <c r="A165">
        <v>170</v>
      </c>
      <c r="B165" t="s">
        <v>27</v>
      </c>
      <c r="C165" t="s">
        <v>53</v>
      </c>
      <c r="D165" t="s">
        <v>123</v>
      </c>
    </row>
    <row r="166" spans="1:4" x14ac:dyDescent="0.4">
      <c r="A166">
        <v>171</v>
      </c>
      <c r="B166" t="s">
        <v>29</v>
      </c>
      <c r="C166" t="s">
        <v>46</v>
      </c>
      <c r="D166" t="s">
        <v>124</v>
      </c>
    </row>
    <row r="167" spans="1:4" x14ac:dyDescent="0.4">
      <c r="A167">
        <v>172</v>
      </c>
      <c r="B167" t="s">
        <v>29</v>
      </c>
      <c r="C167" t="s">
        <v>47</v>
      </c>
      <c r="D167" t="s">
        <v>124</v>
      </c>
    </row>
    <row r="168" spans="1:4" x14ac:dyDescent="0.4">
      <c r="A168">
        <v>173</v>
      </c>
      <c r="B168" t="s">
        <v>29</v>
      </c>
      <c r="C168" t="s">
        <v>48</v>
      </c>
      <c r="D168" t="s">
        <v>124</v>
      </c>
    </row>
    <row r="169" spans="1:4" x14ac:dyDescent="0.4">
      <c r="A169">
        <v>174</v>
      </c>
      <c r="B169" t="s">
        <v>29</v>
      </c>
      <c r="C169" t="s">
        <v>49</v>
      </c>
      <c r="D169" t="s">
        <v>124</v>
      </c>
    </row>
    <row r="170" spans="1:4" x14ac:dyDescent="0.4">
      <c r="A170">
        <v>175</v>
      </c>
      <c r="B170" t="s">
        <v>29</v>
      </c>
      <c r="C170" t="s">
        <v>50</v>
      </c>
      <c r="D170" t="s">
        <v>124</v>
      </c>
    </row>
    <row r="171" spans="1:4" x14ac:dyDescent="0.4">
      <c r="A171">
        <v>176</v>
      </c>
      <c r="B171" t="s">
        <v>29</v>
      </c>
      <c r="C171" t="s">
        <v>51</v>
      </c>
      <c r="D171" t="s">
        <v>124</v>
      </c>
    </row>
    <row r="172" spans="1:4" x14ac:dyDescent="0.4">
      <c r="A172">
        <v>177</v>
      </c>
      <c r="B172" t="s">
        <v>29</v>
      </c>
      <c r="C172" t="s">
        <v>52</v>
      </c>
      <c r="D172" t="s">
        <v>124</v>
      </c>
    </row>
    <row r="173" spans="1:4" x14ac:dyDescent="0.4">
      <c r="A173">
        <v>178</v>
      </c>
      <c r="B173" t="s">
        <v>29</v>
      </c>
      <c r="C173" t="s">
        <v>53</v>
      </c>
      <c r="D173" t="s">
        <v>124</v>
      </c>
    </row>
    <row r="174" spans="1:4" x14ac:dyDescent="0.4">
      <c r="A174">
        <v>179</v>
      </c>
      <c r="B174" t="s">
        <v>31</v>
      </c>
      <c r="C174" t="s">
        <v>46</v>
      </c>
      <c r="D174" t="s">
        <v>125</v>
      </c>
    </row>
    <row r="175" spans="1:4" x14ac:dyDescent="0.4">
      <c r="A175">
        <v>180</v>
      </c>
      <c r="B175" t="s">
        <v>31</v>
      </c>
      <c r="C175" t="s">
        <v>47</v>
      </c>
      <c r="D175" t="s">
        <v>125</v>
      </c>
    </row>
    <row r="176" spans="1:4" x14ac:dyDescent="0.4">
      <c r="A176">
        <v>181</v>
      </c>
      <c r="B176" t="s">
        <v>31</v>
      </c>
      <c r="C176" t="s">
        <v>48</v>
      </c>
      <c r="D176" t="s">
        <v>125</v>
      </c>
    </row>
    <row r="177" spans="1:4" x14ac:dyDescent="0.4">
      <c r="A177">
        <v>182</v>
      </c>
      <c r="B177" t="s">
        <v>31</v>
      </c>
      <c r="C177" t="s">
        <v>49</v>
      </c>
      <c r="D177" t="s">
        <v>125</v>
      </c>
    </row>
    <row r="178" spans="1:4" x14ac:dyDescent="0.4">
      <c r="A178">
        <v>183</v>
      </c>
      <c r="B178" t="s">
        <v>31</v>
      </c>
      <c r="C178" t="s">
        <v>50</v>
      </c>
      <c r="D178" t="s">
        <v>125</v>
      </c>
    </row>
    <row r="179" spans="1:4" x14ac:dyDescent="0.4">
      <c r="A179">
        <v>184</v>
      </c>
      <c r="B179" t="s">
        <v>31</v>
      </c>
      <c r="C179" t="s">
        <v>51</v>
      </c>
      <c r="D179" t="s">
        <v>125</v>
      </c>
    </row>
    <row r="180" spans="1:4" x14ac:dyDescent="0.4">
      <c r="A180">
        <v>185</v>
      </c>
      <c r="B180" t="s">
        <v>31</v>
      </c>
      <c r="C180" t="s">
        <v>52</v>
      </c>
      <c r="D180" t="s">
        <v>125</v>
      </c>
    </row>
    <row r="181" spans="1:4" x14ac:dyDescent="0.4">
      <c r="A181">
        <v>186</v>
      </c>
      <c r="B181" t="s">
        <v>31</v>
      </c>
      <c r="C181" t="s">
        <v>53</v>
      </c>
      <c r="D181" t="s">
        <v>125</v>
      </c>
    </row>
    <row r="182" spans="1:4" x14ac:dyDescent="0.4">
      <c r="A182">
        <v>187</v>
      </c>
      <c r="B182" t="s">
        <v>33</v>
      </c>
      <c r="C182" t="s">
        <v>46</v>
      </c>
      <c r="D182" t="s">
        <v>126</v>
      </c>
    </row>
    <row r="183" spans="1:4" x14ac:dyDescent="0.4">
      <c r="A183">
        <v>188</v>
      </c>
      <c r="B183" t="s">
        <v>33</v>
      </c>
      <c r="C183" t="s">
        <v>47</v>
      </c>
      <c r="D183" t="s">
        <v>126</v>
      </c>
    </row>
    <row r="184" spans="1:4" x14ac:dyDescent="0.4">
      <c r="A184">
        <v>189</v>
      </c>
      <c r="B184" t="s">
        <v>33</v>
      </c>
      <c r="C184" t="s">
        <v>48</v>
      </c>
      <c r="D184" t="s">
        <v>126</v>
      </c>
    </row>
    <row r="185" spans="1:4" x14ac:dyDescent="0.4">
      <c r="A185">
        <v>190</v>
      </c>
      <c r="B185" t="s">
        <v>33</v>
      </c>
      <c r="C185" t="s">
        <v>49</v>
      </c>
      <c r="D185" t="s">
        <v>126</v>
      </c>
    </row>
    <row r="186" spans="1:4" x14ac:dyDescent="0.4">
      <c r="A186">
        <v>191</v>
      </c>
      <c r="B186" t="s">
        <v>33</v>
      </c>
      <c r="C186" t="s">
        <v>50</v>
      </c>
      <c r="D186" t="s">
        <v>126</v>
      </c>
    </row>
    <row r="187" spans="1:4" x14ac:dyDescent="0.4">
      <c r="A187">
        <v>192</v>
      </c>
      <c r="B187" t="s">
        <v>33</v>
      </c>
      <c r="C187" t="s">
        <v>51</v>
      </c>
      <c r="D187" t="s">
        <v>126</v>
      </c>
    </row>
    <row r="188" spans="1:4" x14ac:dyDescent="0.4">
      <c r="A188">
        <v>193</v>
      </c>
      <c r="B188" t="s">
        <v>33</v>
      </c>
      <c r="C188" t="s">
        <v>52</v>
      </c>
      <c r="D188" t="s">
        <v>126</v>
      </c>
    </row>
    <row r="189" spans="1:4" x14ac:dyDescent="0.4">
      <c r="A189">
        <v>194</v>
      </c>
      <c r="B189" t="s">
        <v>33</v>
      </c>
      <c r="C189" t="s">
        <v>53</v>
      </c>
      <c r="D189" t="s">
        <v>126</v>
      </c>
    </row>
    <row r="190" spans="1:4" x14ac:dyDescent="0.4">
      <c r="A190">
        <v>195</v>
      </c>
      <c r="B190" t="s">
        <v>35</v>
      </c>
      <c r="C190" t="s">
        <v>46</v>
      </c>
      <c r="D190" t="s">
        <v>127</v>
      </c>
    </row>
    <row r="191" spans="1:4" x14ac:dyDescent="0.4">
      <c r="A191">
        <v>196</v>
      </c>
      <c r="B191" t="s">
        <v>35</v>
      </c>
      <c r="C191" t="s">
        <v>47</v>
      </c>
      <c r="D191" t="s">
        <v>127</v>
      </c>
    </row>
    <row r="192" spans="1:4" x14ac:dyDescent="0.4">
      <c r="A192">
        <v>197</v>
      </c>
      <c r="B192" t="s">
        <v>35</v>
      </c>
      <c r="C192" t="s">
        <v>48</v>
      </c>
      <c r="D192" t="s">
        <v>127</v>
      </c>
    </row>
    <row r="193" spans="1:4" x14ac:dyDescent="0.4">
      <c r="A193">
        <v>198</v>
      </c>
      <c r="B193" t="s">
        <v>35</v>
      </c>
      <c r="C193" t="s">
        <v>49</v>
      </c>
      <c r="D193" t="s">
        <v>127</v>
      </c>
    </row>
    <row r="194" spans="1:4" x14ac:dyDescent="0.4">
      <c r="A194">
        <v>199</v>
      </c>
      <c r="B194" t="s">
        <v>35</v>
      </c>
      <c r="C194" t="s">
        <v>50</v>
      </c>
      <c r="D194" t="s">
        <v>127</v>
      </c>
    </row>
    <row r="195" spans="1:4" x14ac:dyDescent="0.4">
      <c r="A195">
        <v>200</v>
      </c>
      <c r="B195" t="s">
        <v>35</v>
      </c>
      <c r="C195" t="s">
        <v>51</v>
      </c>
      <c r="D195" t="s">
        <v>127</v>
      </c>
    </row>
    <row r="196" spans="1:4" x14ac:dyDescent="0.4">
      <c r="A196">
        <v>201</v>
      </c>
      <c r="B196" t="s">
        <v>35</v>
      </c>
      <c r="C196" t="s">
        <v>52</v>
      </c>
      <c r="D196" t="s">
        <v>127</v>
      </c>
    </row>
    <row r="197" spans="1:4" x14ac:dyDescent="0.4">
      <c r="A197">
        <v>202</v>
      </c>
      <c r="B197" t="s">
        <v>35</v>
      </c>
      <c r="C197" t="s">
        <v>53</v>
      </c>
      <c r="D197" t="s">
        <v>127</v>
      </c>
    </row>
    <row r="198" spans="1:4" x14ac:dyDescent="0.4">
      <c r="A198">
        <v>203</v>
      </c>
      <c r="B198" t="s">
        <v>37</v>
      </c>
      <c r="C198" t="s">
        <v>46</v>
      </c>
      <c r="D198" t="s">
        <v>128</v>
      </c>
    </row>
    <row r="199" spans="1:4" x14ac:dyDescent="0.4">
      <c r="A199">
        <v>204</v>
      </c>
      <c r="B199" t="s">
        <v>37</v>
      </c>
      <c r="C199" t="s">
        <v>47</v>
      </c>
      <c r="D199" t="s">
        <v>128</v>
      </c>
    </row>
    <row r="200" spans="1:4" x14ac:dyDescent="0.4">
      <c r="A200">
        <v>205</v>
      </c>
      <c r="B200" t="s">
        <v>37</v>
      </c>
      <c r="C200" t="s">
        <v>48</v>
      </c>
      <c r="D200" t="s">
        <v>128</v>
      </c>
    </row>
    <row r="201" spans="1:4" x14ac:dyDescent="0.4">
      <c r="A201">
        <v>206</v>
      </c>
      <c r="B201" t="s">
        <v>37</v>
      </c>
      <c r="C201" t="s">
        <v>49</v>
      </c>
      <c r="D201" t="s">
        <v>128</v>
      </c>
    </row>
    <row r="202" spans="1:4" x14ac:dyDescent="0.4">
      <c r="A202">
        <v>207</v>
      </c>
      <c r="B202" t="s">
        <v>37</v>
      </c>
      <c r="C202" t="s">
        <v>50</v>
      </c>
      <c r="D202" t="s">
        <v>128</v>
      </c>
    </row>
    <row r="203" spans="1:4" x14ac:dyDescent="0.4">
      <c r="A203">
        <v>208</v>
      </c>
      <c r="B203" t="s">
        <v>37</v>
      </c>
      <c r="C203" t="s">
        <v>51</v>
      </c>
      <c r="D203" t="s">
        <v>128</v>
      </c>
    </row>
    <row r="204" spans="1:4" x14ac:dyDescent="0.4">
      <c r="A204">
        <v>209</v>
      </c>
      <c r="B204" t="s">
        <v>37</v>
      </c>
      <c r="C204" t="s">
        <v>52</v>
      </c>
      <c r="D204" t="s">
        <v>128</v>
      </c>
    </row>
    <row r="205" spans="1:4" x14ac:dyDescent="0.4">
      <c r="A205">
        <v>210</v>
      </c>
      <c r="B205" t="s">
        <v>37</v>
      </c>
      <c r="C205" t="s">
        <v>53</v>
      </c>
      <c r="D205" t="s">
        <v>128</v>
      </c>
    </row>
    <row r="206" spans="1:4" x14ac:dyDescent="0.4">
      <c r="A206">
        <v>211</v>
      </c>
      <c r="B206" t="s">
        <v>39</v>
      </c>
      <c r="C206" t="s">
        <v>46</v>
      </c>
      <c r="D206" t="s">
        <v>129</v>
      </c>
    </row>
    <row r="207" spans="1:4" x14ac:dyDescent="0.4">
      <c r="A207">
        <v>212</v>
      </c>
      <c r="B207" t="s">
        <v>39</v>
      </c>
      <c r="C207" t="s">
        <v>47</v>
      </c>
      <c r="D207" t="s">
        <v>129</v>
      </c>
    </row>
    <row r="208" spans="1:4" x14ac:dyDescent="0.4">
      <c r="A208">
        <v>213</v>
      </c>
      <c r="B208" t="s">
        <v>39</v>
      </c>
      <c r="C208" t="s">
        <v>48</v>
      </c>
      <c r="D208" t="s">
        <v>129</v>
      </c>
    </row>
    <row r="209" spans="1:4" x14ac:dyDescent="0.4">
      <c r="A209">
        <v>214</v>
      </c>
      <c r="B209" t="s">
        <v>39</v>
      </c>
      <c r="C209" t="s">
        <v>49</v>
      </c>
      <c r="D209" t="s">
        <v>129</v>
      </c>
    </row>
    <row r="210" spans="1:4" x14ac:dyDescent="0.4">
      <c r="A210">
        <v>215</v>
      </c>
      <c r="B210" t="s">
        <v>39</v>
      </c>
      <c r="C210" t="s">
        <v>50</v>
      </c>
      <c r="D210" t="s">
        <v>129</v>
      </c>
    </row>
    <row r="211" spans="1:4" x14ac:dyDescent="0.4">
      <c r="A211">
        <v>216</v>
      </c>
      <c r="B211" t="s">
        <v>39</v>
      </c>
      <c r="C211" t="s">
        <v>51</v>
      </c>
      <c r="D211" t="s">
        <v>129</v>
      </c>
    </row>
    <row r="212" spans="1:4" x14ac:dyDescent="0.4">
      <c r="A212">
        <v>217</v>
      </c>
      <c r="B212" t="s">
        <v>39</v>
      </c>
      <c r="C212" t="s">
        <v>52</v>
      </c>
      <c r="D212" t="s">
        <v>129</v>
      </c>
    </row>
    <row r="213" spans="1:4" x14ac:dyDescent="0.4">
      <c r="A213">
        <v>218</v>
      </c>
      <c r="B213" t="s">
        <v>39</v>
      </c>
      <c r="C213" t="s">
        <v>53</v>
      </c>
      <c r="D213" t="s">
        <v>129</v>
      </c>
    </row>
    <row r="214" spans="1:4" x14ac:dyDescent="0.4">
      <c r="A214">
        <v>219</v>
      </c>
      <c r="B214" t="s">
        <v>41</v>
      </c>
      <c r="C214" t="s">
        <v>46</v>
      </c>
      <c r="D214" t="s">
        <v>130</v>
      </c>
    </row>
    <row r="215" spans="1:4" x14ac:dyDescent="0.4">
      <c r="A215">
        <v>220</v>
      </c>
      <c r="B215" t="s">
        <v>41</v>
      </c>
      <c r="C215" t="s">
        <v>47</v>
      </c>
      <c r="D215" t="s">
        <v>130</v>
      </c>
    </row>
    <row r="216" spans="1:4" x14ac:dyDescent="0.4">
      <c r="A216">
        <v>221</v>
      </c>
      <c r="B216" t="s">
        <v>41</v>
      </c>
      <c r="C216" t="s">
        <v>48</v>
      </c>
      <c r="D216" t="s">
        <v>130</v>
      </c>
    </row>
    <row r="217" spans="1:4" x14ac:dyDescent="0.4">
      <c r="A217">
        <v>222</v>
      </c>
      <c r="B217" t="s">
        <v>41</v>
      </c>
      <c r="C217" t="s">
        <v>49</v>
      </c>
      <c r="D217" t="s">
        <v>130</v>
      </c>
    </row>
    <row r="218" spans="1:4" x14ac:dyDescent="0.4">
      <c r="A218">
        <v>223</v>
      </c>
      <c r="B218" t="s">
        <v>41</v>
      </c>
      <c r="C218" t="s">
        <v>50</v>
      </c>
      <c r="D218" t="s">
        <v>130</v>
      </c>
    </row>
    <row r="219" spans="1:4" x14ac:dyDescent="0.4">
      <c r="A219">
        <v>224</v>
      </c>
      <c r="B219" t="s">
        <v>41</v>
      </c>
      <c r="C219" t="s">
        <v>51</v>
      </c>
      <c r="D219" t="s">
        <v>130</v>
      </c>
    </row>
    <row r="220" spans="1:4" x14ac:dyDescent="0.4">
      <c r="A220">
        <v>225</v>
      </c>
      <c r="B220" t="s">
        <v>41</v>
      </c>
      <c r="C220" t="s">
        <v>52</v>
      </c>
      <c r="D220" t="s">
        <v>130</v>
      </c>
    </row>
    <row r="221" spans="1:4" x14ac:dyDescent="0.4">
      <c r="A221">
        <v>226</v>
      </c>
      <c r="B221" t="s">
        <v>41</v>
      </c>
      <c r="C221" t="s">
        <v>53</v>
      </c>
      <c r="D221" t="s">
        <v>130</v>
      </c>
    </row>
    <row r="222" spans="1:4" x14ac:dyDescent="0.4">
      <c r="A222">
        <v>227</v>
      </c>
      <c r="B222" t="s">
        <v>43</v>
      </c>
      <c r="C222" t="s">
        <v>46</v>
      </c>
      <c r="D222" t="s">
        <v>131</v>
      </c>
    </row>
    <row r="223" spans="1:4" x14ac:dyDescent="0.4">
      <c r="A223">
        <v>228</v>
      </c>
      <c r="B223" t="s">
        <v>43</v>
      </c>
      <c r="C223" t="s">
        <v>47</v>
      </c>
      <c r="D223" t="s">
        <v>131</v>
      </c>
    </row>
    <row r="224" spans="1:4" x14ac:dyDescent="0.4">
      <c r="A224">
        <v>229</v>
      </c>
      <c r="B224" t="s">
        <v>43</v>
      </c>
      <c r="C224" t="s">
        <v>48</v>
      </c>
      <c r="D224" t="s">
        <v>131</v>
      </c>
    </row>
    <row r="225" spans="1:4" x14ac:dyDescent="0.4">
      <c r="A225">
        <v>230</v>
      </c>
      <c r="B225" t="s">
        <v>43</v>
      </c>
      <c r="C225" t="s">
        <v>49</v>
      </c>
      <c r="D225" t="s">
        <v>131</v>
      </c>
    </row>
    <row r="226" spans="1:4" x14ac:dyDescent="0.4">
      <c r="A226">
        <v>231</v>
      </c>
      <c r="B226" t="s">
        <v>43</v>
      </c>
      <c r="C226" t="s">
        <v>50</v>
      </c>
      <c r="D226" t="s">
        <v>131</v>
      </c>
    </row>
    <row r="227" spans="1:4" x14ac:dyDescent="0.4">
      <c r="A227">
        <v>232</v>
      </c>
      <c r="B227" t="s">
        <v>43</v>
      </c>
      <c r="C227" t="s">
        <v>51</v>
      </c>
      <c r="D227" t="s">
        <v>131</v>
      </c>
    </row>
    <row r="228" spans="1:4" x14ac:dyDescent="0.4">
      <c r="A228">
        <v>233</v>
      </c>
      <c r="B228" t="s">
        <v>43</v>
      </c>
      <c r="C228" t="s">
        <v>52</v>
      </c>
      <c r="D228" t="s">
        <v>131</v>
      </c>
    </row>
    <row r="229" spans="1:4" x14ac:dyDescent="0.4">
      <c r="A229">
        <v>234</v>
      </c>
      <c r="B229" t="s">
        <v>43</v>
      </c>
      <c r="C229" t="s">
        <v>53</v>
      </c>
      <c r="D229" t="s">
        <v>131</v>
      </c>
    </row>
    <row r="230" spans="1:4" x14ac:dyDescent="0.4">
      <c r="A230">
        <v>236</v>
      </c>
      <c r="B230" t="s">
        <v>55</v>
      </c>
      <c r="C230" t="s">
        <v>11</v>
      </c>
      <c r="D230" t="s">
        <v>132</v>
      </c>
    </row>
    <row r="231" spans="1:4" x14ac:dyDescent="0.4">
      <c r="A231">
        <v>237</v>
      </c>
      <c r="B231" t="s">
        <v>55</v>
      </c>
      <c r="C231" t="s">
        <v>13</v>
      </c>
      <c r="D231" t="s">
        <v>132</v>
      </c>
    </row>
    <row r="232" spans="1:4" x14ac:dyDescent="0.4">
      <c r="A232">
        <v>238</v>
      </c>
      <c r="B232" t="s">
        <v>55</v>
      </c>
      <c r="C232" t="s">
        <v>14</v>
      </c>
      <c r="D232" t="s">
        <v>132</v>
      </c>
    </row>
    <row r="233" spans="1:4" x14ac:dyDescent="0.4">
      <c r="A233">
        <v>239</v>
      </c>
      <c r="B233" t="s">
        <v>55</v>
      </c>
      <c r="C233" t="s">
        <v>15</v>
      </c>
      <c r="D233" t="s">
        <v>132</v>
      </c>
    </row>
    <row r="234" spans="1:4" x14ac:dyDescent="0.4">
      <c r="A234">
        <v>240</v>
      </c>
      <c r="B234" t="s">
        <v>55</v>
      </c>
      <c r="C234" t="s">
        <v>16</v>
      </c>
      <c r="D234" t="s">
        <v>132</v>
      </c>
    </row>
    <row r="235" spans="1:4" x14ac:dyDescent="0.4">
      <c r="A235">
        <v>241</v>
      </c>
      <c r="B235" t="s">
        <v>55</v>
      </c>
      <c r="C235" t="s">
        <v>17</v>
      </c>
      <c r="D235" t="s">
        <v>132</v>
      </c>
    </row>
    <row r="236" spans="1:4" x14ac:dyDescent="0.4">
      <c r="A236">
        <v>242</v>
      </c>
      <c r="B236" t="s">
        <v>55</v>
      </c>
      <c r="C236" t="s">
        <v>18</v>
      </c>
      <c r="D236" t="s">
        <v>132</v>
      </c>
    </row>
    <row r="237" spans="1:4" x14ac:dyDescent="0.4">
      <c r="A237">
        <v>243</v>
      </c>
      <c r="B237" t="s">
        <v>55</v>
      </c>
      <c r="C237" t="s">
        <v>19</v>
      </c>
      <c r="D237" t="s">
        <v>132</v>
      </c>
    </row>
    <row r="238" spans="1:4" x14ac:dyDescent="0.4">
      <c r="A238">
        <v>244</v>
      </c>
      <c r="B238" t="s">
        <v>55</v>
      </c>
      <c r="C238" t="s">
        <v>20</v>
      </c>
      <c r="D238" t="s">
        <v>132</v>
      </c>
    </row>
    <row r="239" spans="1:4" x14ac:dyDescent="0.4">
      <c r="A239">
        <v>245</v>
      </c>
      <c r="B239" t="s">
        <v>55</v>
      </c>
      <c r="C239" t="s">
        <v>21</v>
      </c>
      <c r="D239" t="s">
        <v>132</v>
      </c>
    </row>
    <row r="240" spans="1:4" x14ac:dyDescent="0.4">
      <c r="A240">
        <v>246</v>
      </c>
      <c r="B240" t="s">
        <v>55</v>
      </c>
      <c r="C240" t="s">
        <v>22</v>
      </c>
      <c r="D240" t="s">
        <v>132</v>
      </c>
    </row>
    <row r="241" spans="1:4" x14ac:dyDescent="0.4">
      <c r="A241">
        <v>247</v>
      </c>
      <c r="B241" t="s">
        <v>57</v>
      </c>
      <c r="C241" t="s">
        <v>11</v>
      </c>
      <c r="D241" t="s">
        <v>133</v>
      </c>
    </row>
    <row r="242" spans="1:4" x14ac:dyDescent="0.4">
      <c r="A242">
        <v>248</v>
      </c>
      <c r="B242" t="s">
        <v>57</v>
      </c>
      <c r="C242" t="s">
        <v>13</v>
      </c>
      <c r="D242" t="s">
        <v>133</v>
      </c>
    </row>
    <row r="243" spans="1:4" x14ac:dyDescent="0.4">
      <c r="A243">
        <v>249</v>
      </c>
      <c r="B243" t="s">
        <v>57</v>
      </c>
      <c r="C243" t="s">
        <v>14</v>
      </c>
      <c r="D243" t="s">
        <v>133</v>
      </c>
    </row>
    <row r="244" spans="1:4" x14ac:dyDescent="0.4">
      <c r="A244">
        <v>250</v>
      </c>
      <c r="B244" t="s">
        <v>57</v>
      </c>
      <c r="C244" t="s">
        <v>15</v>
      </c>
      <c r="D244" t="s">
        <v>133</v>
      </c>
    </row>
    <row r="245" spans="1:4" x14ac:dyDescent="0.4">
      <c r="A245">
        <v>251</v>
      </c>
      <c r="B245" t="s">
        <v>57</v>
      </c>
      <c r="C245" t="s">
        <v>16</v>
      </c>
      <c r="D245" t="s">
        <v>133</v>
      </c>
    </row>
    <row r="246" spans="1:4" x14ac:dyDescent="0.4">
      <c r="A246">
        <v>252</v>
      </c>
      <c r="B246" t="s">
        <v>57</v>
      </c>
      <c r="C246" t="s">
        <v>17</v>
      </c>
      <c r="D246" t="s">
        <v>133</v>
      </c>
    </row>
    <row r="247" spans="1:4" x14ac:dyDescent="0.4">
      <c r="A247">
        <v>253</v>
      </c>
      <c r="B247" t="s">
        <v>57</v>
      </c>
      <c r="C247" t="s">
        <v>18</v>
      </c>
      <c r="D247" t="s">
        <v>133</v>
      </c>
    </row>
    <row r="248" spans="1:4" x14ac:dyDescent="0.4">
      <c r="A248">
        <v>254</v>
      </c>
      <c r="B248" t="s">
        <v>57</v>
      </c>
      <c r="C248" t="s">
        <v>19</v>
      </c>
      <c r="D248" t="s">
        <v>133</v>
      </c>
    </row>
    <row r="249" spans="1:4" x14ac:dyDescent="0.4">
      <c r="A249">
        <v>255</v>
      </c>
      <c r="B249" t="s">
        <v>57</v>
      </c>
      <c r="C249" t="s">
        <v>20</v>
      </c>
      <c r="D249" t="s">
        <v>133</v>
      </c>
    </row>
    <row r="250" spans="1:4" x14ac:dyDescent="0.4">
      <c r="A250">
        <v>256</v>
      </c>
      <c r="B250" t="s">
        <v>57</v>
      </c>
      <c r="C250" t="s">
        <v>21</v>
      </c>
      <c r="D250" t="s">
        <v>133</v>
      </c>
    </row>
    <row r="251" spans="1:4" x14ac:dyDescent="0.4">
      <c r="A251">
        <v>257</v>
      </c>
      <c r="B251" t="s">
        <v>57</v>
      </c>
      <c r="C251" t="s">
        <v>22</v>
      </c>
      <c r="D251" t="s">
        <v>133</v>
      </c>
    </row>
    <row r="252" spans="1:4" x14ac:dyDescent="0.4">
      <c r="A252">
        <v>258</v>
      </c>
      <c r="B252" t="s">
        <v>59</v>
      </c>
      <c r="C252" t="s">
        <v>11</v>
      </c>
      <c r="D252" t="s">
        <v>134</v>
      </c>
    </row>
    <row r="253" spans="1:4" x14ac:dyDescent="0.4">
      <c r="A253">
        <v>259</v>
      </c>
      <c r="B253" t="s">
        <v>59</v>
      </c>
      <c r="C253" t="s">
        <v>13</v>
      </c>
      <c r="D253" t="s">
        <v>134</v>
      </c>
    </row>
    <row r="254" spans="1:4" x14ac:dyDescent="0.4">
      <c r="A254">
        <v>260</v>
      </c>
      <c r="B254" t="s">
        <v>59</v>
      </c>
      <c r="C254" t="s">
        <v>14</v>
      </c>
      <c r="D254" t="s">
        <v>134</v>
      </c>
    </row>
    <row r="255" spans="1:4" x14ac:dyDescent="0.4">
      <c r="A255">
        <v>261</v>
      </c>
      <c r="B255" t="s">
        <v>59</v>
      </c>
      <c r="C255" t="s">
        <v>15</v>
      </c>
      <c r="D255" t="s">
        <v>134</v>
      </c>
    </row>
    <row r="256" spans="1:4" x14ac:dyDescent="0.4">
      <c r="A256">
        <v>262</v>
      </c>
      <c r="B256" t="s">
        <v>59</v>
      </c>
      <c r="C256" t="s">
        <v>16</v>
      </c>
      <c r="D256" t="s">
        <v>134</v>
      </c>
    </row>
    <row r="257" spans="1:4" x14ac:dyDescent="0.4">
      <c r="A257">
        <v>263</v>
      </c>
      <c r="B257" t="s">
        <v>59</v>
      </c>
      <c r="C257" t="s">
        <v>17</v>
      </c>
      <c r="D257" t="s">
        <v>134</v>
      </c>
    </row>
    <row r="258" spans="1:4" x14ac:dyDescent="0.4">
      <c r="A258">
        <v>264</v>
      </c>
      <c r="B258" t="s">
        <v>59</v>
      </c>
      <c r="C258" t="s">
        <v>18</v>
      </c>
      <c r="D258" t="s">
        <v>134</v>
      </c>
    </row>
    <row r="259" spans="1:4" x14ac:dyDescent="0.4">
      <c r="A259">
        <v>265</v>
      </c>
      <c r="B259" t="s">
        <v>59</v>
      </c>
      <c r="C259" t="s">
        <v>19</v>
      </c>
      <c r="D259" t="s">
        <v>134</v>
      </c>
    </row>
    <row r="260" spans="1:4" x14ac:dyDescent="0.4">
      <c r="A260">
        <v>266</v>
      </c>
      <c r="B260" t="s">
        <v>59</v>
      </c>
      <c r="C260" t="s">
        <v>20</v>
      </c>
      <c r="D260" t="s">
        <v>134</v>
      </c>
    </row>
    <row r="261" spans="1:4" x14ac:dyDescent="0.4">
      <c r="A261">
        <v>267</v>
      </c>
      <c r="B261" t="s">
        <v>59</v>
      </c>
      <c r="C261" t="s">
        <v>21</v>
      </c>
      <c r="D261" t="s">
        <v>134</v>
      </c>
    </row>
    <row r="262" spans="1:4" x14ac:dyDescent="0.4">
      <c r="A262">
        <v>268</v>
      </c>
      <c r="B262" t="s">
        <v>59</v>
      </c>
      <c r="C262" t="s">
        <v>22</v>
      </c>
      <c r="D262" t="s">
        <v>134</v>
      </c>
    </row>
    <row r="263" spans="1:4" x14ac:dyDescent="0.4">
      <c r="A263">
        <v>269</v>
      </c>
      <c r="B263" t="s">
        <v>61</v>
      </c>
      <c r="C263" t="s">
        <v>11</v>
      </c>
      <c r="D263" t="s">
        <v>135</v>
      </c>
    </row>
    <row r="264" spans="1:4" x14ac:dyDescent="0.4">
      <c r="A264">
        <v>270</v>
      </c>
      <c r="B264" t="s">
        <v>61</v>
      </c>
      <c r="C264" t="s">
        <v>13</v>
      </c>
      <c r="D264" t="s">
        <v>135</v>
      </c>
    </row>
    <row r="265" spans="1:4" x14ac:dyDescent="0.4">
      <c r="A265">
        <v>271</v>
      </c>
      <c r="B265" t="s">
        <v>61</v>
      </c>
      <c r="C265" t="s">
        <v>14</v>
      </c>
      <c r="D265" t="s">
        <v>135</v>
      </c>
    </row>
    <row r="266" spans="1:4" x14ac:dyDescent="0.4">
      <c r="A266">
        <v>272</v>
      </c>
      <c r="B266" t="s">
        <v>61</v>
      </c>
      <c r="C266" t="s">
        <v>15</v>
      </c>
      <c r="D266" t="s">
        <v>135</v>
      </c>
    </row>
    <row r="267" spans="1:4" x14ac:dyDescent="0.4">
      <c r="A267">
        <v>273</v>
      </c>
      <c r="B267" t="s">
        <v>61</v>
      </c>
      <c r="C267" t="s">
        <v>16</v>
      </c>
      <c r="D267" t="s">
        <v>135</v>
      </c>
    </row>
    <row r="268" spans="1:4" x14ac:dyDescent="0.4">
      <c r="A268">
        <v>274</v>
      </c>
      <c r="B268" t="s">
        <v>61</v>
      </c>
      <c r="C268" t="s">
        <v>17</v>
      </c>
      <c r="D268" t="s">
        <v>135</v>
      </c>
    </row>
    <row r="269" spans="1:4" x14ac:dyDescent="0.4">
      <c r="A269">
        <v>275</v>
      </c>
      <c r="B269" t="s">
        <v>61</v>
      </c>
      <c r="C269" t="s">
        <v>18</v>
      </c>
      <c r="D269" t="s">
        <v>135</v>
      </c>
    </row>
    <row r="270" spans="1:4" x14ac:dyDescent="0.4">
      <c r="A270">
        <v>276</v>
      </c>
      <c r="B270" t="s">
        <v>61</v>
      </c>
      <c r="C270" t="s">
        <v>19</v>
      </c>
      <c r="D270" t="s">
        <v>135</v>
      </c>
    </row>
    <row r="271" spans="1:4" x14ac:dyDescent="0.4">
      <c r="A271">
        <v>277</v>
      </c>
      <c r="B271" t="s">
        <v>61</v>
      </c>
      <c r="C271" t="s">
        <v>20</v>
      </c>
      <c r="D271" t="s">
        <v>135</v>
      </c>
    </row>
    <row r="272" spans="1:4" x14ac:dyDescent="0.4">
      <c r="A272">
        <v>278</v>
      </c>
      <c r="B272" t="s">
        <v>61</v>
      </c>
      <c r="C272" t="s">
        <v>21</v>
      </c>
      <c r="D272" t="s">
        <v>135</v>
      </c>
    </row>
    <row r="273" spans="1:4" x14ac:dyDescent="0.4">
      <c r="A273">
        <v>279</v>
      </c>
      <c r="B273" t="s">
        <v>61</v>
      </c>
      <c r="C273" t="s">
        <v>22</v>
      </c>
      <c r="D273" t="s">
        <v>135</v>
      </c>
    </row>
    <row r="274" spans="1:4" x14ac:dyDescent="0.4">
      <c r="A274">
        <v>280</v>
      </c>
      <c r="B274" t="s">
        <v>63</v>
      </c>
      <c r="C274" t="s">
        <v>11</v>
      </c>
      <c r="D274" t="s">
        <v>136</v>
      </c>
    </row>
    <row r="275" spans="1:4" x14ac:dyDescent="0.4">
      <c r="A275">
        <v>281</v>
      </c>
      <c r="B275" t="s">
        <v>63</v>
      </c>
      <c r="C275" t="s">
        <v>13</v>
      </c>
      <c r="D275" t="s">
        <v>136</v>
      </c>
    </row>
    <row r="276" spans="1:4" x14ac:dyDescent="0.4">
      <c r="A276">
        <v>282</v>
      </c>
      <c r="B276" t="s">
        <v>63</v>
      </c>
      <c r="C276" t="s">
        <v>14</v>
      </c>
      <c r="D276" t="s">
        <v>136</v>
      </c>
    </row>
    <row r="277" spans="1:4" x14ac:dyDescent="0.4">
      <c r="A277">
        <v>283</v>
      </c>
      <c r="B277" t="s">
        <v>63</v>
      </c>
      <c r="C277" t="s">
        <v>15</v>
      </c>
      <c r="D277" t="s">
        <v>136</v>
      </c>
    </row>
    <row r="278" spans="1:4" x14ac:dyDescent="0.4">
      <c r="A278">
        <v>284</v>
      </c>
      <c r="B278" t="s">
        <v>63</v>
      </c>
      <c r="C278" t="s">
        <v>16</v>
      </c>
      <c r="D278" t="s">
        <v>136</v>
      </c>
    </row>
    <row r="279" spans="1:4" x14ac:dyDescent="0.4">
      <c r="A279">
        <v>285</v>
      </c>
      <c r="B279" t="s">
        <v>63</v>
      </c>
      <c r="C279" t="s">
        <v>17</v>
      </c>
      <c r="D279" t="s">
        <v>136</v>
      </c>
    </row>
    <row r="280" spans="1:4" x14ac:dyDescent="0.4">
      <c r="A280">
        <v>286</v>
      </c>
      <c r="B280" t="s">
        <v>63</v>
      </c>
      <c r="C280" t="s">
        <v>18</v>
      </c>
      <c r="D280" t="s">
        <v>136</v>
      </c>
    </row>
    <row r="281" spans="1:4" x14ac:dyDescent="0.4">
      <c r="A281">
        <v>287</v>
      </c>
      <c r="B281" t="s">
        <v>63</v>
      </c>
      <c r="C281" t="s">
        <v>19</v>
      </c>
      <c r="D281" t="s">
        <v>136</v>
      </c>
    </row>
    <row r="282" spans="1:4" x14ac:dyDescent="0.4">
      <c r="A282">
        <v>288</v>
      </c>
      <c r="B282" t="s">
        <v>63</v>
      </c>
      <c r="C282" t="s">
        <v>20</v>
      </c>
      <c r="D282" t="s">
        <v>136</v>
      </c>
    </row>
    <row r="283" spans="1:4" x14ac:dyDescent="0.4">
      <c r="A283">
        <v>289</v>
      </c>
      <c r="B283" t="s">
        <v>63</v>
      </c>
      <c r="C283" t="s">
        <v>21</v>
      </c>
      <c r="D283" t="s">
        <v>136</v>
      </c>
    </row>
    <row r="284" spans="1:4" x14ac:dyDescent="0.4">
      <c r="A284">
        <v>290</v>
      </c>
      <c r="B284" t="s">
        <v>63</v>
      </c>
      <c r="C284" t="s">
        <v>22</v>
      </c>
      <c r="D284" t="s">
        <v>136</v>
      </c>
    </row>
    <row r="285" spans="1:4" x14ac:dyDescent="0.4">
      <c r="A285">
        <v>291</v>
      </c>
      <c r="B285" t="s">
        <v>65</v>
      </c>
      <c r="C285" t="s">
        <v>11</v>
      </c>
      <c r="D285" t="s">
        <v>137</v>
      </c>
    </row>
    <row r="286" spans="1:4" x14ac:dyDescent="0.4">
      <c r="A286">
        <v>292</v>
      </c>
      <c r="B286" t="s">
        <v>65</v>
      </c>
      <c r="C286" t="s">
        <v>13</v>
      </c>
      <c r="D286" t="s">
        <v>137</v>
      </c>
    </row>
    <row r="287" spans="1:4" x14ac:dyDescent="0.4">
      <c r="A287">
        <v>293</v>
      </c>
      <c r="B287" t="s">
        <v>65</v>
      </c>
      <c r="C287" t="s">
        <v>14</v>
      </c>
      <c r="D287" t="s">
        <v>137</v>
      </c>
    </row>
    <row r="288" spans="1:4" x14ac:dyDescent="0.4">
      <c r="A288">
        <v>294</v>
      </c>
      <c r="B288" t="s">
        <v>65</v>
      </c>
      <c r="C288" t="s">
        <v>15</v>
      </c>
      <c r="D288" t="s">
        <v>137</v>
      </c>
    </row>
    <row r="289" spans="1:4" x14ac:dyDescent="0.4">
      <c r="A289">
        <v>295</v>
      </c>
      <c r="B289" t="s">
        <v>65</v>
      </c>
      <c r="C289" t="s">
        <v>16</v>
      </c>
      <c r="D289" t="s">
        <v>137</v>
      </c>
    </row>
    <row r="290" spans="1:4" x14ac:dyDescent="0.4">
      <c r="A290">
        <v>296</v>
      </c>
      <c r="B290" t="s">
        <v>65</v>
      </c>
      <c r="C290" t="s">
        <v>17</v>
      </c>
      <c r="D290" t="s">
        <v>137</v>
      </c>
    </row>
    <row r="291" spans="1:4" x14ac:dyDescent="0.4">
      <c r="A291">
        <v>297</v>
      </c>
      <c r="B291" t="s">
        <v>65</v>
      </c>
      <c r="C291" t="s">
        <v>18</v>
      </c>
      <c r="D291" t="s">
        <v>137</v>
      </c>
    </row>
    <row r="292" spans="1:4" x14ac:dyDescent="0.4">
      <c r="A292">
        <v>298</v>
      </c>
      <c r="B292" t="s">
        <v>65</v>
      </c>
      <c r="C292" t="s">
        <v>19</v>
      </c>
      <c r="D292" t="s">
        <v>137</v>
      </c>
    </row>
    <row r="293" spans="1:4" x14ac:dyDescent="0.4">
      <c r="A293">
        <v>299</v>
      </c>
      <c r="B293" t="s">
        <v>65</v>
      </c>
      <c r="C293" t="s">
        <v>20</v>
      </c>
      <c r="D293" t="s">
        <v>137</v>
      </c>
    </row>
    <row r="294" spans="1:4" x14ac:dyDescent="0.4">
      <c r="A294">
        <v>300</v>
      </c>
      <c r="B294" t="s">
        <v>65</v>
      </c>
      <c r="C294" t="s">
        <v>21</v>
      </c>
      <c r="D294" t="s">
        <v>137</v>
      </c>
    </row>
    <row r="295" spans="1:4" x14ac:dyDescent="0.4">
      <c r="A295">
        <v>301</v>
      </c>
      <c r="B295" t="s">
        <v>65</v>
      </c>
      <c r="C295" t="s">
        <v>22</v>
      </c>
      <c r="D295" t="s">
        <v>137</v>
      </c>
    </row>
    <row r="296" spans="1:4" x14ac:dyDescent="0.4">
      <c r="A296">
        <v>303</v>
      </c>
      <c r="B296" t="s">
        <v>55</v>
      </c>
      <c r="C296" t="s">
        <v>46</v>
      </c>
      <c r="D296" t="s">
        <v>132</v>
      </c>
    </row>
    <row r="297" spans="1:4" x14ac:dyDescent="0.4">
      <c r="A297">
        <v>304</v>
      </c>
      <c r="B297" t="s">
        <v>57</v>
      </c>
      <c r="C297" t="s">
        <v>46</v>
      </c>
      <c r="D297" t="s">
        <v>133</v>
      </c>
    </row>
    <row r="298" spans="1:4" x14ac:dyDescent="0.4">
      <c r="A298">
        <v>305</v>
      </c>
      <c r="B298" t="s">
        <v>59</v>
      </c>
      <c r="C298" t="s">
        <v>46</v>
      </c>
      <c r="D298" t="s">
        <v>134</v>
      </c>
    </row>
    <row r="299" spans="1:4" x14ac:dyDescent="0.4">
      <c r="A299">
        <v>306</v>
      </c>
      <c r="B299" t="s">
        <v>61</v>
      </c>
      <c r="C299" t="s">
        <v>46</v>
      </c>
      <c r="D299" t="s">
        <v>135</v>
      </c>
    </row>
    <row r="300" spans="1:4" x14ac:dyDescent="0.4">
      <c r="A300">
        <v>307</v>
      </c>
      <c r="B300" t="s">
        <v>63</v>
      </c>
      <c r="C300" t="s">
        <v>46</v>
      </c>
      <c r="D300" t="s">
        <v>136</v>
      </c>
    </row>
    <row r="301" spans="1:4" x14ac:dyDescent="0.4">
      <c r="A301">
        <v>308</v>
      </c>
      <c r="B301" t="s">
        <v>65</v>
      </c>
      <c r="C301" t="s">
        <v>46</v>
      </c>
      <c r="D301" t="s">
        <v>137</v>
      </c>
    </row>
    <row r="302" spans="1:4" x14ac:dyDescent="0.4">
      <c r="A302">
        <v>310</v>
      </c>
      <c r="B302" t="s">
        <v>75</v>
      </c>
      <c r="C302" t="s">
        <v>76</v>
      </c>
      <c r="D302" t="s">
        <v>138</v>
      </c>
    </row>
    <row r="303" spans="1:4" x14ac:dyDescent="0.4">
      <c r="A303">
        <v>311</v>
      </c>
      <c r="B303" t="s">
        <v>78</v>
      </c>
      <c r="C303" t="s">
        <v>76</v>
      </c>
      <c r="D303" t="s">
        <v>139</v>
      </c>
    </row>
    <row r="304" spans="1:4" x14ac:dyDescent="0.4">
      <c r="A304">
        <v>312</v>
      </c>
      <c r="B304" t="s">
        <v>80</v>
      </c>
      <c r="C304" t="s">
        <v>76</v>
      </c>
      <c r="D304" t="s">
        <v>138</v>
      </c>
    </row>
    <row r="305" spans="1:4" x14ac:dyDescent="0.4">
      <c r="A305">
        <v>313</v>
      </c>
      <c r="B305" t="s">
        <v>82</v>
      </c>
      <c r="C305" t="s">
        <v>76</v>
      </c>
      <c r="D305" t="s">
        <v>139</v>
      </c>
    </row>
    <row r="306" spans="1:4" x14ac:dyDescent="0.4">
      <c r="A306">
        <v>314</v>
      </c>
      <c r="B306" t="s">
        <v>84</v>
      </c>
      <c r="C306" t="s">
        <v>76</v>
      </c>
      <c r="D306" t="s">
        <v>140</v>
      </c>
    </row>
    <row r="307" spans="1:4" x14ac:dyDescent="0.4">
      <c r="A307">
        <v>315</v>
      </c>
      <c r="B307" t="s">
        <v>86</v>
      </c>
      <c r="C307" t="s">
        <v>76</v>
      </c>
      <c r="D307" t="s">
        <v>141</v>
      </c>
    </row>
    <row r="308" spans="1:4" x14ac:dyDescent="0.4">
      <c r="A308">
        <v>316</v>
      </c>
      <c r="B308" t="s">
        <v>88</v>
      </c>
      <c r="C308" t="s">
        <v>89</v>
      </c>
      <c r="D308" t="s">
        <v>142</v>
      </c>
    </row>
    <row r="309" spans="1:4" x14ac:dyDescent="0.4">
      <c r="A309">
        <v>318</v>
      </c>
      <c r="B309" t="s">
        <v>92</v>
      </c>
      <c r="C309" t="s">
        <v>76</v>
      </c>
      <c r="D309" t="s">
        <v>143</v>
      </c>
    </row>
    <row r="310" spans="1:4" x14ac:dyDescent="0.4">
      <c r="A310">
        <v>319</v>
      </c>
      <c r="B310" t="s">
        <v>94</v>
      </c>
      <c r="C310" t="s">
        <v>76</v>
      </c>
      <c r="D310" t="s">
        <v>144</v>
      </c>
    </row>
    <row r="311" spans="1:4" x14ac:dyDescent="0.4">
      <c r="A311">
        <v>320</v>
      </c>
      <c r="B311" t="s">
        <v>96</v>
      </c>
      <c r="C311" t="s">
        <v>76</v>
      </c>
      <c r="D311" t="s">
        <v>145</v>
      </c>
    </row>
    <row r="312" spans="1:4" x14ac:dyDescent="0.4">
      <c r="A312">
        <v>322</v>
      </c>
      <c r="B312" t="s">
        <v>99</v>
      </c>
      <c r="C312" t="s">
        <v>76</v>
      </c>
      <c r="D312" t="s">
        <v>146</v>
      </c>
    </row>
    <row r="313" spans="1:4" x14ac:dyDescent="0.4">
      <c r="A313">
        <v>323</v>
      </c>
      <c r="B313" t="s">
        <v>101</v>
      </c>
      <c r="C313" t="s">
        <v>76</v>
      </c>
      <c r="D313" t="s">
        <v>147</v>
      </c>
    </row>
    <row r="314" spans="1:4" x14ac:dyDescent="0.4">
      <c r="A314">
        <v>324</v>
      </c>
      <c r="B314" t="s">
        <v>103</v>
      </c>
      <c r="C314" t="s">
        <v>76</v>
      </c>
      <c r="D314" t="s">
        <v>148</v>
      </c>
    </row>
    <row r="315" spans="1:4" x14ac:dyDescent="0.4">
      <c r="A315">
        <v>325</v>
      </c>
      <c r="B315" t="s">
        <v>105</v>
      </c>
      <c r="C315" t="s">
        <v>76</v>
      </c>
      <c r="D315" t="s">
        <v>149</v>
      </c>
    </row>
    <row r="316" spans="1:4" x14ac:dyDescent="0.4">
      <c r="A316">
        <v>326</v>
      </c>
      <c r="B316" t="s">
        <v>107</v>
      </c>
      <c r="C316" t="s">
        <v>76</v>
      </c>
      <c r="D316" t="s">
        <v>150</v>
      </c>
    </row>
    <row r="317" spans="1:4" x14ac:dyDescent="0.4">
      <c r="A317">
        <v>327</v>
      </c>
      <c r="B317" t="s">
        <v>109</v>
      </c>
      <c r="C317" t="s">
        <v>76</v>
      </c>
      <c r="D317" t="s">
        <v>151</v>
      </c>
    </row>
    <row r="318" spans="1:4" x14ac:dyDescent="0.4">
      <c r="A318">
        <v>329</v>
      </c>
      <c r="B318" t="s">
        <v>112</v>
      </c>
      <c r="C318" t="s">
        <v>11</v>
      </c>
      <c r="D318" t="s">
        <v>152</v>
      </c>
    </row>
    <row r="319" spans="1:4" x14ac:dyDescent="0.4">
      <c r="A319">
        <v>330</v>
      </c>
      <c r="B319" t="s">
        <v>114</v>
      </c>
      <c r="C319" t="s">
        <v>46</v>
      </c>
      <c r="D319" t="s">
        <v>152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CIQ_Data</vt:lpstr>
      <vt:lpstr>_RowMap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Yu29 Zhang</cp:lastModifiedBy>
  <dcterms:created xsi:type="dcterms:W3CDTF">2026-04-30T07:20:49Z</dcterms:created>
  <dcterms:modified xsi:type="dcterms:W3CDTF">2026-04-30T07:53:14Z</dcterms:modified>
</cp:coreProperties>
</file>