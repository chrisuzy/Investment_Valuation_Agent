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Downloads\"/>
    </mc:Choice>
  </mc:AlternateContent>
  <xr:revisionPtr revIDLastSave="0" documentId="13_ncr:1_{44D0A271-909F-4D20-B397-A9B5E0C98373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7" state="veryHidden" r:id="rId1"/>
    <sheet name="CIQ_Data" sheetId="1" r:id="rId2"/>
    <sheet name="_RowMap" sheetId="2" r:id="rId3"/>
  </sheets>
  <definedNames>
    <definedName name="CIQWBGuid" hidden="1">"f3562c48-044b-4b4c-acdb-1ca4a70e00cc"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2" i="1" l="1"/>
  <c r="C313" i="1"/>
  <c r="C12" i="1"/>
  <c r="C6" i="1"/>
  <c r="C7" i="1"/>
  <c r="C17" i="1"/>
  <c r="C8" i="1"/>
  <c r="C9" i="1"/>
  <c r="C10" i="1"/>
  <c r="C11" i="1"/>
  <c r="C22" i="1"/>
  <c r="C13" i="1"/>
  <c r="C14" i="1"/>
  <c r="C15" i="1"/>
  <c r="C16" i="1"/>
  <c r="C27" i="1"/>
  <c r="C18" i="1"/>
  <c r="C19" i="1"/>
  <c r="C20" i="1"/>
  <c r="C21" i="1"/>
  <c r="C32" i="1"/>
  <c r="C23" i="1"/>
  <c r="C24" i="1"/>
  <c r="C25" i="1"/>
  <c r="C26" i="1"/>
  <c r="C37" i="1"/>
  <c r="C28" i="1"/>
  <c r="C29" i="1"/>
  <c r="C30" i="1"/>
  <c r="C31" i="1"/>
  <c r="C42" i="1"/>
  <c r="C33" i="1"/>
  <c r="C34" i="1"/>
  <c r="C35" i="1"/>
  <c r="C36" i="1"/>
  <c r="C47" i="1"/>
  <c r="C38" i="1"/>
  <c r="C39" i="1"/>
  <c r="C40" i="1"/>
  <c r="C41" i="1"/>
  <c r="C52" i="1"/>
  <c r="C43" i="1"/>
  <c r="C44" i="1"/>
  <c r="C45" i="1"/>
  <c r="C46" i="1"/>
  <c r="C57" i="1"/>
  <c r="C48" i="1"/>
  <c r="C49" i="1"/>
  <c r="C50" i="1"/>
  <c r="C51" i="1"/>
  <c r="C62" i="1"/>
  <c r="C53" i="1"/>
  <c r="C54" i="1"/>
  <c r="C55" i="1"/>
  <c r="C56" i="1"/>
  <c r="C67" i="1"/>
  <c r="C58" i="1"/>
  <c r="C59" i="1"/>
  <c r="C60" i="1"/>
  <c r="C61" i="1"/>
  <c r="C72" i="1"/>
  <c r="C63" i="1"/>
  <c r="C64" i="1"/>
  <c r="C65" i="1"/>
  <c r="C66" i="1"/>
  <c r="C77" i="1"/>
  <c r="C68" i="1"/>
  <c r="C69" i="1"/>
  <c r="C70" i="1"/>
  <c r="C71" i="1"/>
  <c r="C82" i="1"/>
  <c r="C73" i="1"/>
  <c r="C74" i="1"/>
  <c r="C75" i="1"/>
  <c r="C76" i="1"/>
  <c r="C87" i="1"/>
  <c r="C78" i="1"/>
  <c r="C79" i="1"/>
  <c r="C80" i="1"/>
  <c r="C81" i="1"/>
  <c r="C92" i="1"/>
  <c r="C83" i="1"/>
  <c r="C84" i="1"/>
  <c r="C85" i="1"/>
  <c r="C86" i="1"/>
  <c r="C97" i="1"/>
  <c r="C88" i="1"/>
  <c r="C89" i="1"/>
  <c r="C90" i="1"/>
  <c r="C91" i="1"/>
  <c r="C102" i="1"/>
  <c r="C93" i="1"/>
  <c r="C94" i="1"/>
  <c r="C95" i="1"/>
  <c r="C96" i="1"/>
  <c r="C107" i="1"/>
  <c r="C98" i="1"/>
  <c r="C99" i="1"/>
  <c r="C100" i="1"/>
  <c r="C101" i="1"/>
  <c r="C112" i="1"/>
  <c r="C103" i="1"/>
  <c r="C104" i="1"/>
  <c r="C105" i="1"/>
  <c r="C106" i="1"/>
  <c r="C117" i="1"/>
  <c r="C108" i="1"/>
  <c r="C109" i="1"/>
  <c r="C110" i="1"/>
  <c r="C111" i="1"/>
  <c r="C122" i="1"/>
  <c r="C113" i="1"/>
  <c r="C114" i="1"/>
  <c r="C115" i="1"/>
  <c r="C116" i="1"/>
  <c r="C127" i="1"/>
  <c r="C118" i="1"/>
  <c r="C119" i="1"/>
  <c r="C120" i="1"/>
  <c r="C121" i="1"/>
  <c r="C132" i="1"/>
  <c r="C123" i="1"/>
  <c r="C124" i="1"/>
  <c r="C125" i="1"/>
  <c r="C126" i="1"/>
  <c r="C137" i="1"/>
  <c r="C128" i="1"/>
  <c r="C129" i="1"/>
  <c r="C130" i="1"/>
  <c r="C131" i="1"/>
  <c r="C143" i="1"/>
  <c r="C133" i="1"/>
  <c r="C134" i="1"/>
  <c r="C135" i="1"/>
  <c r="C136" i="1"/>
  <c r="C148" i="1"/>
  <c r="C139" i="1"/>
  <c r="C140" i="1"/>
  <c r="C141" i="1"/>
  <c r="C142" i="1"/>
  <c r="C153" i="1"/>
  <c r="C144" i="1"/>
  <c r="C145" i="1"/>
  <c r="C146" i="1"/>
  <c r="C147" i="1"/>
  <c r="C158" i="1"/>
  <c r="C149" i="1"/>
  <c r="C150" i="1"/>
  <c r="C151" i="1"/>
  <c r="C152" i="1"/>
  <c r="C163" i="1"/>
  <c r="C154" i="1"/>
  <c r="C155" i="1"/>
  <c r="C156" i="1"/>
  <c r="C157" i="1"/>
  <c r="C168" i="1"/>
  <c r="C159" i="1"/>
  <c r="C160" i="1"/>
  <c r="C161" i="1"/>
  <c r="C162" i="1"/>
  <c r="C173" i="1"/>
  <c r="C164" i="1"/>
  <c r="C165" i="1"/>
  <c r="C166" i="1"/>
  <c r="C167" i="1"/>
  <c r="C178" i="1"/>
  <c r="C169" i="1"/>
  <c r="C170" i="1"/>
  <c r="C171" i="1"/>
  <c r="C172" i="1"/>
  <c r="C183" i="1"/>
  <c r="C174" i="1"/>
  <c r="C175" i="1"/>
  <c r="C176" i="1"/>
  <c r="C177" i="1"/>
  <c r="C188" i="1"/>
  <c r="C179" i="1"/>
  <c r="C180" i="1"/>
  <c r="C181" i="1"/>
  <c r="C182" i="1"/>
  <c r="C193" i="1"/>
  <c r="C184" i="1"/>
  <c r="C185" i="1"/>
  <c r="C186" i="1"/>
  <c r="C187" i="1"/>
  <c r="C198" i="1"/>
  <c r="C189" i="1"/>
  <c r="C190" i="1"/>
  <c r="C191" i="1"/>
  <c r="C192" i="1"/>
  <c r="C203" i="1"/>
  <c r="C194" i="1"/>
  <c r="C195" i="1"/>
  <c r="C196" i="1"/>
  <c r="C197" i="1"/>
  <c r="C208" i="1"/>
  <c r="C199" i="1"/>
  <c r="C200" i="1"/>
  <c r="C201" i="1"/>
  <c r="C202" i="1"/>
  <c r="C213" i="1"/>
  <c r="C204" i="1"/>
  <c r="C205" i="1"/>
  <c r="C206" i="1"/>
  <c r="C207" i="1"/>
  <c r="C218" i="1"/>
  <c r="C209" i="1"/>
  <c r="C210" i="1"/>
  <c r="C211" i="1"/>
  <c r="C212" i="1"/>
  <c r="C223" i="1"/>
  <c r="C214" i="1"/>
  <c r="C215" i="1"/>
  <c r="C216" i="1"/>
  <c r="C217" i="1"/>
  <c r="C228" i="1"/>
  <c r="C219" i="1"/>
  <c r="C220" i="1"/>
  <c r="C221" i="1"/>
  <c r="C222" i="1"/>
  <c r="C233" i="1"/>
  <c r="C224" i="1"/>
  <c r="C225" i="1"/>
  <c r="C226" i="1"/>
  <c r="C227" i="1"/>
  <c r="C239" i="1"/>
  <c r="C229" i="1"/>
  <c r="C230" i="1"/>
  <c r="C231" i="1"/>
  <c r="C232" i="1"/>
  <c r="C244" i="1"/>
  <c r="C234" i="1"/>
  <c r="C236" i="1"/>
  <c r="C237" i="1"/>
  <c r="C238" i="1"/>
  <c r="C249" i="1"/>
  <c r="C240" i="1"/>
  <c r="C241" i="1"/>
  <c r="C242" i="1"/>
  <c r="C243" i="1"/>
  <c r="C254" i="1"/>
  <c r="C245" i="1"/>
  <c r="C246" i="1"/>
  <c r="C247" i="1"/>
  <c r="C248" i="1"/>
  <c r="C259" i="1"/>
  <c r="C250" i="1"/>
  <c r="C251" i="1"/>
  <c r="C252" i="1"/>
  <c r="C253" i="1"/>
  <c r="C264" i="1"/>
  <c r="C255" i="1"/>
  <c r="C256" i="1"/>
  <c r="C257" i="1"/>
  <c r="C258" i="1"/>
  <c r="C269" i="1"/>
  <c r="C260" i="1"/>
  <c r="C261" i="1"/>
  <c r="C262" i="1"/>
  <c r="C263" i="1"/>
  <c r="C274" i="1"/>
  <c r="C265" i="1"/>
  <c r="C266" i="1"/>
  <c r="C267" i="1"/>
  <c r="C268" i="1"/>
  <c r="C279" i="1"/>
  <c r="C270" i="1"/>
  <c r="C271" i="1"/>
  <c r="C272" i="1"/>
  <c r="C273" i="1"/>
  <c r="C284" i="1"/>
  <c r="C275" i="1"/>
  <c r="C276" i="1"/>
  <c r="C277" i="1"/>
  <c r="C278" i="1"/>
  <c r="C289" i="1"/>
  <c r="C280" i="1"/>
  <c r="C281" i="1"/>
  <c r="C282" i="1"/>
  <c r="C283" i="1"/>
  <c r="C294" i="1"/>
  <c r="C285" i="1"/>
  <c r="C286" i="1"/>
  <c r="C287" i="1"/>
  <c r="C288" i="1"/>
  <c r="C299" i="1"/>
  <c r="C290" i="1"/>
  <c r="C291" i="1"/>
  <c r="C292" i="1"/>
  <c r="C293" i="1"/>
  <c r="C305" i="1"/>
  <c r="C295" i="1"/>
  <c r="C296" i="1"/>
  <c r="C297" i="1"/>
  <c r="C298" i="1"/>
  <c r="C311" i="1"/>
  <c r="C300" i="1"/>
  <c r="C301" i="1"/>
  <c r="C303" i="1"/>
  <c r="C304" i="1"/>
  <c r="C316" i="1"/>
  <c r="C306" i="1"/>
  <c r="C307" i="1"/>
  <c r="C308" i="1"/>
  <c r="C310" i="1"/>
  <c r="C323" i="1"/>
  <c r="C314" i="1"/>
  <c r="C315" i="1"/>
  <c r="C329" i="1"/>
  <c r="C318" i="1"/>
  <c r="C319" i="1"/>
  <c r="C320" i="1"/>
  <c r="C322" i="1"/>
  <c r="C330" i="1"/>
  <c r="C324" i="1"/>
  <c r="C325" i="1"/>
  <c r="C326" i="1"/>
  <c r="C32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3" i="1"/>
  <c r="D304" i="1"/>
  <c r="D305" i="1"/>
  <c r="D306" i="1"/>
  <c r="D307" i="1"/>
  <c r="D308" i="1"/>
  <c r="D310" i="1"/>
  <c r="D311" i="1"/>
  <c r="D312" i="1"/>
  <c r="D313" i="1"/>
  <c r="D314" i="1"/>
  <c r="D315" i="1"/>
  <c r="D316" i="1"/>
  <c r="D318" i="1"/>
  <c r="D319" i="1"/>
  <c r="D320" i="1"/>
  <c r="D322" i="1"/>
  <c r="D323" i="1"/>
  <c r="D324" i="1"/>
  <c r="D325" i="1"/>
  <c r="D326" i="1"/>
  <c r="D327" i="1"/>
  <c r="D329" i="1"/>
  <c r="D330" i="1"/>
</calcChain>
</file>

<file path=xl/sharedStrings.xml><?xml version="1.0" encoding="utf-8"?>
<sst xmlns="http://schemas.openxmlformats.org/spreadsheetml/2006/main" count="1998" uniqueCount="222">
  <si>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</si>
  <si>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</si>
  <si>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</si>
  <si>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</si>
  <si>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</si>
  <si>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</si>
  <si>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</si>
  <si>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</si>
  <si>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</si>
  <si>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</si>
  <si>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</si>
  <si>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</si>
  <si>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</si>
  <si>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</si>
  <si>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</si>
  <si>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</si>
  <si>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</si>
  <si>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</si>
  <si>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</si>
  <si>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</si>
  <si>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</si>
  <si>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</si>
  <si>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</si>
  <si>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</si>
  <si>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</si>
  <si>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</si>
  <si>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</si>
  <si>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</si>
  <si>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</si>
  <si>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</si>
  <si>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</si>
  <si>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</si>
  <si>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</si>
  <si>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</si>
  <si>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</si>
  <si>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r_and_d_expense_fn</t>
  </si>
  <si>
    <t>R&amp;D Expense (footnote fallback)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</si>
  <si>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</si>
  <si>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</si>
  <si>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</si>
  <si>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</si>
  <si>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</si>
  <si>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</si>
  <si>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</si>
  <si>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</si>
  <si>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</si>
  <si>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</si>
  <si>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</si>
  <si>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</si>
  <si>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</si>
  <si>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IQ_FQ-4</t>
  </si>
  <si>
    <t>IQ_FQ-5</t>
  </si>
  <si>
    <t>IQ_FQ-6</t>
  </si>
  <si>
    <t>IQ_FQ-7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</si>
  <si>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</si>
  <si>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</si>
  <si>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</si>
  <si>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</si>
  <si>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</si>
  <si>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</si>
  <si>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</si>
  <si>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</si>
  <si>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</si>
  <si>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</si>
  <si>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</si>
  <si>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</si>
  <si>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</si>
  <si>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BALANCE SHEET (Quarterly — latest 10-Q)</t>
  </si>
  <si>
    <t>Cash &amp; Equivalents (latest quarter)</t>
  </si>
  <si>
    <t>Total Stockholders' Equity (latest quarter)</t>
  </si>
  <si>
    <t>Total Debt (latest quarter)</t>
  </si>
  <si>
    <t>Total Shares Outstanding (Filing Date) (latest quarter)</t>
  </si>
  <si>
    <t>Long-term Investments (Cross Holdings) (latest quarter)</t>
  </si>
  <si>
    <t>Minority Interests (latest quarter)</t>
  </si>
  <si>
    <t>MARKET DATA (Current)</t>
  </si>
  <si>
    <t>stock_price</t>
  </si>
  <si>
    <t>current</t>
  </si>
  <si>
    <t>Closing Stock Price (listing currency)</t>
  </si>
  <si>
    <t>mv_equity</t>
  </si>
  <si>
    <t>Market Capitalization (listing currency)</t>
  </si>
  <si>
    <t>stock_price_reporting</t>
  </si>
  <si>
    <t>Closing Stock Price (reporting currency)</t>
  </si>
  <si>
    <t>mv_equity_reporting</t>
  </si>
  <si>
    <t>Market Capitalization (reporting currency)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</si>
  <si>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</si>
  <si>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</si>
  <si>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</si>
  <si>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</si>
  <si>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</si>
  <si>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</si>
  <si>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</si>
  <si>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</si>
  <si>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</si>
  <si>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</si>
  <si>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</si>
  <si>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</si>
  <si>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</si>
  <si>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</si>
  <si>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</si>
  <si>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</si>
  <si>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</si>
  <si>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</si>
  <si>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</si>
  <si>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</si>
  <si>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</si>
  <si>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</si>
  <si>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</si>
  <si>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</si>
  <si>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</si>
  <si>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</si>
  <si>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</si>
  <si>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</si>
  <si>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</si>
  <si>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</si>
  <si>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</si>
  <si>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</si>
  <si>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</si>
  <si>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</si>
  <si>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</si>
  <si>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</si>
  <si>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</si>
  <si>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</si>
  <si>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</si>
  <si>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</si>
  <si>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</si>
  <si>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</si>
  <si>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</si>
  <si>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IQ_RD_EXP_FN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</si>
  <si>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</si>
  <si>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</si>
  <si>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</si>
  <si>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</si>
  <si>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</si>
  <si>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</si>
  <si>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</si>
  <si>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</si>
  <si>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</si>
  <si>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</si>
  <si>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</si>
  <si>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</si>
  <si>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</si>
  <si>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</si>
  <si>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</si>
  <si>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</si>
  <si>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</si>
  <si>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</si>
  <si>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</si>
  <si>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</si>
  <si>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</si>
  <si>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</si>
  <si>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</si>
  <si>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</si>
  <si>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</si>
  <si>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TQEAABhDSVEuTlZEQS5JUV9FQklULklRX0ZZLTABAAAAM34AAAIAAAAGMTMwMzg3AQgAAAAFAAAAATEBAAAACy0xOTA1MDgxNzU3AwAAAAMxNjACAAAAAzQwMAQAAAABMAcAAAAJNC8zMC8yMDI2CAAAAAkxLzI1LzIwMjYJAAAAATAhLCM7yqbeCIicWTvKpt4IHkNJUS5OVkRBLklRX1RPVEFMX1JFVi5JUV9GWS0xMAEAAAAzfgAAAgAAAAQ1MDEwAQgAAAAFAAAAATEBAAAACjE4NzY3MzQ0MDUDAAAAAzE2MAIAAAACMjgEAAAAATAHAAAACTQvMzAvMjAyNggAAAAJMS8zMS8yMDE2CQAAAAEwISwjO8qm3giInFk7yqbeCB1DSVEuTlZEQS5JUV9UT1RBTF9SRVYuSVFfRlktMgEAAAAzfgAAAgAAAAU2MDkyMgEIAAAABQAAAAExAQAAAAstMTkwNTA4MTc1OQMAAAADMTYwAgAAAAIyOAQAAAABMAcAAAAJNC8zMC8yMDI2CAAAAAkxLzI4LzIwMjQJAAAAATAhLCM7yqbeCIicWTvKpt4IHUNJUS5OVkRBLklRX1RPVEFMX1JFVi5JUV9GWS02AQAAADN+AAACAAAABTEwOTE4AQgAAAAFAAAAATEBAAAACy0yMTA3NzQ5ODYxAwAAAAMxNjACAAAAAjI4BAAAAAEwBwAAAAk0LzMwLzIwMjYIAAAACTEvMjYvMjAyMAkAAAABMCEsIzvKpt4IiJxZO8qm3ggdQ0lRLk5WREEuSVFfVE9UQUxfUkVWLklRX0ZZLTMBAAAAM34AAAIAAAAFMjY5NzQBCAAAAAUAAAABMQEAAAALLTE5NTgxNzIzNzIDAAAA</t>
  </si>
  <si>
    <t>AzE2MAIAAAACMjgEAAAAATAHAAAACTQvMzAvMjAyNggAAAAJMS8yOS8yMDIzCQAAAAEwISwjO8qm3giInFk7yqbeCB1DSVEuTlZEQS5JUV9UT1RBTF9SRVYuSVFfRlktNQEAAAAzfgAAAgAAAAUxNjY3NQEIAAAABQAAAAExAQAAAAstMjA1OTU1NTI0NwMAAAADMTYwAgAAAAIyOAQAAAABMAcAAAAJNC8zMC8yMDI2CAAAAAkxLzMxLzIwMjEJAAAAATAhLCM7yqbeCIicWTvKpt4IHUNJUS5OVkRBLklRX1RPVEFMX1JFVi5JUV9GWS00AQAAADN+AAACAAAABTI2OTE0AQgAAAAFAAAAATEBAAAACy0yMDA5MzM5NDA4AwAAAAMxNjACAAAAAjI4BAAAAAEwBwAAAAk0LzMwLzIwMjYIAAAACTEvMzAvMjAyMgkAAAABMCEsIzvKpt4IiJxZO8qm3ggYQ0lRLk5WREEuSVFfRUJJVC5JUV9GWS02AQAAADN+AAACAAAABDI4NDYBCAAAAAUAAAABMQEAAAALLTIxMDc3NDk4NjEDAAAAAzE2MAIAAAADNDAwBAAAAAEwBwAAAAk0LzMwLzIwMjYIAAAACTEvMjYvMjAyMAkAAAABMCEsIzvKpt4IM3VZO8qm3ggYQ0lRLk5WREEuSVFfRUJJVC5JUV9GWS00AQAAADN+AAACAAAABTEwMDQxAQgAAAAFAAAAATEBAAAACy0yMDA5MzM5NDA4AwAAAAMxNjACAAAAAzQwMAQAAAABMAcAAAAJNC8zMC8yMDI2CAAAAAkxLzMwLzIwMjIJAAAAATAhLCM7yqbeCDN1WTvKpt4IGENJUS5OVkRBLklRX0VCSVQuSVFfRlktMwEAAAAzfgAAAgAAAAQ1</t>
  </si>
  <si>
    <t>NTc3AQgAAAAFAAAAATEBAAAACy0xOTU4MTcyMzcyAwAAAAMxNjACAAAAAzQwMAQAAAABMAcAAAAJNC8zMC8yMDI2CAAAAAkxLzI5LzIwMjMJAAAAATAhLCM7yqbeCDN1WTvKpt4IHUNJUS5OVkRBLklRX1RPVEFMX1JFVi5JUV9GWS0xAQAAADN+AAACAAAABjEzMDQ5NwEIAAAABQAAAAExAQAAAAstMTkwNTA4MTczOQMAAAADMTYwAgAAAAIyOAQAAAABMAcAAAAJNC8zMC8yMDI2CAAAAAkxLzI2LzIwMjUJAAAAATAhLCM7yqbeCIicWTvKpt4IHUNJUS5OVkRBLklRX1RPVEFMX1JFVi5JUV9GWS0wAQAAADN+AAACAAAABjIxNTkzOAEIAAAABQAAAAExAQAAAAstMTkwNTA4MTc1NwMAAAADMTYwAgAAAAIyOAQAAAABMAcAAAAJNC8zMC8yMDI2CAAAAAkxLzI1LzIwMjYJAAAAATAhLCM7yqbeCIicWTvKpt4IGENJUS5OVkRBLklRX0VCSVQuSVFfRlktNQEAAAAzfgAAAgAAAAQ0NzIxAQgAAAAFAAAAATEBAAAACy0yMDU5NTU1MjQ3AwAAAAMxNjACAAAAAzQwMAQAAAABMAcAAAAJNC8zMC8yMDI2CAAAAAkxLzMxLzIwMjEJAAAAATAhLCM7yqbeCDN1WTvKpt4IG0NJUS45OTIuSVFfT1BUSU9OU19BVkdfTElGRQUAAAAAAAAACAAAABYoSW52YWxpZCBGb3JtdWxhIE5hbWUp/7/mWsqm3gjlFBdbyqbeCBNDSVEuOTkyLklRX0VYQ0hBTkdFAQAAAAhCBgADAAAABFNFSEsA/7/mWsqm3gjlFBdbyqbeCCBDSVEuOTkyLklR</t>
  </si>
  <si>
    <t>X0NMT1NFUFJJQ0UuLi48RklMSU5HPgEAAAAIQgYAAgAAAAUxMS44NgD/v+ZayqbeCOUUF1vKpt4IH0NJUS45OTIuSVFfTUFSS0VUQ0FQLi4uPEZJTElORz4BAAAACEIGAAIAAAANMTQ3MTE5LjI1OTMyMgEGAAAABQAAAAExAQAAAAstMTkwNzE2MDI3NAMAAAACNjQCAAAABjEwMDA1NAQAAAABMAcAAAAJNC8yOS8yMDI2/7/mWsqm3gjlFBdbyqbeCBVDSVEuOTkyLklRX0NMT1NFUFJJQ0UBAAAACEIGAAIAAAAFMTEuODYA/7/mWsqm3gjV7RZbyqbeCBRDSVEuOTkyLklRX01BUktFVENBUAEAAAAIQgYAAgAAAA0xNDcxMTkuMjU5MzIyAQYAAAAFAAAAATEBAAAACy0xOTA3MTYwMjc0AwAAAAI2NAIAAAAGMTAwMDU0BAAAAAEwBwAAAAk0LzI5LzIwMjb/v+ZayqbeCNXtFlvKpt4IHUNJUS45OTIuSVFfUEVSSU9EREFURS5JUV9GUS0wAQAAAAhCBgAFAAAACjIwMjUvMTIvMzEA/7/mWsqm3gjlFBdbyqbeCBZDSVEuOTkyLklRX09MX0NPTU1fQ1kyAQAAAAhCBgADAAAAAAD/v+ZayqbeCOUUF1vKpt4IFkNJUS45OTIuSVFfT0xfQ09NTV9DWTMBAAAACEIGAAMAAAAAAP+/5lrKpt4I5RQXW8qm3ggWQ0lRLjk5Mi5JUV9PTF9DT01NX0NZNAEAAAAIQgYAAwAAAAAA/7/mWsqm3gjlFBdbyqbeCBxDSVEuOTkyLklRX09MX0NPTU1fTkVYVF9GSVZFAQAAAAhCBgADAAAAAAD/v+ZayqbeCOUUF1vKpt4IHUNJUS45OTIuSVFf</t>
  </si>
  <si>
    <t>UEVSSU9EREFURS5JUV9GWS0wAQAAAAhCBgAFAAAACTIwMjUvMy8zMQD/v+ZayqbeCOUUF1vKpt4IGUNJUS45OTIuSVFfT1BUSU9OU19FTkRfT1MBAAAACEIGAAMAAAAAAP+/5lrKpt4I5RQXW8qm3ggiQ0lRLjk5Mi5JUV9PUFRJT05TX1NUUklLRV9QUklDRV9PUwEAAAAIQgYAAwAAAAAA/7/mWsqm3gjlFBdbyqbeCBVDSVEuOTkyLklRX09MX0NPTU1fQ1kBAAAACEIGAAMAAAAAAP+/5lrKpt4I5RQXW8qm3ggWQ0lRLjk5Mi5JUV9PTF9DT01NX0NZMQEAAAAIQgYAAwAAAAAA/7/mWsqm3gjV7RZbyqbeCBpDSVEuOTkyLklRX0ZJTElOR19DVVJSRU5DWQEAAAAIQgYAAwAAAANVU0QA/7/mWsqm3gjlFBdbyqbeCCBDSVEuOTkyLklRX0VGRkVDVF9UQVhfUkFURS5JUV9GWQEAAAAIQgYAAgAAAAYxLjI3NzQBCAAAAAUAAAABMQEAAAALLTE5Mzc2NjQ4ODADAAAAAzE2MAIAAAAENDM3NgQAAAABMAcAAAAJNC8zMC8yMDI2CAAAAAkzLzMxLzIwMjUJAAAAATD/v+ZayqbeCNXtFlvKpt4IMENJUS45OTIuSVFfVE9UQUxfT1VUU1RBTkRJTkdfRklMSU5HX0RBVEUuSVFfRlEtMAEAAAAIQgYAAgAAAAwxMjQwNC42NTkzMDIBBAAAAAUAAAABNQEAAAALLTE5MDcxNjAyNzQCAAAABTI0MTUzBgAAAAEw/7/mWsqm3gjV7RZbyqbeCBxDSVEuOTkyLklRX0xUX0lOVkVTVC5JUV9GUS0wAQAAAAhCBgACAAAACDIyMTAuODY1AQgA</t>
  </si>
  <si>
    <t>AAAFAAAAATEBAAAACy0xOTA3MTYwMjc0AwAAAAMxNjACAAAABDEwNTQEAAAAATAHAAAACTQvMzAvMjAyNggAAAAKMTIvMzEvMjAyNQkAAAABMP+/5lrKpt4I1e0WW8qm3ggkQ0lRLjk5Mi5JUV9NSU5PUklUWV9JTlRFUkVTVC5JUV9GUS0wAQAAAAhCBgACAAAACDEzMjEuODY0AQgAAAAFAAAAATEBAAAACy0xOTA3MTYwMjc0AwAAAAMxNjACAAAABDEwNTIEAAAAATAHAAAACTQvMzAvMjAyNggAAAAKMTIvMzEvMjAyNQkAAAABMP+/5lrKpt4I1e0WW8qm3ggkQ0lRLjk5Mi5JUV9NSU5PUklUWV9JTlRFUkVTVC5JUV9GWS05AQAAAAhCBgACAAAABzIzOC45NDkBCAAAAAUAAAABMQEAAAAKMTg0NjE0Nzk4MwMAAAADMTYwAgAAAAQxMDUyBAAAAAEwBwAAAAk0LzMwLzIwMjYIAAAACTMvMzEvMjAxNgkAAAABMP+/5lrKpt4I1e0WW8qm3gglQ0lRLjk5Mi5JUV9NSU5PUklUWV9JTlRFUkVTVC5JUV9GWS0xMAEAAAAIQgYAAgAAAAcyMzUuMzc4AQgAAAAFAAAAATEBAAAACjE3OTU1Mzg1OTkDAAAAAzE2MAIAAAAEMTA1MgQAAAABMAcAAAAJNC8zMC8yMDI2CAAAAAkzLzMxLzIwMTUJAAAAATD/v+ZayqbeCNXtFlvKpt4IHUNJUS45OTIuSVFfQ0FTSF9FUVVJVi5JUV9GUS0wAQAAAAhCBgACAAAABzUyMjEuNDEBCAAAAAUAAAABMQEAAAALLTE5MDcxNjAyNzQDAAAAAzE2MAIAAAAEMTA5NgQAAAABMAcAAAAJNC8zMC8y</t>
  </si>
  <si>
    <t>MDI2CAAAAAoxMi8zMS8yMDI1CQAAAAEw/7/mWsqm3gjV7RZbyqbeCB9DSVEuOTkyLklRX1RPVEFMX0VRVUlUWS5JUV9GUS0wAQAAAAhCBgACAAAACDc4NDYuMDc3AQgAAAAFAAAAATEBAAAACy0xOTA3MTYwMjc0AwAAAAMxNjACAAAABDEyNzUEAAAAATAHAAAACTQvMzAvMjAyNggAAAAKMTIvMzEvMjAyNQkAAAABMP+/5lrKpt4I1e0WW8qm3ggdQ0lRLjk5Mi5JUV9UT1RBTF9ERUJULklRX0ZRLTABAAAACEIGAAIAAAAINTA1Mi40NjgBCAAAAAUAAAABMQEAAAALLTE5MDcxNjAyNzQDAAAAAzE2MAIAAAAENDE3MwQAAAABMAcAAAAJNC8zMC8yMDI2CAAAAAoxMi8zMS8yMDI1CQAAAAEw/7/mWsqm3gjV7RZbyqbeCCRDSVEuOTkyLklRX01JTk9SSVRZX0lOVEVSRVNULklRX0ZZLTQBAAAACEIGAAIAAAAHODE3LjczNQEIAAAABQAAAAExAQAAAAstMjA5MTU3MDcwNgMAAAADMTYwAgAAAAQxMDUyBAAAAAEwBwAAAAk0LzMwLzIwMjYIAAAACTMvMzEvMjAyMQkAAAABMP+/5lrKpt4I1e0WW8qm3ggkQ0lRLjk5Mi5JUV9NSU5PUklUWV9JTlRFUkVTVC5JUV9GWS01AQAAAAhCBgACAAAACDE2MjcuOTkxAQgAAAAFAAAAATEBAAAACy0yMTQ2NjE2MzI1AwAAAAMxNjACAAAABDEwNTIEAAAAATAHAAAACTQvMzAvMjAyNggAAAAJMy8zMS8yMDIwCQAAAAEw/7/mWsqm3gjV7RZbyqbeCCRDSVEuOTkyLklRX01JTk9SSVRZ</t>
  </si>
  <si>
    <t>X0lOVEVSRVNULklRX0ZZLTYBAAAACEIGAAIAAAAIMTQ2Ni44NDgBCAAAAAUAAAABMQEAAAAKMjA0MDE1NTgzMwMAAAADMTYwAgAAAAQxMDUyBAAAAAEwBwAAAAk0LzMwLzIwMjYIAAAACTMvMzEvMjAxOQkAAAABMP+/5lrKpt4I1e0WW8qm3ggkQ0lRLjk5Mi5JUV9NSU5PUklUWV9JTlRFUkVTVC5JUV9GWS03AQAAAAhCBgACAAAACDEyNDAuMjY4AQgAAAAFAAAAATEBAAAACjE5Njc0NDc5MjQDAAAAAzE2MAIAAAAEMTA1MgQAAAABMAcAAAAJNC8zMC8yMDI2CAAAAAkzLzMxLzIwMTgJAAAAATD/v+ZayqbeCNXtFlvKpt4IJENJUS45OTIuSVFfTUlOT1JJVFlfSU5URVJFU1QuSVFfRlktOAEAAAAIQgYAAgAAAAgxMDg0LjUyMQEIAAAABQAAAAExAQAAAAoxODkyMjQ1NzUyAwAAAAMxNjACAAAABDEwNTIEAAAAATAHAAAACTQvMzAvMjAyNggAAAAJMy8zMS8yMDE3CQAAAAEw/7/mWsqm3gjGxhZbyqbeCB1DSVEuOTkyLklRX0xUX0lOVkVTVC5JUV9GWS0xMAEAAAAIQgYAAgAAAAcxMTkuMTE5AQgAAAAFAAAAATEBAAAACjE3OTU1Mzg1OTkDAAAAAzE2MAIAAAAEMTA1NAQAAAABMAcAAAAJNC8zMC8yMDI2CAAAAAkzLzMxLzIwMTUJAAAAATD/v+ZayqbeCMbGFlvKpt4IJENJUS45OTIuSVFfTUlOT1JJVFlfSU5URVJFU1QuSVFfRlktMAEAAAAIQgYAAgAAAAgxMTM4LjI4MwEIAAAABQAAAAExAQAAAAstMTkzNzY2</t>
  </si>
  <si>
    <t>NDg4MAMAAAADMTYwAgAAAAQxMDUyBAAAAAEwBwAAAAk0LzMwLzIwMjYIAAAACTMvMzEvMjAyNQkAAAABMP+/5lrKpt4IxsYWW8qm3ggkQ0lRLjk5Mi5JUV9NSU5PUklUWV9JTlRFUkVTVC5JUV9GWS0xAQAAAAhCBgACAAAACDEwNDUuOTQ3AQgAAAAFAAAAATEBAAAACy0xOTM3NjY0ODg4AwAAAAMxNjACAAAABDEwNTIEAAAAATAHAAAACTQvMzAvMjAyNggAAAAJMy8zMS8yMDI0CQAAAAEw/7/mWsqm3gjGxhZbyqbeCCRDSVEuOTkyLklRX01JTk9SSVRZX0lOVEVSRVNULklRX0ZZLTIBAAAACEIGAAIAAAAIMTAwNi43ODQBCAAAAAUAAAABMQEAAAALLTE5ODkyODc1MTIDAAAAAzE2MAIAAAAEMTA1MgQAAAABMAcAAAAJNC8zMC8yMDI2CAAAAAkzLzMxLzIwMjMJAAAAATD/v+ZayqbeCNXtFlvKpt4IJENJUS45OTIuSVFfTUlOT1JJVFlfSU5URVJFU1QuSVFfRlktMwEAAAAIQgYAAgAAAAc5NTEuNDE1AQgAAAAFAAAAATEBAAAACy0yMDM5NDYwNzAyAwAAAAMxNjACAAAABDEwNTIEAAAAATAHAAAACTQvMzAvMjAyNggAAAAJMy8zMS8yMDIyCQAAAAEw/7/mWsqm3gjGxhZbyqbeCBxDSVEuOTkyLklRX0xUX0lOVkVTVC5JUV9GWS01AQAAAAhCBgACAAAABjYxMS4yNQEIAAAABQAAAAExAQAAAAstMjE0NjYxNjMyNQMAAAADMTYwAgAAAAQxMDU0BAAAAAEwBwAAAAk0LzMwLzIwMjYIAAAACTMvMzEvMjAyMAkAAAAB</t>
  </si>
  <si>
    <t>MP+/5lrKpt4IxsYWW8qm3ggcQ0lRLjk5Mi5JUV9MVF9JTlZFU1QuSVFfRlktNgEAAAAIQgYAAgAAAAY1OTkuOTEBCAAAAAUAAAABMQEAAAAKMjA0MDE1NTgzMwMAAAADMTYwAgAAAAQxMDU0BAAAAAEwBwAAAAk0LzMwLzIwMjYIAAAACTMvMzEvMjAxOQkAAAABMP+/5lrKpt4IxsYWW8qm3ggcQ0lRLjk5Mi5JUV9MVF9JTlZFU1QuSVFfRlktNwEAAAAIQgYAAgAAAAc0MDguNzQzAQgAAAAFAAAAATEBAAAACjE5Njc0NDc5MjQDAAAAAzE2MAIAAAAEMTA1NAQAAAABMAcAAAAJNC8zMC8yMDI2CAAAAAkzLzMxLzIwMTgJAAAAATD/v+ZayqbeCMbGFlvKpt4IHENJUS45OTIuSVFfTFRfSU5WRVNULklRX0ZZLTgBAAAACEIGAAIAAAAHMjg4LjQ2NQEIAAAABQAAAAExAQAAAAoxODkyMjQ1NzUyAwAAAAMxNjACAAAABDEwNTQEAAAAATAHAAAACTQvMzAvMjAyNggAAAAJMy8zMS8yMDE3CQAAAAEw/7/mWsqm3gjGxhZbyqbeCBxDSVEuOTkyLklRX0xUX0lOVkVTVC5JUV9GWS05AQAAAAhCBgACAAAABzE4MC4wMTEBCAAAAAUAAAABMQEAAAAKMTg0NjE0Nzk4MwMAAAADMTYwAgAAAAQxMDU0BAAAAAEwBwAAAAk0LzMwLzIwMjYIAAAACTMvMzEvMjAxNgkAAAABMP+/5lrKpt4IxsYWW8qm3ggcQ0lRLjk5Mi5JUV9MVF9JTlZFU1QuSVFfRlktMAEAAAAIQgYAAgAAAAcxODI1LjQ3AQgAAAAFAAAAATEBAAAACy0xOTM3NjY0</t>
  </si>
  <si>
    <t>ODgwAwAAAAMxNjACAAAABDEwNTQEAAAAATAHAAAACTQvMzAvMjAyNggAAAAJMy8zMS8yMDI1CQAAAAEw/7/mWsqm3gjGxhZbyqbeCBxDSVEuOTkyLklRX0xUX0lOVkVTVC5JUV9GWS0xAQAAAAhCBgACAAAACDE3NjguNDQyAQgAAAAFAAAAATEBAAAACy0xOTM3NjY0ODg4AwAAAAMxNjACAAAABDEwNTQEAAAAATAHAAAACTQvMzAvMjAyNggAAAAJMy8zMS8yMDI0CQAAAAEw/7/mWsqm3gjGxhZbyqbeCBxDSVEuOTkyLklRX0xUX0lOVkVTVC5JUV9GWS0yAQAAAAhCBgACAAAACDE3MzguNDE0AQgAAAAFAAAAATEBAAAACy0xOTg5Mjg3NTEyAwAAAAMxNjACAAAABDEwNTQEAAAAATAHAAAACTQvMzAvMjAyNggAAAAJMy8zMS8yMDIzCQAAAAEw/7/mWsqm3gjGxhZbyqbeCBxDSVEuOTkyLklRX0xUX0lOVkVTVC5JUV9GWS0zAQAAAAhCBgACAAAACDE1MDguNTI3AQgAAAAFAAAAATEBAAAACy0yMDM5NDYwNzAyAwAAAAMxNjACAAAABDEwNTQEAAAAATAHAAAACTQvMzAvMjAyNggAAAAJMy8zMS8yMDIyCQAAAAEw/7/mWsqm3gjGxhZbyqbeCBxDSVEuOTkyLklRX0xUX0lOVkVTVC5JUV9GWS00AQAAAAhCBgACAAAABzk1NS4yNjQBCAAAAAUAAAABMQEAAAALLTIwOTE1NzA3MDYDAAAAAzE2MAIAAAAEMTA1NAQAAAABMAcAAAAJNC8zMC8yMDI2CAAAAAkzLzMxLzIwMjEJAAAAATD/v+ZayqbeCLifFlvKpt4IMENJUS45</t>
  </si>
  <si>
    <t>OTIuSVFfVE9UQUxfT1VUU1RBTkRJTkdfRklMSU5HX0RBVEUuSVFfRlktNgEAAAAIQgYAAgAAAAwxMjAxNC43OTE2MTQBBAAAAAUAAAABNQEAAAAKMjA0MDE1NTgzMwIAAAAFMjQxNTMGAAAAATD/v+ZayqbeCLifFlvKpt4IMENJUS45OTIuSVFfVE9UQUxfT1VUU1RBTkRJTkdfRklMSU5HX0RBVEUuSVFfRlktNwEAAAAIQgYAAgAAAAwxMjAxNC43OTE2MTQBBAAAAAUAAAABNQEAAAAKMTk2NzQ0NzkyNAIAAAAFMjQxNTMGAAAAATD/v+ZayqbeCMbGFlvKpt4IMENJUS45OTIuSVFfVE9UQUxfT1VUU1RBTkRJTkdfRklMSU5HX0RBVEUuSVFfRlktOAEAAAAIQgYAAgAAAAwxMTEwOC42NTQ3MjQBBAAAAAUAAAABNQEAAAAKMTg5MjI0NTc1MgIAAAAFMjQxNTMGAAAAATD/v+ZayqbeCMbGFlvKpt4IMENJUS45OTIuSVFfVE9UQUxfT1VUU1RBTkRJTkdfRklMSU5HX0RBVEUuSVFfRlktOQEAAAAIQgYAAgAAAAwxMTEwOC42NTQ3MjQBBAAAAAUAAAABNQEAAAAKMTg0NjE0Nzk4MwIAAAAFMjQxNTMGAAAAATD/v+ZayqbeCMbGFlvKpt4IMUNJUS45OTIuSVFfVE9UQUxfT1VUU1RBTkRJTkdfRklMSU5HX0RBVEUuSVFfRlktMTABAAAACEIGAAIAAAAMMTExMDguNjU0NzI0AQQAAAAFAAAAATUBAAAACjE3OTU1Mzg1OTkCAAAABTI0MTUzBgAAAAEw/7/mWsqm3gi4nxZbyqbeCDBDSVEuOTkyLklRX1RPVEFMX09VVFNUQU5E</t>
  </si>
  <si>
    <t>SU5HX0ZJTElOR19EQVRFLklRX0ZZLTEBAAAACEIGAAIAAAAMMTI0MDQuNjU5MzAyAQQAAAAFAAAAATUBAAAACy0xOTM3NjY0ODg4AgAAAAUyNDE1MwYAAAABMP+/5lrKpt4IuJ8WW8qm3ggwQ0lRLjk5Mi5JUV9UT1RBTF9PVVRTVEFORElOR19GSUxJTkdfREFURS5JUV9GWS0yAQAAAAhCBgACAAAADDEyMTI4LjEzMDI5MQEEAAAABQAAAAE1AQAAAAstMTk4OTI4NzUxMgIAAAAFMjQxNTMGAAAAATD/v+ZayqbeCLifFlvKpt4IMENJUS45OTIuSVFfVE9UQUxfT1VUU1RBTkRJTkdfRklMSU5HX0RBVEUuSVFfRlktMwEAAAAIQgYAAgAAAAwxMjA0MS43MDU2MTQBBAAAAAUAAAABNQEAAAALLTIwMzk0NjA3MDICAAAABTI0MTUzBgAAAAEw/7/mWsqm3gi4nxZbyqbeCDBDSVEuOTkyLklRX1RPVEFMX09VVFNUQU5ESU5HX0ZJTElOR19EQVRFLklRX0ZZLTQBAAAACEIGAAIAAAAMMTIwNDEuNzA1NjE0AQQAAAAFAAAAATUBAAAACy0yMDkxNTcwNzA2AgAAAAUyNDE1MwYAAAABMP+/5lrKpt4IuJ8WW8qm3ggwQ0lRLjk5Mi5JUV9UT1RBTF9PVVRTVEFORElOR19GSUxJTkdfREFURS5JUV9GWS01AQAAAAhCBgACAAAADDEyMDE0Ljc5MTYxNAEEAAAABQAAAAE1AQAAAAstMjE0NjYxNjMyNQIAAAAFMjQxNTMGAAAAATD/v+ZayqbeCLifFlvKpt4IHUNJUS45OTIuSVFfVE9UQUxfREVCVC5JUV9GWS03AQAAAAhCBgACAAAA</t>
  </si>
  <si>
    <t>CDM4MTUuNDE3AQgAAAAFAAAAATEBAAAACjE5Njc0NDc5MjQDAAAAAzE2MAIAAAAENDE3MwQAAAABMAcAAAAJNC8zMC8yMDI2CAAAAAkzLzMxLzIwMTgJAAAAATD/v+ZayqbeCLifFlvKpt4IHUNJUS45OTIuSVFfVE9UQUxfREVCVC5JUV9GWS04AQAAAAhCBgACAAAACDMwMzYuNjk1AQgAAAAFAAAAATEBAAAACjE4OTIyNDU3NTIDAAAAAzE2MAIAAAAENDE3MwQAAAABMAcAAAAJNC8zMC8yMDI2CAAAAAkzLzMxLzIwMTcJAAAAATD/v+ZayqbeCLifFlvKpt4IHUNJUS45OTIuSVFfVE9UQUxfREVCVC5JUV9GWS05AQAAAAhCBgACAAAACDMyNTAuOTI3AQgAAAAFAAAAATEBAAAACjE4NDYxNDc5ODMDAAAAAzE2MAIAAAAENDE3MwQAAAABMAcAAAAJNC8zMC8yMDI2CAAAAAkzLzMxLzIwMTYJAAAAATD/v+ZayqbeCLifFlvKpt4IHkNJUS45OTIuSVFfVE9UQUxfREVCVC5JUV9GWS0xMAEAAAAIQgYAAgAAAAgzMDU0LjEyMgEIAAAABQAAAAExAQAAAAoxNzk1NTM4NTk5AwAAAAMxNjACAAAABDQxNzMEAAAAATAHAAAACTQvMzAvMjAyNggAAAAJMy8zMS8yMDE1CQAAAAEw/7/mWsqm3gi4nxZbyqbeCDBDSVEuOTkyLklRX1RPVEFMX09VVFNUQU5ESU5HX0ZJTElOR19EQVRFLklRX0ZZLTABAAAACEIGAAIAAAAMMTI0MDQuNjU5MzAyAQQAAAAFAAAAATUBAAAACy0xOTM3NjY0ODgwAgAAAAUyNDE1MwYAAAABMP+/5lrK</t>
  </si>
  <si>
    <t>pt4IuJ8WW8qm3ggdQ0lRLjk5Mi5JUV9UT1RBTF9ERUJULklRX0ZZLTIBAAAACEIGAAIAAAAHNDM1OS4zNQEIAAAABQAAAAExAQAAAAstMTk4OTI4NzUxMgMAAAADMTYwAgAAAAQ0MTczBAAAAAEwBwAAAAk0LzMwLzIwMjYIAAAACTMvMzEvMjAyMwkAAAABMP+/5lrKpt4IuJ8WW8qm3ggdQ0lRLjk5Mi5JUV9UT1RBTF9ERUJULklRX0ZZLTMBAAAACEIGAAIAAAAIMzgyOS4yNjcBCAAAAAUAAAABMQEAAAALLTIwMzk0NjA3MDIDAAAAAzE2MAIAAAAENDE3MwQAAAABMAcAAAAJNC8zMC8yMDI2CAAAAAkzLzMxLzIwMjIJAAAAATD/v+ZayqbeCLifFlvKpt4IHUNJUS45OTIuSVFfVE9UQUxfREVCVC5JUV9GWS00AQAAAAhCBgACAAAACDQ0NjQuNzc5AQgAAAAFAAAAATEBAAAACy0yMDkxNTcwNzA2AwAAAAMxNjACAAAABDQxNzMEAAAAATAHAAAACTQvMzAvMjAyNggAAAAJMy8zMS8yMDIxCQAAAAEw/7/mWsqm3gi4nxZbyqbeCB1DSVEuOTkyLklRX1RPVEFMX0RFQlQuSVFfRlktNQEAAAAIQgYAAgAAAAg1Mjk4LjM4MQEIAAAABQAAAAExAQAAAAstMjE0NjYxNjMyNQMAAAADMTYwAgAAAAQ0MTczBAAAAAEwBwAAAAk0LzMwLzIwMjYIAAAACTMvMzEvMjAyMAkAAAABMP+/5lrKpt4IuJ8WW8qm3ggdQ0lRLjk5Mi5JUV9UT1RBTF9ERUJULklRX0ZZLTYBAAAACEIGAAIAAAAINDM3OS44MTMBCAAAAAUAAAABMQEAAAAK</t>
  </si>
  <si>
    <t>MjA0MDE1NTgzMwMAAAADMTYwAgAAAAQ0MTczBAAAAAEwBwAAAAk0LzMwLzIwMjYIAAAACTMvMzEvMjAxOQkAAAABMP+/5lrKpt4IrngWW8qm3ggfQ0lRLjk5Mi5JUV9UT1RBTF9FUVVJVFkuSVFfRlktOAEAAAAIQgYAAgAAAAg0MDk1LjIyMgEIAAAABQAAAAExAQAAAAoxODkyMjQ1NzUyAwAAAAMxNjACAAAABDEyNzUEAAAAATAHAAAACTQvMzAvMjAyNggAAAAJMy8zMS8yMDE3CQAAAAEw/7/mWsqm3giueBZbyqbeCB9DSVEuOTkyLklRX1RPVEFMX0VRVUlUWS5JUV9GWS05AQAAAAhCBgACAAAACDMwMjYuMjQ5AQgAAAAFAAAAATEBAAAACjE4NDYxNDc5ODMDAAAAAzE2MAIAAAAEMTI3NQQAAAABMAcAAAAJNC8zMC8yMDI2CAAAAAkzLzMxLzIwMTYJAAAAATD/v+ZayqbeCK54FlvKpt4IIENJUS45OTIuSVFfVE9UQUxfRVFVSVRZLklRX0ZZLTEwAQAAAAhCBgACAAAACDQxMDYuMTIxAQgAAAAFAAAAATEBAAAACjE3OTU1Mzg1OTkDAAAAAzE2MAIAAAAEMTI3NQQAAAABMAcAAAAJNC8zMC8yMDI2CAAAAAkzLzMxLzIwMTUJAAAAATD/v+ZayqbeCK54FlvKpt4IHUNJUS45OTIuSVFfVE9UQUxfREVCVC5JUV9GWS0wAQAAAAhCBgACAAAACDU3MzIuOTU4AQgAAAAFAAAAATEBAAAACy0xOTM3NjY0ODgwAwAAAAMxNjACAAAABDQxNzMEAAAAATAHAAAACTQvMzAvMjAyNggAAAAJMy8zMS8yMDI1CQAAAAEw/7/mWsqm</t>
  </si>
  <si>
    <t>3giueBZbyqbeCB1DSVEuOTkyLklRX1RPVEFMX0RFQlQuSVFfRlktMQEAAAAIQgYAAgAAAAgzOTYxLjY4OQEIAAAABQAAAAExAQAAAAstMTkzNzY2NDg4OAMAAAADMTYwAgAAAAQ0MTczBAAAAAEwBwAAAAk0LzMwLzIwMjYIAAAACTMvMzEvMjAyNAkAAAABMP+/5lrKpt4IrngWW8qm3ggfQ0lRLjk5Mi5JUV9UT1RBTF9FUVVJVFkuSVFfRlktMwEAAAAIQgYAAgAAAAg1Mzk0LjcwMQEIAAAABQAAAAExAQAAAAstMjAzOTQ2MDcwMgMAAAADMTYwAgAAAAQxMjc1BAAAAAEwBwAAAAk0LzMwLzIwMjYIAAAACTMvMzEvMjAyMgkAAAABMP+/5lrKpt4IrngWW8qm3ggfQ0lRLjk5Mi5JUV9UT1RBTF9FUVVJVFkuSVFfRlktNAEAAAAIQgYAAgAAAAgzNjEwLjUzMwEIAAAABQAAAAExAQAAAAstMjA5MTU3MDcwNgMAAAADMTYwAgAAAAQxMjc1BAAAAAEwBwAAAAk0LzMwLzIwMjYIAAAACTMvMzEvMjAyMQkAAAABMP+/5lrKpt4IrngWW8qm3ggfQ0lRLjk5Mi5JUV9UT1RBTF9FUVVJVFkuSVFfRlktNQEAAAAIQgYAAgAAAAg0MDU5LjI5NQEIAAAABQAAAAExAQAAAAstMjE0NjYxNjMyNQMAAAADMTYwAgAAAAQxMjc1BAAAAAEwBwAAAAk0LzMwLzIwMjYIAAAACTMvMzEvMjAyMAkAAAABMP+/5lrKpt4IrngWW8qm3ggfQ0lRLjk5Mi5JUV9UT1RBTF9FUVVJVFkuSVFfRlktNgEAAAAIQgYAAgAAAAg0MDk3LjA2MwEIAAAABQAA</t>
  </si>
  <si>
    <t>AAExAQAAAAoyMDQwMTU1ODMzAwAAAAMxNjACAAAABDEyNzUEAAAAATAHAAAACTQvMzAvMjAyNggAAAAJMy8zMS8yMDE5CQAAAAEw/7/mWsqm3giueBZbyqbeCB9DSVEuOTkyLklRX1RPVEFMX0VRVUlUWS5JUV9GWS03AQAAAAhCBgACAAAACDQ1NDUuOTg4AQgAAAAFAAAAATEBAAAACjE5Njc0NDc5MjQDAAAAAzE2MAIAAAAEMTI3NQQAAAABMAcAAAAJNC8zMC8yMDI2CAAAAAkzLzMxLzIwMTgJAAAAATD/v+ZayqbeCK54FlvKpt4IHUNJUS45OTIuSVFfQ0FTSF9FUVVJVi5JUV9GWS05AQAAAAhCBgACAAAABzE5MjYuODgBCAAAAAUAAAABMQEAAAAKMTg0NjE0Nzk4MwMAAAADMTYwAgAAAAQxMDk2BAAAAAEwBwAAAAk0LzMwLzIwMjYIAAAACTMvMzEvMjAxNgkAAAABMP+/5lrKpt4IrngWW8qm3ggeQ0lRLjk5Mi5JUV9DQVNIX0VRVUlWLklRX0ZZLTEwAQAAAAhCBgACAAAACDI4NTUuMjIzAQgAAAAFAAAAATEBAAAACjE3OTU1Mzg1OTkDAAAAAzE2MAIAAAAEMTA5NgQAAAABMAcAAAAJNC8zMC8yMDI2CAAAAAkzLzMxLzIwMTUJAAAAATD/v+ZayqbeCK54FlvKpt4IH0NJUS45OTIuSVFfVE9UQUxfRVFVSVRZLklRX0ZZLTABAAAACEIGAAIAAAAINjY1OS45MTcBCAAAAAUAAAABMQEAAAALLTE5Mzc2NjQ4ODADAAAAAzE2MAIAAAAEMTI3NQQAAAABMAcAAAAJNC8zMC8yMDI2CAAAAAkzLzMxLzIwMjUJAAAAATD/</t>
  </si>
  <si>
    <t>v+ZayqbeCK54FlvKpt4IH0NJUS45OTIuSVFfVE9UQUxfRVFVSVRZLklRX0ZZLTEBAAAACEIGAAIAAAAINjA4MS4xODcBCAAAAAUAAAABMQEAAAALLTE5Mzc2NjQ4ODgDAAAAAzE2MAIAAAAEMTI3NQQAAAABMAcAAAAJNC8zMC8yMDI2CAAAAAkzLzMxLzIwMjQJAAAAATD/v+ZayqbeCK54FlvKpt4IH0NJUS45OTIuSVFfVE9UQUxfRVFVSVRZLklRX0ZZLTIBAAAACEIGAAIAAAAINjA0Ny4wMjEBCAAAAAUAAAABMQEAAAALLTE5ODkyODc1MTIDAAAAAzE2MAIAAAAEMTI3NQQAAAABMAcAAAAJNC8zMC8yMDI2CAAAAAkzLzMxLzIwMjMJAAAAATD/v+ZayqbeCJtRFlvKpt4IHUNJUS45OTIuSVFfQ0FTSF9FUVVJVi5JUV9GWS00AQAAAAhCBgACAAAACDMwNjguMzg1AQgAAAAFAAAAATEBAAAACy0yMDkxNTcwNzA2AwAAAAMxNjACAAAABDEwOTYEAAAAATAHAAAACTQvMzAvMjAyNggAAAAJMy8zMS8yMDIxCQAAAAEw/7/mWsqm3gibURZbyqbeCB1DSVEuOTkyLklRX0NBU0hfRVFVSVYuSVFfRlktNQEAAAAIQgYAAgAAAAczNTUwLjk5AQgAAAAFAAAAATEBAAAACy0yMTQ2NjE2MzI1AwAAAAMxNjACAAAABDEwOTYEAAAAATAHAAAACTQvMzAvMjAyNggAAAAJMy8zMS8yMDIwCQAAAAEw/7/mWsqm3gibURZbyqbeCB1DSVEuOTkyLklRX0NBU0hfRVFVSVYuSVFfRlktNgEAAAAIQgYAAgAAAAgyNjYyLjg1NAEIAAAABQAA</t>
  </si>
  <si>
    <t>AAExAQAAAAoyMDQwMTU1ODMzAwAAAAMxNjACAAAABDEwOTYEAAAAATAHAAAACTQvMzAvMjAyNggAAAAJMy8zMS8yMDE5CQAAAAEw/7/mWsqm3giueBZbyqbeCB1DSVEuOTkyLklRX0NBU0hfRVFVSVYuSVFfRlktNwEAAAAIQgYAAgAAAAgxODQ4LjAxNwEIAAAABQAAAAExAQAAAAoxOTY3NDQ3OTI0AwAAAAMxNjACAAAABDEwOTYEAAAAATAHAAAACTQvMzAvMjAyNggAAAAJMy8zMS8yMDE4CQAAAAEw/7/mWsqm3giueBZbyqbeCB1DSVEuOTkyLklRX0NBU0hfRVFVSVYuSVFfRlktOAEAAAAIQgYAAgAAAAgyNzU0LjU5OQEIAAAABQAAAAExAQAAAAoxODkyMjQ1NzUyAwAAAAMxNjACAAAABDEwOTYEAAAAATAHAAAACTQvMzAvMjAyNggAAAAJMy8zMS8yMDE3CQAAAAEw/7/mWsqm3gibURZbyqbeCBpDSVEuOTkyLklRX0lOQ19UQVguSVFfRlEtNwEAAAAIQgYAAgAAAAY1NS42MzMBCAAAAAUAAAABMQEAAAALLTE5Mzc2NjQ1MDADAAAAAzE2MAIAAAACNzUEAAAAATAHAAAACTQvMzAvMjAyNggAAAAJMy8zMS8yMDI0CQAAAAEw/7/mWsqm3gibURZbyqbeCB1DSVEuOTkyLklRX0NBU0hfRVFVSVYuSVFfRlktMAEAAAAIQgYAAgAAAAg0NzI4LjEyNAEIAAAABQAAAAExAQAAAAstMTkzNzY2NDg4MAMAAAADMTYwAgAAAAQxMDk2BAAAAAEwBwAAAAk0LzMwLzIwMjYIAAAACTMvMzEvMjAyNQkAAAABMBbn5lrKpt4Im1EW</t>
  </si>
  <si>
    <t>W8qm3ggdQ0lRLjk5Mi5JUV9DQVNIX0VRVUlWLklRX0ZZLTEBAAAACEIGAAIAAAAIMzU1OS44MzEBCAAAAAUAAAABMQEAAAALLTE5Mzc2NjQ4ODgDAAAAAzE2MAIAAAAEMTA5NgQAAAABMAcAAAAJNC8zMC8yMDI2CAAAAAkzLzMxLzIwMjQJAAAAATAW5+ZayqbeCJtRFlvKpt4IHUNJUS45OTIuSVFfQ0FTSF9FUVVJVi5JUV9GWS0yAQAAAAhCBgACAAAACDQyNTAuMDg1AQgAAAAFAAAAATEBAAAACy0xOTg5Mjg3NTEyAwAAAAMxNjACAAAABDEwOTYEAAAAATAHAAAACTQvMzAvMjAyNggAAAAJMy8zMS8yMDIzCQAAAAEwFufmWsqm3gibURZbyqbeCB1DSVEuOTkyLklRX0NBU0hfRVFVSVYuSVFfRlktMwEAAAAIQgYAAgAAAAgzOTMwLjI4NwEIAAAABQAAAAExAQAAAAstMjAzOTQ2MDcwMgMAAAADMTYwAgAAAAQxMDk2BAAAAAEwBwAAAAk0LzMwLzIwMjYIAAAACTMvMzEvMjAyMgkAAAABMBbn5lrKpt4Im1EWW8qm3ggaQ0lRLjk5Mi5JUV9JTkNfVEFYLklRX0ZRLTIBAAAACEIGAAIAAAACODQBCAAAAAUAAAABMQEAAAALLTE5MzEyNjYyNDUDAAAAAzE2MAIAAAACNzUEAAAAATAHAAAACTQvMzAvMjAyNggAAAAJNi8zMC8yMDI1CQAAAAEwFufmWsqm3gibURZbyqbeCBpDSVEuOTkyLklRX0lOQ19UQVguSVFfRlEtMwEAAAAIQgYAAgAAAAU1My4yOAEIAAAABQAAAAExAQAAAAstMTkzNzY2NDQ5MwMAAAADMTYwAgAA</t>
  </si>
  <si>
    <t>AAI3NQQAAAABMAcAAAAJNC8zMC8yMDI2CAAAAAkzLzMxLzIwMjUJAAAAATAW5+ZayqbeCJtRFlvKpt4IGkNJUS45OTIuSVFfSU5DX1RBWC5JUV9GUS00AQAAAAhCBgACAAAACC0xODMuNzcyAQgAAAAFAAAAATEBAAAACy0xOTA3MTYwMjgxAwAAAAMxNjACAAAAAjc1BAAAAAEwBwAAAAk0LzMwLzIwMjYIAAAACjEyLzMxLzIwMjQJAAAAATAW5+ZayqbeCJtRFlvKpt4IGkNJUS45OTIuSVFfSU5DX1RBWC5JUV9GUS01AQAAAAhCBgACAAAABTg5LjkxAQgAAAAFAAAAATEBAAAACy0xOTEyNjg4NDkyAwAAAAMxNjACAAAAAjc1BAAAAAEwBwAAAAk0LzMwLzIwMjYIAAAACTkvMzAvMjAyNAkAAAABMBbn5lrKpt4Im1EWW8qm3ggaQ0lRLjk5Mi5JUV9JTkNfVEFYLklRX0ZRLTYBAAAACEIGAAIAAAAENTkuNQEIAAAABQAAAAExAQAAAAstMTk4MjgwNzg5MQMAAAADMTYwAgAAAAI3NQQAAAABMAcAAAAJNC8zMC8yMDI2CAAAAAk2LzMwLzIwMjQJAAAAATAW5+ZayqbeCCAqFlvKpt4IG0NJUS45OTIuSVFfRUJUX0VYQ0wuSVFfRlEtNQEAAAAIQgYAAgAAAAc0NzMuMTg2AQgAAAAFAAAAATEBAAAACy0xOTEyNjg4NDkyAwAAAAMxNjACAAAAATQEAAAAATAHAAAACTQvMzAvMjAyNggAAAAJOS8zMC8yMDI0CQAAAAEwFufmWsqm3gibURZbyqbeCBtDSVEuOTkyLklRX0VCVF9FWENMLklRX0ZRLTYBAAAACEIGAAIAAAAHMzEy</t>
  </si>
  <si>
    <t>Ljk5NQEIAAAABQAAAAExAQAAAAstMTk4MjgwNzg5MQMAAAADMTYwAgAAAAE0BAAAAAEwBwAAAAk0LzMwLzIwMjYIAAAACTYvMzAvMjAyNAkAAAABMBbn5lrKpt4Im1EWW8qm3ggbQ0lRLjk5Mi5JUV9FQlRfRVhDTC5JUV9GUS03AQAAAAhCBgACAAAABzMxMi4xNDQBCAAAAAUAAAABMQEAAAALLTE5Mzc2NjQ1MDADAAAAAzE2MAIAAAABNAQAAAABMAcAAAAJNC8zMC8yMDI2CAAAAAkzLzMxLzIwMjQJAAAAATAW5+ZayqbeCJtRFlvKpt4IGkNJUS45OTIuSVFfSU5DX1RBWC5JUV9GUS0wAQAAAAhCBgACAAAABzE3MC4yMTUBCAAAAAUAAAABMQEAAAALLTE5MDcxNjAyNzQDAAAAAzE2MAIAAAACNzUEAAAAATAHAAAACTQvMzAvMjAyNggAAAAKMTIvMzEvMjAyNQkAAAABMBbn5lrKpt4Im1EWW8qm3ggaQ0lRLjk5Mi5JUV9JTkNfVEFYLklRX0ZRLTEBAAAACEIGAAIAAAAHMTEzLjk5MwEIAAAABQAAAAExAQAAAAstMTkxMjY4ODQ3NAMAAAADMTYwAgAAAAI3NQQAAAABMAcAAAAJNC8zMC8yMDI2CAAAAAk5LzMwLzIwMjUJAAAAATAW5+ZayqbeCCAqFlvKpt4IG0NJUS45OTIuSVFfRUJUX0VYQ0wuSVFfRlEtMAEAAAAIQgYAAgAAAAc4MTguMTg1AQgAAAAFAAAAATEBAAAACy0xOTA3MTYwMjc0AwAAAAMxNjACAAAAATQEAAAAATAHAAAACTQvMzAvMjAyNggAAAAKMTIvMzEvMjAyNQkAAAABMBbn5lrKpt4IICoWW8qm</t>
  </si>
  <si>
    <t>3ggbQ0lRLjk5Mi5JUV9FQlRfRVhDTC5JUV9GUS0xAQAAAAhCBgACAAAABzQ5NC4yODUBCAAAAAUAAAABMQEAAAALLTE5MTI2ODg0NzQDAAAAAzE2MAIAAAABNAQAAAABMAcAAAAJNC8zMC8yMDI2CAAAAAk5LzMwLzIwMjUJAAAAATAW5+ZayqbeCCAqFlvKpt4IG0NJUS45OTIuSVFfRUJUX0VYQ0wuSVFfRlEtMgEAAAAIQgYAAgAAAAM2MjIBCAAAAAUAAAABMQEAAAALLTE5MzEyNjYyNDUDAAAAAzE2MAIAAAABNAQAAAABMAcAAAAJNC8zMC8yMDI2CAAAAAk2LzMwLzIwMjUJAAAAATAW5+ZayqbeCCAqFlvKpt4IG0NJUS45OTIuSVFfRUJUX0VYQ0wuSVFfRlEtMwEAAAAIQgYAAgAAAAcxODEuMjk0AQgAAAAFAAAAATEBAAAACy0xOTM3NjY0NDkzAwAAAAMxNjACAAAAATQEAAAAATAHAAAACTQvMzAvMjAyNggAAAAJMy8zMS8yMDI1CQAAAAEwFufmWsqm3gggKhZbyqbeCBtDSVEuOTkyLklRX0VCVF9FWENMLklRX0ZRLTQBAAAACEIGAAIAAAAHNTE2Ljk5MQEIAAAABQAAAAExAQAAAAstMTkwNzE2MDI4MQMAAAADMTYwAgAAAAE0BAAAAAEwBwAAAAk0LzMwLzIwMjYIAAAACjEyLzMxLzIwMjQJAAAAATAW5+ZayqbeCCAqFlvKpt4IK0NJUS45OTIuSVFfT1BFUkFUSU5HX0xFQVNFX1BBWU1FTlRTLklRX0ZRLTMBAAAACEIGAAIAAAAHLTI5LjEzNQEIAAAABQAAAAExAQAAAAstMTkzNzY2NDQ5MwMAAAADMTYwAgAA</t>
  </si>
  <si>
    <t>AAU0ODM1OQQAAAABMAcAAAAJNC8zMC8yMDI2CAAAAAkzLzMxLzIwMjUJAAAAATAW5+ZayqbeCCAqFlvKpt4IK0NJUS45OTIuSVFfT1BFUkFUSU5HX0xFQVNFX1BBWU1FTlRTLklRX0ZRLTQBAAAACEIGAAIAAAAHLTI5LjY3OAEIAAAABQAAAAExAQAAAAstMTkwNzE2MDI4MQMAAAADMTYwAgAAAAU0ODM1OQQAAAABMAcAAAAJNC8zMC8yMDI2CAAAAAoxMi8zMS8yMDI0CQAAAAEwFufmWsqm3gggKhZbyqbeCCtDSVEuOTkyLklRX09QRVJBVElOR19MRUFTRV9QQVlNRU5UUy5JUV9GUS01AQAAAAhCBgACAAAABy0yNy41ODcBCAAAAAUAAAABMQEAAAALLTE5MTI2ODg0OTIDAAAAAzE2MAIAAAAFNDgzNTkEAAAAATAHAAAACTQvMzAvMjAyNggAAAAJOS8zMC8yMDI0CQAAAAEwFufmWsqm3gggKhZbyqbeCCtDSVEuOTkyLklRX09QRVJBVElOR19MRUFTRV9QQVlNRU5UUy5JUV9GUS02AQAAAAhCBgACAAAABy0zNC42NzEBCAAAAAUAAAABMQEAAAALLTE5ODI4MDc4OTEDAAAAAzE2MAIAAAAFNDgzNTkEAAAAATAHAAAACTQvMzAvMjAyNggAAAAJNi8zMC8yMDI0CQAAAAEwFufmWsqm3gggKhZbyqbeCCtDSVEuOTkyLklRX09QRVJBVElOR19MRUFTRV9QQVlNRU5UUy5JUV9GUS03AQAAAAhCBgACAAAABy0zOS4yMzkBCAAAAAUAAAABMQEAAAALLTE5Mzc2NjQ1MDADAAAAAzE2MAIAAAAFNDgzNTkEAAAAATAHAAAACTQv</t>
  </si>
  <si>
    <t>MzAvMjAyNggAAAAJMy8zMS8yMDI0CQAAAAEwFufmWsqm3gggKhZbyqbeCBhDSVEuOTkyLklRX0NBUEVYLklRX0ZRLTYBAAAACEIGAAIAAAAILTE1NC41MzMBCAAAAAUAAAABMQEAAAALLTE5ODI4MDc4OTEDAAAAAzE2MAIAAAAEMjAyMQQAAAABMAcAAAAJNC8zMC8yMDI2CAAAAAk2LzMwLzIwMjQJAAAAATAW5+ZayqbeCCAqFlvKpt4IGENJUS45OTIuSVFfQ0FQRVguSVFfRlEtNwEAAAAIQgYAAgAAAAgtMjA0LjQyMwEIAAAABQAAAAExAQAAAAstMTkzNzY2NDUwMAMAAAADMTYwAgAAAAQyMDIxBAAAAAEwBwAAAAk0LzMwLzIwMjYIAAAACTMvMzEvMjAyNAkAAAABMBbn5lrKpt4IICoWW8qm3ggrQ0lRLjk5Mi5JUV9PUEVSQVRJTkdfTEVBU0VfUEFZTUVOVFMuSVFfRlEtMAEAAAAIQgYAAgAAAAYtMjYuNTMBCAAAAAUAAAABMQEAAAALLTE5MDcxNjAyNzQDAAAAAzE2MAIAAAAFNDgzNTkEAAAAATAHAAAACTQvMzAvMjAyNggAAAAKMTIvMzEvMjAyNQkAAAABMBbn5lrKpt4IICoWW8qm3ggrQ0lRLjk5Mi5JUV9PUEVSQVRJTkdfTEVBU0VfUEFZTUVOVFMuSVFfRlEtMQEAAAAIQgYAAwAAAAAAFufmWsqm3gggKhZbyqbeCCtDSVEuOTkyLklRX09QRVJBVElOR19MRUFTRV9QQVlNRU5UUy5JUV9GUS0yAQAAAAhCBgADAAAAAAAW5+ZayqbeCOj7FVvKpt4IGENJUS45OTIuSVFfQ0FQRVguSVFfRlEtMQEAAAAIQgYA</t>
  </si>
  <si>
    <t>AwAAAAAAFufmWsqm3gjo+xVbyqbeCBhDSVEuOTkyLklRX0NBUEVYLklRX0ZRLTIBAAAACEIGAAMAAAAAABbn5lrKpt4I6PsVW8qm3ggYQ0lRLjk5Mi5JUV9DQVBFWC5JUV9GUS0zAQAAAAhCBgACAAAACC0xODUuMzgxAQgAAAAFAAAAATEBAAAACy0xOTM3NjY0NDkzAwAAAAMxNjACAAAABDIwMjEEAAAAATAHAAAACTQvMzAvMjAyNggAAAAJMy8zMS8yMDI1CQAAAAEwFufmWsqm3gjo+xVbyqbeCBhDSVEuOTkyLklRX0NBUEVYLklRX0ZRLTQBAAAACEIGAAIAAAAHLTE3NC4zMwEIAAAABQAAAAExAQAAAAstMTkwNzE2MDI4MQMAAAADMTYwAgAAAAQyMDIxBAAAAAEwBwAAAAk0LzMwLzIwMjYIAAAACjEyLzMxLzIwMjQJAAAAATAW5+ZayqbeCCAqFlvKpt4IGENJUS45OTIuSVFfQ0FQRVguSVFfRlEtNQEAAAAIQgYAAgAAAAgtMTUyLjIzNAEIAAAABQAAAAExAQAAAAstMTkxMjY4ODQ5MgMAAAADMTYwAgAAAAQyMDIxBAAAAAEwBwAAAAk0LzMwLzIwMjYIAAAACTkvMzAvMjAyNAkAAAABMBbn5lrKpt4I6PsVW8qm3ggcQ0lRLjk5Mi5JUV9SRF9FWFBfRk4uSVFfRlEtNAEAAAAIQgYAAgAAAAc2MjAuNzg5AQgAAAAFAAAAATEBAAAACy0xOTA3MTYwMjgxAwAAAAMxNjACAAAABDMxNjgEAAAAATAHAAAACTQvMzAvMjAyNggAAAAKMTIvMzEvMjAyNAkAAAABMBbn5lrKpt4I6PsVW8qm3ggcQ0lRLjk5Mi5JUV9SRF9F</t>
  </si>
  <si>
    <t>WFBfRk4uSVFfRlEtNQEAAAAIQgYAAgAAAAc1NDcuNTI4AQgAAAAFAAAAATEBAAAACy0xOTEyNjg4NDkyAwAAAAMxNjACAAAABDMxNjgEAAAAATAHAAAACTQvMzAvMjAyNggAAAAJOS8zMC8yMDI0CQAAAAEwFufmWsqm3gjo+xVbyqbeCBxDSVEuOTkyLklRX1JEX0VYUF9GTi5JUV9GUS02AQAAAAhCBgACAAAABzQ3NS45OTUBCAAAAAUAAAABMQEAAAALLTE5ODI4MDc4OTEDAAAAAzE2MAIAAAAEMzE2OAQAAAABMAcAAAAJNC8zMC8yMDI2CAAAAAk2LzMwLzIwMjQJAAAAATAW5+ZayqbeCOj7FVvKpt4IHENJUS45OTIuSVFfUkRfRVhQX0ZOLklRX0ZRLTcBAAAACEIGAAIAAAAGNTMxLjc0AQgAAAAFAAAAATEBAAAACy0xOTM3NjY0NTAwAwAAAAMxNjACAAAABDMxNjgEAAAAATAHAAAACTQvMzAvMjAyNggAAAAJMy8zMS8yMDI0CQAAAAEwFufmWsqm3gjo+xVbyqbeCBhDSVEuOTkyLklRX0NBUEVYLklRX0ZRLTABAAAACEIGAAIAAAAILTQwNC44MjUBCAAAAAUAAAABMQEAAAALLTE5MDcxNjAyNzQDAAAAAzE2MAIAAAAEMjAyMQQAAAABMAcAAAAJNC8zMC8yMDI2CAAAAAoxMi8zMS8yMDI1CQAAAAEwFufmWsqm3gjo+xVbyqbeCBlDSVEuOTkyLklRX1JEX0VYUC5JUV9GUS03AQAAAAhCBgACAAAABjUzMS43NAEIAAAABQAAAAExAQAAAAstMTkzNzY2NDUwMAMAAAADMTYwAgAAAAMxMDAEAAAAATAHAAAACTQvMzAv</t>
  </si>
  <si>
    <t>MjAyNggAAAAJMy8zMS8yMDI0CQAAAAEwFufmWsqm3gjo+xVbyqbeCBxDSVEuOTkyLklRX1JEX0VYUF9GTi5JUV9GUS0wAQAAAAhCBgACAAAABzYzNy43MjcBCAAAAAUAAAABMQEAAAALLTE5MDcxNjAyNzQDAAAAAzE2MAIAAAAEMzE2OAQAAAABMAcAAAAJNC8zMC8yMDI2CAAAAAoxMi8zMS8yMDI1CQAAAAEwFufmWsqm3gjo+xVbyqbeCBxDSVEuOTkyLklRX1JEX0VYUF9GTi5JUV9GUS0xAQAAAAhCBgACAAAABzU4MC41ODUBCAAAAAUAAAABMQEAAAALLTE5MTI2ODg0NzQDAAAAAzE2MAIAAAAEMzE2OAQAAAABMAcAAAAJNC8zMC8yMDI2CAAAAAk5LzMwLzIwMjUJAAAAATAW5+ZayqbeCOj7FVvKpt4IHENJUS45OTIuSVFfUkRfRVhQX0ZOLklRX0ZRLTIBAAAACEIGAAIAAAADNTI0AQgAAAAFAAAAATEBAAAACy0xOTMxMjY2MjQ1AwAAAAMxNjACAAAABDMxNjgEAAAAATAHAAAACTQvMzAvMjAyNggAAAAJNi8zMC8yMDI1CQAAAAEwFufmWsqm3gjo+xVbyqbeCBxDSVEuOTkyLklRX1JEX0VYUF9GTi5JUV9GUS0zAQAAAAhCBgACAAAABzY0My44OTIBCAAAAAUAAAABMQEAAAALLTE5Mzc2NjQ0OTMDAAAAAzE2MAIAAAAEMzE2OAQAAAABMAcAAAAJNC8zMC8yMDI2CAAAAAkzLzMxLzIwMjUJAAAAATAW5+ZayqbeCNXUFVvKpt4IGUNJUS45OTIuSVFfUkRfRVhQLklRX0ZRLTIBAAAACEIGAAIAAAADNTI0AQgAAAAF</t>
  </si>
  <si>
    <t>AAAAATEBAAAACy0xOTMxMjY2MjQ1AwAAAAMxNjACAAAAAzEwMAQAAAABMAcAAAAJNC8zMC8yMDI2CAAAAAk2LzMwLzIwMjUJAAAAATAW5+ZayqbeCOj7FVvKpt4IGUNJUS45OTIuSVFfUkRfRVhQLklRX0ZRLTMBAAAACEIGAAIAAAAHNjQzLjg5MgEIAAAABQAAAAExAQAAAAstMTkzNzY2NDQ5MwMAAAADMTYwAgAAAAMxMDAEAAAAATAHAAAACTQvMzAvMjAyNggAAAAJMy8zMS8yMDI1CQAAAAEwFufmWsqm3gjo+xVbyqbeCBlDSVEuOTkyLklRX1JEX0VYUC5JUV9GUS00AQAAAAhCBgACAAAABzYyMC43ODkBCAAAAAUAAAABMQEAAAALLTE5MDcxNjAyODEDAAAAAzE2MAIAAAADMTAwBAAAAAEwBwAAAAk0LzMwLzIwMjYIAAAACjEyLzMxLzIwMjQJAAAAATAW5+ZayqbeCOj7FVvKpt4IGUNJUS45OTIuSVFfUkRfRVhQLklRX0ZRLTUBAAAACEIGAAIAAAAHNTQ3LjUyOAEIAAAABQAAAAExAQAAAAstMTkxMjY4ODQ5MgMAAAADMTYwAgAAAAMxMDAEAAAAATAHAAAACTQvMzAvMjAyNggAAAAJOS8zMC8yMDI0CQAAAAEwFufmWsqm3gjo+xVbyqbeCBlDSVEuOTkyLklRX1JEX0VYUC5JUV9GUS02AQAAAAhCBgACAAAABzQ3NS45OTUBCAAAAAUAAAABMQEAAAALLTE5ODI4MDc4OTEDAAAAAzE2MAIAAAADMTAwBAAAAAEwBwAAAAk0LzMwLzIwMjYIAAAACTYvMzAvMjAyNAkAAAABMBbn5lrKpt4I1dQVW8qm3ggYQ0lRLjk5</t>
  </si>
  <si>
    <t>Mi5JUV9EQV9DRi5JUV9GUS01AQAAAAhCBgACAAAABzI5NS4yNDYBCAAAAAUAAAABMQEAAAALLTE5MTI2ODg0OTIDAAAAAzE2MAIAAAAEMjE2MAQAAAABMAcAAAAJNC8zMC8yMDI2CAAAAAk5LzMwLzIwMjQJAAAAATAW5+ZayqbeCNXUFVvKpt4IGENJUS45OTIuSVFfREFfQ0YuSVFfRlEtNgEAAAAIQgYAAgAAAAcyODYuMTQ5AQgAAAAFAAAAATEBAAAACy0xOTgyODA3ODkxAwAAAAMxNjACAAAABDIxNjAEAAAAATAHAAAACTQvMzAvMjAyNggAAAAJNi8zMC8yMDI0CQAAAAEwFufmWsqm3gjV1BVbyqbeCBhDSVEuOTkyLklRX0RBX0NGLklRX0ZRLTcBAAAACEIGAAIAAAAHMjk1LjMzNgEIAAAABQAAAAExAQAAAAstMTkzNzY2NDUwMAMAAAADMTYwAgAAAAQyMTYwBAAAAAEwBwAAAAk0LzMwLzIwMjYIAAAACTMvMzEvMjAyNAkAAAABMBbn5lrKpt4I1dQVW8qm3ggZQ0lRLjk5Mi5JUV9SRF9FWFAuSVFfRlEtMAEAAAAIQgYAAgAAAAc2MzcuNzI3AQgAAAAFAAAAATEBAAAACy0xOTA3MTYwMjc0AwAAAAMxNjACAAAAAzEwMAQAAAABMAcAAAAJNC8zMC8yMDI2CAAAAAoxMi8zMS8yMDI1CQAAAAEwFufmWsqm3gjV1BVbyqbeCBlDSVEuOTkyLklRX1JEX0VYUC5JUV9GUS0xAQAAAAhCBgACAAAABzU4MC41ODUBCAAAAAUAAAABMQEAAAALLTE5MTI2ODg0NzQDAAAAAzE2MAIAAAADMTAwBAAAAAEwBwAAAAk0LzMwLzIw</t>
  </si>
  <si>
    <t>MjYIAAAACTkvMzAvMjAyNQkAAAABMBbn5lrKpt4I1dQVW8qm3ggYQ0lRLjk5Mi5JUV9EQV9DRi5JUV9GUS0wAQAAAAhCBgACAAAABzMyOC4yMzMBCAAAAAUAAAABMQEAAAALLTE5MDcxNjAyNzQDAAAAAzE2MAIAAAAEMjE2MAQAAAABMAcAAAAJNC8zMC8yMDI2CAAAAAoxMi8zMS8yMDI1CQAAAAEwFufmWsqm3gjV1BVbyqbeCBhDSVEuOTkyLklRX0RBX0NGLklRX0ZRLTEBAAAACEIGAAMAAAAAABbn5lrKpt4I1dQVW8qm3ggYQ0lRLjk5Mi5JUV9EQV9DRi5JUV9GUS0yAQAAAAhCBgADAAAAAAAW5+ZayqbeCNXUFVvKpt4IGENJUS45OTIuSVFfREFfQ0YuSVFfRlEtMwEAAAAIQgYAAgAAAAcyNzMuNzY4AQgAAAAFAAAAATEBAAAACy0xOTM3NjY0NDkzAwAAAAMxNjACAAAABDIxNjAEAAAAATAHAAAACTQvMzAvMjAyNggAAAAJMy8zMS8yMDI1CQAAAAEwFufmWsqm3gjV1BVbyqbeCBhDSVEuOTkyLklRX0RBX0NGLklRX0ZRLTQBAAAACEIGAAIAAAAHMzEzLjY0MwEIAAAABQAAAAExAQAAAAstMTkwNzE2MDI4MQMAAAADMTYwAgAAAAQyMTYwBAAAAAEwBwAAAAk0LzMwLzIwMjYIAAAACjEyLzMxLzIwMjQJAAAAATAW5+ZayqbeCM6tFVvKpt4IH0NJUS45OTIuSVFfSU5URVJFU1RfRVhQLklRX0ZRLTMBAAAACEIGAAIAAAAHLTgyLjgwNwEIAAAABQAAAAExAQAAAAstMTkzNzY2NDQ5MwMAAAADMTYwAgAAAAI4MgQA</t>
  </si>
  <si>
    <t>AAABMAcAAAAJNC8zMC8yMDI2CAAAAAkzLzMxLzIwMjUJAAAAATAW5+ZayqbeCM6tFVvKpt4IH0NJUS45OTIuSVFfSU5URVJFU1RfRVhQLklRX0ZRLTQBAAAACEIGAAIAAAAHLTc2Ljk2MgEIAAAABQAAAAExAQAAAAstMTkwNzE2MDI4MQMAAAADMTYwAgAAAAI4MgQAAAABMAcAAAAJNC8zMC8yMDI2CAAAAAoxMi8zMS8yMDI0CQAAAAEwFufmWsqm3gjV1BVbyqbeCB9DSVEuOTkyLklRX0lOVEVSRVNUX0VYUC5JUV9GUS01AQAAAAhCBgACAAAABy02NC4yNTEBCAAAAAUAAAABMQEAAAALLTE5MTI2ODg0OTIDAAAAAzE2MAIAAAACODIEAAAAATAHAAAACTQvMzAvMjAyNggAAAAJOS8zMC8yMDI0CQAAAAEwFufmWsqm3gjV1BVbyqbeCB9DSVEuOTkyLklRX0lOVEVSRVNUX0VYUC5JUV9GUS02AQAAAAhCBgACAAAABy02OS41NzUBCAAAAAUAAAABMQEAAAALLTE5ODI4MDc4OTEDAAAAAzE2MAIAAAACODIEAAAAATAHAAAACTQvMzAvMjAyNggAAAAJNi8zMC8yMDI0CQAAAAEwFufmWsqm3gjV1BVbyqbeCB9DSVEuOTkyLklRX0lOVEVSRVNUX0VYUC5JUV9GUS03AQAAAAhCBgACAAAABy03NC43ODcBCAAAAAUAAAABMQEAAAALLTE5Mzc2NjQ1MDADAAAAAzE2MAIAAAACODIEAAAAATAHAAAACTQvMzAvMjAyNggAAAAJMy8zMS8yMDI0CQAAAAEwFufmWsqm3gjOrRVbyqbeCBVDSVEuOTkyLklRX05JLklRX0ZRLTYBAAAA</t>
  </si>
  <si>
    <t>CEIGAAIAAAAHMjQzLjM2NQEIAAAABQAAAAExAQAAAAstMTk4MjgwNzg5MQMAAAADMTYwAgAAAAIxNQQAAAABMAcAAAAJNC8zMC8yMDI2CAAAAAk2LzMwLzIwMjQJAAAAATAW5+ZayqbeCM6tFVvKpt4IFUNJUS45OTIuSVFfTkkuSVFfRlEtNwEAAAAIQgYAAgAAAAcyNDcuNzI0AQgAAAAFAAAAATEBAAAACy0xOTM3NjY0NTAwAwAAAAMxNjACAAAAAjE1BAAAAAEwBwAAAAk0LzMwLzIwMjYIAAAACTMvMzEvMjAyNAkAAAABMBbn5lrKpt4Izq0VW8qm3ggfQ0lRLjk5Mi5JUV9JTlRFUkVTVF9FWFAuSVFfRlEtMAEAAAAIQgYAAgAAAActODAuODYxAQgAAAAFAAAAATEBAAAACy0xOTA3MTYwMjc0AwAAAAMxNjACAAAAAjgyBAAAAAEwBwAAAAk0LzMwLzIwMjYIAAAACjEyLzMxLzIwMjUJAAAAATAW5+ZayqbeCM6tFVvKpt4IH0NJUS45OTIuSVFfSU5URVJFU1RfRVhQLklRX0ZRLTEBAAAACEIGAAIAAAAHLTc0LjYzMgEIAAAABQAAAAExAQAAAAstMTkxMjY4ODQ3NAMAAAADMTYwAgAAAAI4MgQAAAABMAcAAAAJNC8zMC8yMDI2CAAAAAk5LzMwLzIwMjUJAAAAATAW5+ZayqbeCM6tFVvKpt4IH0NJUS45OTIuSVFfSU5URVJFU1RfRVhQLklRX0ZRLTIBAAAACEIGAAMAAAAAABbn5lrKpt4Izq0VW8qm3ggVQ0lRLjk5Mi5JUV9OSS5JUV9GUS0xAQAAAAhCBgACAAAABzM0MC4yNzYBCAAAAAUAAAABMQEAAAALLTE5MTI2</t>
  </si>
  <si>
    <t>ODg0NzQDAAAAAzE2MAIAAAACMTUEAAAAATAHAAAACTQvMzAvMjAyNggAAAAJOS8zMC8yMDI1CQAAAAEwFufmWsqm3gjOrRVbyqbeCBVDSVEuOTkyLklRX05JLklRX0ZRLTIBAAAACEIGAAIAAAADNTA1AQgAAAAFAAAAATEBAAAACy0xOTMxMjY2MjQ1AwAAAAMxNjACAAAAAjE1BAAAAAEwBwAAAAk0LzMwLzIwMjYIAAAACTYvMzAvMjAyNQkAAAABMBbn5lrKpt4Izq0VW8qm3ggVQ0lRLjk5Mi5JUV9OSS5JUV9GUS0zAQAAAAhCBgACAAAABjg5Ljg3OAEIAAAABQAAAAExAQAAAAstMTkzNzY2NDQ5MwMAAAADMTYwAgAAAAIxNQQAAAABMAcAAAAJNC8zMC8yMDI2CAAAAAkzLzMxLzIwMjUJAAAAATAW5+ZayqbeCM6tFVvKpt4IFUNJUS45OTIuSVFfTkkuSVFfRlEtNAEAAAAIQgYAAgAAAAY2OTIuNjcBCAAAAAUAAAABMQEAAAALLTE5MDcxNjAyODEDAAAAAzE2MAIAAAACMTUEAAAAATAHAAAACTQvMzAvMjAyNggAAAAKMTIvMzEvMjAyNAkAAAABMBbn5lrKpt4Izq0VW8qm3ggVQ0lRLjk5Mi5JUV9OSS5JUV9GUS01AQAAAAhCBgACAAAABzM1OC41MzIBCAAAAAUAAAABMQEAAAALLTE5MTI2ODg0OTIDAAAAAzE2MAIAAAACMTUEAAAAATAHAAAACTQvMzAvMjAyNggAAAAJOS8zMC8yMDI0CQAAAAEwFufmWsqm3ggDhxVbyqbeCBlDSVEuOTkyLklRX0VCSVREQS5JUV9GUS00AQAAAAhCBgACAAAABzk3MC40NjMBCAAA</t>
  </si>
  <si>
    <t>AAUAAAABMQEAAAALLTE5MDcxNjAyODEDAAAAAzE2MAIAAAAENDA1MQQAAAABMAcAAAAJNC8zMC8yMDI2CAAAAAoxMi8zMS8yMDI0CQAAAAEwFufmWsqm3ggDhxVbyqbeCBlDSVEuOTkyLklRX0VCSVREQS5JUV9GUS01AQAAAAhCBgACAAAABzkxOC40NzgBCAAAAAUAAAABMQEAAAALLTE5MTI2ODg0OTIDAAAAAzE2MAIAAAAENDA1MQQAAAABMAcAAAAJNC8zMC8yMDI2CAAAAAk5LzMwLzIwMjQJAAAAATAW5+ZayqbeCM6tFVvKpt4IGUNJUS45OTIuSVFfRUJJVERBLklRX0ZRLTYBAAAACEIGAAIAAAAHNzUxLjY5NgEIAAAABQAAAAExAQAAAAstMTk4MjgwNzg5MQMAAAADMTYwAgAAAAQ0MDUxBAAAAAEwBwAAAAk0LzMwLzIwMjYIAAAACTYvMzAvMjAyNAkAAAABMBbn5lrKpt4Izq0VW8qm3ggZQ0lRLjk5Mi5JUV9FQklUREEuSVFfRlEtNwEAAAAIQgYAAgAAAAc3NDEuOTY2AQgAAAAFAAAAATEBAAAACy0xOTM3NjY0NTAwAwAAAAMxNjACAAAABDQwNTEEAAAAATAHAAAACTQvMzAvMjAyNggAAAAJMy8zMS8yMDI0CQAAAAEwFufmWsqm3gjOrRVbyqbeCBVDSVEuOTkyLklRX05JLklRX0ZRLTABAAAACEIGAAIAAAAHNTQ1LjUzNgEIAAAABQAAAAExAQAAAAstMTkwNzE2MDI3NAMAAAADMTYwAgAAAAIxNQQAAAABMAcAAAAJNC8zMC8yMDI2CAAAAAoxMi8zMS8yMDI1CQAAAAEwFufmWsqm3ggDhxVbyqbeCBdDSVEu</t>
  </si>
  <si>
    <t>OTkyLklRX0VCSVQuSVFfRlEtNwEAAAAIQgYAAgAAAAY0NzMuODEBCAAAAAUAAAABMQEAAAALLTE5Mzc2NjQ1MDADAAAAAzE2MAIAAAADNDAwBAAAAAEwBwAAAAk0LzMwLzIwMjYIAAAACTMvMzEvMjAyNAkAAAABMBbn5lrKpt4IA4cVW8qm3ggZQ0lRLjk5Mi5JUV9FQklUREEuSVFfRlEtMAEAAAAIQgYAAgAAAAgxMjQ2LjAzNQEIAAAABQAAAAExAQAAAAstMTkwNzE2MDI3NAMAAAADMTYwAgAAAAQ0MDUxBAAAAAEwBwAAAAk0LzMwLzIwMjYIAAAACjEyLzMxLzIwMjUJAAAAATAW5+ZayqbeCAOHFVvKpt4IGUNJUS45OTIuSVFfRUJJVERBLklRX0ZRLTEBAAAACEIGAAIAAAAHOTA5LjY0NwEIAAAABQAAAAExAQAAAAstMTkxMjY4ODQ3NAMAAAADMTYwAgAAAAQ0MDUxBAAAAAEwBwAAAAk0LzMwLzIwMjYIAAAACTkvMzAvMjAyNQkAAAABMBbn5lrKpt4IA4cVW8qm3ggZQ0lRLjk5Mi5JUV9FQklUREEuSVFfRlEtMgEAAAAIQgYAAgAAAAoxMDQ4LjIxMDI1AQgAAAAFAAAAATEBAAAACy0xOTMxMjY2MjQ1AwAAAAMxNjACAAAABDQwNTEEAAAAATAHAAAACTQvMzAvMjAyNggAAAAJNi8zMC8yMDI1CQAAAAEwFufmWsqm3ggDhxVbyqbeCBlDSVEuOTkyLklRX0VCSVREQS5JUV9GUS0zAQAAAAhCBgACAAAABzQxOS4xMDYBCAAAAAUAAAABMQEAAAALLTE5Mzc2NjQ0OTMDAAAAAzE2MAIAAAAENDA1MQQAAAABMAcAAAAJ</t>
  </si>
  <si>
    <t>NC8zMC8yMDI2CAAAAAkzLzMxLzIwMjUJAAAAATAW5+ZayqbeCAOHFVvKpt4IF0NJUS45OTIuSVFfRUJJVC5JUV9GUS0yAQAAAAhCBgACAAAAAzc4NQEIAAAABQAAAAExAQAAAAstMTkzMTI2NjI0NQMAAAADMTYwAgAAAAM0MDAEAAAAATAHAAAACTQvMzAvMjAyNggAAAAJNi8zMC8yMDI1CQAAAAEwFufmWsqm3ggDhxVbyqbeCBdDSVEuOTkyLklRX0VCSVQuSVFfRlEtMwEAAAAIQgYAAgAAAAYxNzQuMTMBCAAAAAUAAAABMQEAAAALLTE5Mzc2NjQ0OTMDAAAAAzE2MAIAAAADNDAwBAAAAAEwBwAAAAk0LzMwLzIwMjYIAAAACTMvMzEvMjAyNQkAAAABMBbn5lrKpt4IA4cVW8qm3ggXQ0lRLjk5Mi5JUV9FQklULklRX0ZRLTQBAAAACEIGAAIAAAAHNjg3LjcwNAEIAAAABQAAAAExAQAAAAstMTkwNzE2MDI4MQMAAAADMTYwAgAAAAM0MDAEAAAAATAHAAAACTQvMzAvMjAyNggAAAAKMTIvMzEvMjAyNAkAAAABMBbn5lrKpt4IA4cVW8qm3ggXQ0lRLjk5Mi5JUV9FQklULklRX0ZRLTUBAAAACEIGAAIAAAAHNjUwLjU5OQEIAAAABQAAAAExAQAAAAstMTkxMjY4ODQ5MgMAAAADMTYwAgAAAAM0MDAEAAAAATAHAAAACTQvMzAvMjAyNggAAAAJOS8zMC8yMDI0CQAAAAEwFufmWsqm3ggDhxVbyqbeCBdDSVEuOTkyLklRX0VCSVQuSVFfRlEtNgEAAAAIQgYAAgAAAAc0OTQuNDY5AQgAAAAFAAAAATEBAAAACy0xOTgyODA3</t>
  </si>
  <si>
    <t>ODkxAwAAAAMxNjACAAAAAzQwMAQAAAABMAcAAAAJNC8zMC8yMDI2CAAAAAk2LzMwLzIwMjQJAAAAATAW5+ZayqbeCPBfFVvKpt4IHENJUS45OTIuSVFfVE9UQUxfUkVWLklRX0ZRLTUBAAAACEIGAAIAAAAJMTc4NTAuMDk0AQgAAAAFAAAAATEBAAAACy0xOTEyNjg4NDkyAwAAAAMxNjACAAAAAjI4BAAAAAEwBwAAAAk0LzMwLzIwMjYIAAAACTkvMzAvMjAyNAkAAAABMBbn5lrKpt4I8F8VW8qm3ggcQ0lRLjk5Mi5JUV9UT1RBTF9SRVYuSVFfRlEtNgEAAAAIQgYAAgAAAAkxNTQ0Ny4wNTYBCAAAAAUAAAABMQEAAAALLTE5ODI4MDc4OTEDAAAAAzE2MAIAAAACMjgEAAAAATAHAAAACTQvMzAvMjAyNggAAAAJNi8zMC8yMDI0CQAAAAEwFufmWsqm3gjwXxVbyqbeCBxDSVEuOTkyLklRX1RPVEFMX1JFVi5JUV9GUS03AQAAAAhCBgACAAAACTEzODMzLjExNwEIAAAABQAAAAExAQAAAAstMTkzNzY2NDUwMAMAAAADMTYwAgAAAAIyOAQAAAABMAcAAAAJNC8zMC8yMDI2CAAAAAkzLzMxLzIwMjQJAAAAATAW5+ZayqbeCAOHFVvKpt4IF0NJUS45OTIuSVFfRUJJVC5JUV9GUS0wAQAAAAhCBgACAAAABzk0OC40NTgBCAAAAAUAAAABMQEAAAALLTE5MDcxNjAyNzQDAAAAAzE2MAIAAAADNDAwBAAAAAEwBwAAAAk0LzMwLzIwMjYIAAAACjEyLzMxLzIwMjUJAAAAATAW5+ZayqbeCAOHFVvKpt4IF0NJUS45OTIuSVFfRUJJ</t>
  </si>
  <si>
    <t>VC5JUV9GUS0xAQAAAAhCBgACAAAABzY0Mi45MjEBCAAAAAUAAAABMQEAAAALLTE5MTI2ODg0NzQDAAAAAzE2MAIAAAADNDAwBAAAAAEwBwAAAAk0LzMwLzIwMjYIAAAACTkvMzAvMjAyNQkAAAABMBbn5lrKpt4I8F8VW8qm3ggcQ0lRLjk5Mi5JUV9UT1RBTF9SRVYuSVFfRlEtMAEAAAAIQgYAAgAAAAkyMjIwNC4zMzQBCAAAAAUAAAABMQEAAAALLTE5MDcxNjAyNzQDAAAAAzE2MAIAAAACMjgEAAAAATAHAAAACTQvMzAvMjAyNggAAAAKMTIvMzEvMjAyNQkAAAABMBbn5lrKpt4I8F8VW8qm3ggcQ0lRLjk5Mi5JUV9UT1RBTF9SRVYuSVFfRlEtMQEAAAAIQgYAAgAAAAkyMDQ1Mi4wMjIBCAAAAAUAAAABMQEAAAALLTE5MTI2ODg0NzQDAAAAAzE2MAIAAAACMjgEAAAAATAHAAAACTQvMzAvMjAyNggAAAAJOS8zMC8yMDI1CQAAAAEwFufmWsqm3gjwXxVbyqbeCBxDSVEuOTkyLklRX1RPVEFMX1JFVi5JUV9GUS0yAQAAAAhCBgACAAAABTE4ODMwAQgAAAAFAAAAATEBAAAACy0xOTMxMjY2MjQ1AwAAAAMxNjACAAAAAjI4BAAAAAEwBwAAAAk0LzMwLzIwMjYIAAAACTYvMzAvMjAyNQkAAAABMBbn5lrKpt4I8F8VW8qm3ggcQ0lRLjk5Mi5JUV9UT1RBTF9SRVYuSVFfRlEtMwEAAAAIQgYAAgAAAAkxNjk4My41MzgBCAAAAAUAAAABMQEAAAALLTE5Mzc2NjQ0OTMDAAAAAzE2MAIAAAACMjgEAAAAATAHAAAACTQvMzAv</t>
  </si>
  <si>
    <t>MjAyNggAAAAJMy8zMS8yMDI1CQAAAAEwFufmWsqm3gjwXxVbyqbeCBxDSVEuOTkyLklRX1RPVEFMX1JFVi5JUV9GUS00AQAAAAhCBgACAAAACDE4Nzk2LjI4AQgAAAAFAAAAATEBAAAACy0xOTA3MTYwMjgxAwAAAAMxNjACAAAAAjI4BAAAAAEwBwAAAAk0LzMwLzIwMjYIAAAACjEyLzMxLzIwMjQJAAAAATAW5+ZayqbeCPBfFVvKpt4IGkNJUS45OTIuSVFfSU5DX1RBWC5JUV9GWS02AQAAAAhCBgACAAAABjE5OS40NgEIAAAABQAAAAExAQAAAAoyMDQwMTU1ODMzAwAAAAMxNjACAAAAAjc1BAAAAAEwBwAAAAk0LzMwLzIwMjYIAAAACTMvMzEvMjAxOQkAAAABMBbn5lrKpt4I8F8VW8qm3ggaQ0lRLjk5Mi5JUV9JTkNfVEFYLklRX0ZZLTcBAAAACEIGAAIAAAAHMjc5Ljk3NwEIAAAABQAAAAExAQAAAAoxOTY3NDQ3OTI0AwAAAAMxNjACAAAAAjc1BAAAAAEwBwAAAAk0LzMwLzIwMjYIAAAACTMvMzEvMjAxOAkAAAABMBbn5lrKpt4I8F8VW8qm3ggaQ0lRLjk5Mi5JUV9JTkNfVEFYLklRX0ZZLTgBAAAACEIGAAIAAAAHLTQwLjUxNAEIAAAABQAAAAExAQAAAAoxODkyMjQ1NzUyAwAAAAMxNjACAAAAAjc1BAAAAAEwBwAAAAk0LzMwLzIwMjYIAAAACTMvMzEvMjAxNwkAAAABMBbn5lrKpt4I8F8VW8qm3ggaQ0lRLjk5Mi5JUV9JTkNfVEFYLklRX0ZZLTkBAAAACEIGAAIAAAAILTEzMi4yNzYBCAAAAAUAAAABMQEA</t>
  </si>
  <si>
    <t>AAAKMTg0NjE0Nzk4MwMAAAADMTYwAgAAAAI3NQQAAAABMAcAAAAJNC8zMC8yMDI2CAAAAAkzLzMxLzIwMTYJAAAAATAW5+ZayqbeCPBfFVvKpt4IG0NJUS45OTIuSVFfSU5DX1RBWC5JUV9GWS0xMAEAAAAIQgYAAgAAAAcxMzQuMzY0AQgAAAAFAAAAATEBAAAACjE3OTU1Mzg1OTkDAAAAAzE2MAIAAAACNzUEAAAAATAHAAAACTQvMzAvMjAyNggAAAAJMy8zMS8yMDE1CQAAAAEwFufmWsqm3ggDORVbyqbeCBpDSVEuOTkyLklRX0lOQ19UQVguSVFfRlktMQEAAAAIQgYAAgAAAAcyNjMuMTQyAQgAAAAFAAAAATEBAAAACy0xOTM3NjY0ODg4AwAAAAMxNjACAAAAAjc1BAAAAAEwBwAAAAk0LzMwLzIwMjYIAAAACTMvMzEvMjAyNAkAAAABMBbn5lrKpt4IAzkVW8qm3ggaQ0lRLjk5Mi5JUV9JTkNfVEFYLklRX0ZZLTIBAAAACEIGAAIAAAAHNDU1LjE1NgEIAAAABQAAAAExAQAAAAstMTk4OTI4NzUxMgMAAAADMTYwAgAAAAI3NQQAAAABMAcAAAAJNC8zMC8yMDI2CAAAAAkzLzMxLzIwMjMJAAAAATAW5+ZayqbeCPBfFVvKpt4IGkNJUS45OTIuSVFfSU5DX1RBWC5JUV9GWS0zAQAAAAhCBgACAAAABzYyMi4zOTkBCAAAAAUAAAABMQEAAAALLTIwMzk0NjA3MDIDAAAAAzE2MAIAAAACNzUEAAAAATAHAAAACTQvMzAvMjAyNggAAAAJMy8zMS8yMDIyCQAAAAEwFufmWsqm3gjwXxVbyqbeCBpDSVEuOTkyLklRX0lOQ19U</t>
  </si>
  <si>
    <t>QVguSVFfRlktNAEAAAAIQgYAAgAAAAc0NjEuMTk5AQgAAAAFAAAAATEBAAAACy0yMDkxNTcwNzA2AwAAAAMxNjACAAAAAjc1BAAAAAEwBwAAAAk0LzMwLzIwMjYIAAAACTMvMzEvMjAyMQkAAAABMBbn5lrKpt4I8F8VW8qm3ggaQ0lRLjk5Mi5JUV9JTkNfVEFYLklRX0ZZLTUBAAAACEIGAAIAAAAHMjEzLjIwNAEIAAAABQAAAAExAQAAAAstMjE0NjYxNjMyNQMAAAADMTYwAgAAAAI3NQQAAAABMAcAAAAJNC8zMC8yMDI2CAAAAAkzLzMxLzIwMjAJAAAAATAW5+ZayqbeCAM5FVvKpt4IG0NJUS45OTIuSVFfRUJUX0VYQ0wuSVFfRlktNwEAAAAIQgYAAgAAAAYyMDMuMDQBCAAAAAUAAAABMQEAAAAKMTk2NzQ0NzkyNAMAAAADMTYwAgAAAAE0BAAAAAEwBwAAAAk0LzMwLzIwMjYIAAAACTMvMzEvMjAxOAkAAAABMBbn5lrKpt4IAzkVW8qm3ggbQ0lRLjk5Mi5JUV9FQlRfRVhDTC5JUV9GWS04AQAAAAhCBgACAAAABzMwMi42NjYBCAAAAAUAAAABMQEAAAAKMTg5MjI0NTc1MgMAAAADMTYwAgAAAAE0BAAAAAEwBwAAAAk0LzMwLzIwMjYIAAAACTMvMzEvMjAxNwkAAAABMBbn5lrKpt4IAzkVW8qm3ggbQ0lRLjk5Mi5JUV9FQlRfRVhDTC5JUV9GWS05AQAAAAhCBgACAAAABzMxMS44MjgBCAAAAAUAAAABMQEAAAAKMTg0NjE0Nzk4MwMAAAADMTYwAgAAAAE0BAAAAAEwBwAAAAk0LzMwLzIwMjYIAAAACTMvMzEvMjAx</t>
  </si>
  <si>
    <t>NgkAAAABMBbn5lrKpt4IAzkVW8qm3ggcQ0lRLjk5Mi5JUV9FQlRfRVhDTC5JUV9GWS0xMAEAAAAIQgYAAgAAAAc5NjkuOTQ0AQgAAAAFAAAAATEBAAAACjE3OTU1Mzg1OTkDAAAAAzE2MAIAAAABNAQAAAABMAcAAAAJNC8zMC8yMDI2CAAAAAkzLzMxLzIwMTUJAAAAATAW5+ZayqbeCAM5FVvKpt4IGkNJUS45OTIuSVFfSU5DX1RBWC5JUV9GWS0wAQAAAAhCBgACAAAABjE4LjkxOAEIAAAABQAAAAExAQAAAAstMTkzNzY2NDg4MAMAAAADMTYwAgAAAAI3NQQAAAABMAcAAAAJNC8zMC8yMDI2CAAAAAkzLzMxLzIwMjUJAAAAATAW5+ZayqbeCAM5FVvKpt4IG0NJUS45OTIuSVFfRUJUX0VYQ0wuSVFfRlktMgEAAAAIQgYAAgAAAAgyMTM2LjAyMwEIAAAABQAAAAExAQAAAAstMTk4OTI4NzUxMgMAAAADMTYwAgAAAAE0BAAAAAEwBwAAAAk0LzMwLzIwMjYIAAAACTMvMzEvMjAyMwkAAAABMBbn5lrKpt4IAzkVW8qm3ggbQ0lRLjk5Mi5JUV9FQlRfRVhDTC5JUV9GWS0zAQAAAAhCBgACAAAACDI3NjkuOTk2AQgAAAAFAAAAATEBAAAACy0yMDM5NDYwNzAyAwAAAAMxNjACAAAAATQEAAAAATAHAAAACTQvMzAvMjAyNggAAAAJMy8zMS8yMDIyCQAAAAEwFufmWsqm3ggDORVbyqbeCBtDSVEuOTkyLklRX0VCVF9FWENMLklRX0ZZLTQBAAAACEIGAAIAAAAIMTY2NC4xOTQBCAAAAAUAAAABMQEAAAALLTIwOTE1NzA3MDYD</t>
  </si>
  <si>
    <t>AAAAAzE2MAIAAAABNAQAAAABMAcAAAAJNC8zMC8yMDI2CAAAAAkzLzMxLzIwMjEJAAAAATAW5+ZayqbeCAM5FVvKpt4IG0NJUS45OTIuSVFfRUJUX0VYQ0wuSVFfRlktNQEAAAAIQgYAAgAAAAgxMDI5LjE3NAEIAAAABQAAAAExAQAAAAstMjE0NjYxNjMyNQMAAAADMTYwAgAAAAE0BAAAAAEwBwAAAAk0LzMwLzIwMjYIAAAACTMvMzEvMjAyMAkAAAABMBbn5lrKpt4IAzkVW8qm3ggbQ0lRLjk5Mi5JUV9FQlRfRVhDTC5JUV9GWS02AQAAAAhCBgACAAAABzg2MS42MzQBCAAAAAUAAAABMQEAAAAKMjA0MDE1NTgzMwMAAAADMTYwAgAAAAE0BAAAAAEwBwAAAAk0LzMwLzIwMjYIAAAACTMvMzEvMjAxOQkAAAABMBbn5lrKpt4I2BEVW8qm3ggrQ0lRLjk5Mi5JUV9PUEVSQVRJTkdfTEVBU0VfUEFZTUVOVFMuSVFfRlktOAEAAAAIQgYAAwAAAAAAFufmWsqm3gjYERVbyqbeCCtDSVEuOTkyLklRX09QRVJBVElOR19MRUFTRV9QQVlNRU5UUy5JUV9GWS05AQAAAAhCBgADAAAAAAAW5+ZayqbeCAM5FVvKpt4ILENJUS45OTIuSVFfT1BFUkFUSU5HX0xFQVNFX1BBWU1FTlRTLklRX0ZZLTEwAQAAAAhCBgADAAAAAAAW5+ZayqbeCAM5FVvKpt4IG0NJUS45OTIuSVFfRUJUX0VYQ0wuSVFfRlktMAEAAAAIQgYAAgAAAAgxNDg0LjQ2NgEIAAAABQAAAAExAQAAAAstMTkzNzY2NDg4MAMAAAADMTYwAgAAAAE0BAAAAAEwBwAA</t>
  </si>
  <si>
    <t>AAk0LzMwLzIwMjYIAAAACTMvMzEvMjAyNQkAAAABMBbn5lrKpt4IAzkVW8qm3ggbQ0lRLjk5Mi5JUV9FQlRfRVhDTC5JUV9GWS0xAQAAAAhCBgACAAAACDEzNjQuODcyAQgAAAAFAAAAATEBAAAACy0xOTM3NjY0ODg4AwAAAAMxNjACAAAAATQEAAAAATAHAAAACTQvMzAvMjAyNggAAAAJMy8zMS8yMDI0CQAAAAEwFufmWsqm3gjYERVbyqbeCCtDSVEuOTkyLklRX09QRVJBVElOR19MRUFTRV9QQVlNRU5UUy5JUV9GWS0zAQAAAAhCBgACAAAACC0xNDYuNDg1AQgAAAAFAAAAATEBAAAACy0yMDM5NDYwNzAyAwAAAAMxNjACAAAABTQ4MzU5BAAAAAEwBwAAAAk0LzMwLzIwMjYIAAAACTMvMzEvMjAyMgkAAAABMBbn5lrKpt4I2BEVW8qm3ggrQ0lRLjk5Mi5JUV9PUEVSQVRJTkdfTEVBU0VfUEFZTUVOVFMuSVFfRlktNAEAAAAIQgYAAgAAAActMTY1LjE1AQgAAAAFAAAAATEBAAAACy0yMDkxNTcwNzA2AwAAAAMxNjACAAAABTQ4MzU5BAAAAAEwBwAAAAk0LzMwLzIwMjYIAAAACTMvMzEvMjAyMQkAAAABMBbn5lrKpt4I2BEVW8qm3ggrQ0lRLjk5Mi5JUV9PUEVSQVRJTkdfTEVBU0VfUEFZTUVOVFMuSVFfRlktNQEAAAAIQgYAAgAAAAgtMTMwLjk5MwEIAAAABQAAAAExAQAAAAstMjE0NjYxNjMyNQMAAAADMTYwAgAAAAU0ODM1OQQAAAABMAcAAAAJNC8zMC8yMDI2CAAAAAkzLzMxLzIwMjAJAAAAATAW5+Zayqbe</t>
  </si>
  <si>
    <t>CNgRFVvKpt4IK0NJUS45OTIuSVFfT1BFUkFUSU5HX0xFQVNFX1BBWU1FTlRTLklRX0ZZLTYBAAAACEIGAAMAAAAAABbn5lrKpt4I2BEVW8qm3ggrQ0lRLjk5Mi5JUV9PUEVSQVRJTkdfTEVBU0VfUEFZTUVOVFMuSVFfRlktNwEAAAAIQgYAAwAAAAAAFufmWsqm3gjYERVbyqbeCBhDSVEuOTkyLklRX0NBUEVYLklRX0ZZLTkBAAAACEIGAAIAAAAILTYwMy44MTYBCAAAAAUAAAABMQEAAAAKMTg0NjE0Nzk4MwMAAAADMTYwAgAAAAQyMDIxBAAAAAEwBwAAAAk0LzMwLzIwMjYIAAAACTMvMzEvMjAxNgkAAAABMBbn5lrKpt4I2BEVW8qm3ggZQ0lRLjk5Mi5JUV9DQVBFWC5JUV9GWS0xMAEAAAAIQgYAAgAAAAgtNjA2LjEwNQEIAAAABQAAAAExAQAAAAoxNzk1NTM4NTk5AwAAAAMxNjACAAAABDIwMjEEAAAAATAHAAAACTQvMzAvMjAyNggAAAAJMy8zMS8yMDE1CQAAAAEwFufmWsqm3gjYERVbyqbeCCtDSVEuOTkyLklRX09QRVJBVElOR19MRUFTRV9QQVlNRU5UUy5JUV9GWS0wAQAAAAhCBgACAAAACC0xMjEuMDcxAQgAAAAFAAAAATEBAAAACy0xOTM3NjY0ODgwAwAAAAMxNjACAAAABTQ4MzU5BAAAAAEwBwAAAAk0LzMwLzIwMjYIAAAACTMvMzEvMjAyNQkAAAABMBbn5lrKpt4I2BEVW8qm3ggrQ0lRLjk5Mi5JUV9PUEVSQVRJTkdfTEVBU0VfUEFZTUVOVFMuSVFfRlktMQEAAAAIQgYAAgAAAAgtMTM0LjU0NQEI</t>
  </si>
  <si>
    <t>AAAABQAAAAExAQAAAAstMTkzNzY2NDg4OAMAAAADMTYwAgAAAAU0ODM1OQQAAAABMAcAAAAJNC8zMC8yMDI2CAAAAAkzLzMxLzIwMjQJAAAAATAW5+ZayqbeCNgRFVvKpt4IK0NJUS45OTIuSVFfT1BFUkFUSU5HX0xFQVNFX1BBWU1FTlRTLklRX0ZZLTIBAAAACEIGAAIAAAAILTE2OC42MzgBCAAAAAUAAAABMQEAAAALLTE5ODkyODc1MTIDAAAAAzE2MAIAAAAFNDgzNTkEAAAAATAHAAAACTQvMzAvMjAyNggAAAAJMy8zMS8yMDIzCQAAAAEwFufmWsqm3gi/6hRbyqbeCBhDSVEuOTkyLklRX0NBUEVYLklRX0ZZLTQBAAAACEIGAAIAAAAILTY5Ny4wMDQBCAAAAAUAAAABMQEAAAALLTIwOTE1NzA3MDYDAAAAAzE2MAIAAAAEMjAyMQQAAAABMAcAAAAJNC8zMC8yMDI2CAAAAAkzLzMxLzIwMjEJAAAAATAW5+ZayqbeCL/qFFvKpt4IGENJUS45OTIuSVFfQ0FQRVguSVFfRlktNQEAAAAIQgYAAgAAAAgtNjY0LjIxNQEIAAAABQAAAAExAQAAAAstMjE0NjYxNjMyNQMAAAADMTYwAgAAAAQyMDIxBAAAAAEwBwAAAAk0LzMwLzIwMjYIAAAACTMvMzEvMjAyMAkAAAABMBbn5lrKpt4Iv+oUW8qm3ggYQ0lRLjk5Mi5JUV9DQVBFWC5JUV9GWS02AQAAAAhCBgACAAAACC01MzcuNzI3AQgAAAAFAAAAATEBAAAACjIwNDAxNTU4MzMDAAAAAzE2MAIAAAAEMjAyMQQAAAABMAcAAAAJNC8zMC8yMDI2CAAAAAkzLzMxLzIwMTkJ</t>
  </si>
  <si>
    <t>AAAAATAW5+ZayqbeCNgRFVvKpt4IGENJUS45OTIuSVFfQ0FQRVguSVFfRlktNwEAAAAIQgYAAgAAAAgtNTAzLjI5NgEIAAAABQAAAAExAQAAAAoxOTY3NDQ3OTI0AwAAAAMxNjACAAAABDIwMjEEAAAAATAHAAAACTQvMzAvMjAyNggAAAAJMy8zMS8yMDE4CQAAAAEwFufmWsqm3gjYERVbyqbeCBhDSVEuOTkyLklRX0NBUEVYLklRX0ZZLTgBAAAACEIGAAIAAAAILTQ2My41NTgBCAAAAAUAAAABMQEAAAAKMTg5MjI0NTc1MgMAAAADMTYwAgAAAAQyMDIxBAAAAAEwBwAAAAk0LzMwLzIwMjYIAAAACTMvMzEvMjAxNwkAAAABMBbn5lrKpt4Iv+oUW8qm3ggdQ0lRLjk5Mi5JUV9SRF9FWFBfRk4uSVFfRlktMTABAAAACEIGAAIAAAAIMTIyMC45MTkBCAAAAAUAAAABMQEAAAAKMTc5NTUzODU5OQMAAAADMTYwAgAAAAQzMTY4BAAAAAEwBwAAAAk0LzMwLzIwMjYIAAAACTMvMzEvMjAxNQkAAAABMBbn5lrKpt4Iv+oUW8qm3ggYQ0lRLjk5Mi5JUV9DQVBFWC5JUV9GWS0wAQAAAAhCBgACAAAACC02NjYuNDc4AQgAAAAFAAAAATEBAAAACy0xOTM3NjY0ODgwAwAAAAMxNjACAAAABDIwMjEEAAAAATAHAAAACTQvMzAvMjAyNggAAAAJMy8zMS8yMDI1CQAAAAEwFufmWsqm3gi/6hRbyqbeCBhDSVEuOTkyLklRX0NBUEVYLklRX0ZZLTEBAAAACEIGAAIAAAAILTcyOS43NzcBCAAAAAUAAAABMQEAAAALLTE5Mzc2NjQ4ODgD</t>
  </si>
  <si>
    <t>AAAAAzE2MAIAAAAEMjAyMQQAAAABMAcAAAAJNC8zMC8yMDI2CAAAAAkzLzMxLzIwMjQJAAAAATAW5+ZayqbeCL/qFFvKpt4IGENJUS45OTIuSVFfQ0FQRVguSVFfRlktMgEAAAAIQgYAAgAAAAktMTExNy4wNjIBCAAAAAUAAAABMQEAAAALLTE5ODkyODc1MTIDAAAAAzE2MAIAAAAEMjAyMQQAAAABMAcAAAAJNC8zMC8yMDI2CAAAAAkzLzMxLzIwMjMJAAAAATAW5+ZayqbeCL/qFFvKpt4IGENJUS45OTIuSVFfQ0FQRVguSVFfRlktMwEAAAAIQgYAAgAAAAgtOTk4LjMwNAEIAAAABQAAAAExAQAAAAstMjAzOTQ2MDcwMgMAAAADMTYwAgAAAAQyMDIxBAAAAAEwBwAAAAk0LzMwLzIwMjYIAAAACTMvMzEvMjAyMgkAAAABMBbn5lrKpt4Iv+oUW8qm3ggcQ0lRLjk5Mi5JUV9SRF9FWFBfRk4uSVFfRlktNQEAAAAIQgYAAgAAAAgxMzM1Ljc0NAEIAAAABQAAAAExAQAAAAstMjE0NjYxNjMyNQMAAAADMTYwAgAAAAQzMTY4BAAAAAEwBwAAAAk0LzMwLzIwMjYIAAAACTMvMzEvMjAyMAkAAAABMBbn5lrKpt4Iv+oUW8qm3ggcQ0lRLjk5Mi5JUV9SRF9FWFBfRk4uSVFfRlktNgEAAAAIQgYAAgAAAAgxMjY2LjM0MQEIAAAABQAAAAExAQAAAAoyMDQwMTU1ODMzAwAAAAMxNjACAAAABDMxNjgEAAAAATAHAAAACTQvMzAvMjAyNggAAAAJMy8zMS8yMDE5CQAAAAEwFufmWsqm3gi/6hRbyqbeCBxDSVEuOTkyLklRX1JEX0VY</t>
  </si>
  <si>
    <t>UF9GTi5JUV9GWS03AQAAAAhCBgACAAAACDEyNzMuNzI5AQgAAAAFAAAAATEBAAAACjE5Njc0NDc5MjQDAAAAAzE2MAIAAAAEMzE2OAQAAAABMAcAAAAJNC8zMC8yMDI2CAAAAAkzLzMxLzIwMTgJAAAAATAW5+ZayqbeCL/qFFvKpt4IHENJUS45OTIuSVFfUkRfRVhQX0ZOLklRX0ZZLTgBAAAACEIGAAIAAAAIMTM2MS42OTEBCAAAAAUAAAABMQEAAAAKMTg5MjI0NTc1MgMAAAADMTYwAgAAAAQzMTY4BAAAAAEwBwAAAAk0LzMwLzIwMjYIAAAACTMvMzEvMjAxNwkAAAABMBbn5lrKpt4Iv+oUW8qm3ggcQ0lRLjk5Mi5JUV9SRF9FWFBfRk4uSVFfRlktOQEAAAAIQgYAAgAAAAcxNDkxLjM3AQgAAAAFAAAAATEBAAAACjE4NDYxNDc5ODMDAAAAAzE2MAIAAAAEMzE2OAQAAAABMAcAAAAJNC8zMC8yMDI2CAAAAAkzLzMxLzIwMTYJAAAAATAW5+ZayqbeCLLDFFvKpt4IHENJUS45OTIuSVFfUkRfRVhQX0ZOLklRX0ZZLTABAAAACEIGAAIAAAAIMjI4OC4yMDQBCAAAAAUAAAABMQEAAAALLTE5Mzc2NjQ4ODADAAAAAzE2MAIAAAAEMzE2OAQAAAABMAcAAAAJNC8zMC8yMDI2CAAAAAkzLzMxLzIwMjUJAAAAATAW5+ZayqbeCLLDFFvKpt4IHENJUS45OTIuSVFfUkRfRVhQX0ZOLklRX0ZZLTEBAAAACEIGAAIAAAAIMjAyNy41MzIBCAAAAAUAAAABMQEAAAALLTE5Mzc2NjQ4ODgDAAAAAzE2MAIAAAAEMzE2OAQAAAABMAcA</t>
  </si>
  <si>
    <t>AAAJNC8zMC8yMDI2CAAAAAkzLzMxLzIwMjQJAAAAATAW5+ZayqbeCL/qFFvKpt4IHENJUS45OTIuSVFfUkRfRVhQX0ZOLklRX0ZZLTIBAAAACEIGAAIAAAAIMjE5NS4zMjkBCAAAAAUAAAABMQEAAAALLTE5ODkyODc1MTIDAAAAAzE2MAIAAAAEMzE2OAQAAAABMAcAAAAJNC8zMC8yMDI2CAAAAAkzLzMxLzIwMjMJAAAAATAW5+ZayqbeCL/qFFvKpt4IHENJUS45OTIuSVFfUkRfRVhQX0ZOLklRX0ZZLTMBAAAACEIGAAIAAAAIMjA3My40NjEBCAAAAAUAAAABMQEAAAALLTIwMzk0NjA3MDIDAAAAAzE2MAIAAAAEMzE2OAQAAAABMAcAAAAJNC8zMC8yMDI2CAAAAAkzLzMxLzIwMjIJAAAAATAW5+ZayqbeCL/qFFvKpt4IHENJUS45OTIuSVFfUkRfRVhQX0ZOLklRX0ZZLTQBAAAACEIGAAIAAAAIMTQ1My45MTIBCAAAAAUAAAABMQEAAAALLTIwOTE1NzA3MDYDAAAAAzE2MAIAAAAEMzE2OAQAAAABMAcAAAAJNC8zMC8yMDI2CAAAAAkzLzMxLzIwMjEJAAAAATAW5+ZayqbeCLLDFFvKpt4IGUNJUS45OTIuSVFfUkRfRVhQLklRX0ZZLTYBAAAACEIGAAIAAAAIMTI2Ni4zNDEBCAAAAAUAAAABMQEAAAAKMjA0MDE1NTgzMwMAAAADMTYwAgAAAAMxMDAEAAAAATAHAAAACTQvMzAvMjAyNggAAAAJMy8zMS8yMDE5CQAAAAEwFufmWsqm3giywxRbyqbeCBlDSVEuOTkyLklRX1JEX0VYUC5JUV9GWS03AQAAAAhCBgACAAAA</t>
  </si>
  <si>
    <t>CDEyNzMuNzI5AQgAAAAFAAAAATEBAAAACjE5Njc0NDc5MjQDAAAAAzE2MAIAAAADMTAwBAAAAAEwBwAAAAk0LzMwLzIwMjYIAAAACTMvMzEvMjAxOAkAAAABMBbn5lrKpt4IssMUW8qm3ggZQ0lRLjk5Mi5JUV9SRF9FWFAuSVFfRlktOAEAAAAIQgYAAgAAAAgxMzYxLjY5MQEIAAAABQAAAAExAQAAAAoxODkyMjQ1NzUyAwAAAAMxNjACAAAAAzEwMAQAAAABMAcAAAAJNC8zMC8yMDI2CAAAAAkzLzMxLzIwMTcJAAAAATAW5+ZayqbeCLLDFFvKpt4IGUNJUS45OTIuSVFfUkRfRVhQLklRX0ZZLTkBAAAACEIGAAIAAAAHMTQ5MS4zNwEIAAAABQAAAAExAQAAAAoxODQ2MTQ3OTgzAwAAAAMxNjACAAAAAzEwMAQAAAABMAcAAAAJNC8zMC8yMDI2CAAAAAkzLzMxLzIwMTYJAAAAATAW5+ZayqbeCLLDFFvKpt4IGkNJUS45OTIuSVFfUkRfRVhQLklRX0ZZLTEwAQAAAAhCBgACAAAACDEyMjAuOTE5AQgAAAAFAAAAATEBAAAACjE3OTU1Mzg1OTkDAAAAAzE2MAIAAAADMTAwBAAAAAEwBwAAAAk0LzMwLzIwMjYIAAAACTMvMzEvMjAxNQkAAAABMBbn5lrKpt4IssMUW8qm3ggZQ0lRLjk5Mi5JUV9SRF9FWFAuSVFfRlktMQEAAAAIQgYAAgAAAAgyMDI3LjUzMgEIAAAABQAAAAExAQAAAAstMTkzNzY2NDg4OAMAAAADMTYwAgAAAAMxMDAEAAAAATAHAAAACTQvMzAvMjAyNggAAAAJMy8zMS8yMDI0CQAAAAEwFufmWsqm3giy</t>
  </si>
  <si>
    <t>wxRbyqbeCBlDSVEuOTkyLklRX1JEX0VYUC5JUV9GWS0yAQAAAAhCBgACAAAACDIxOTUuMzI5AQgAAAAFAAAAATEBAAAACy0xOTg5Mjg3NTEyAwAAAAMxNjACAAAAAzEwMAQAAAABMAcAAAAJNC8zMC8yMDI2CAAAAAkzLzMxLzIwMjMJAAAAATAW5+ZayqbeCLLDFFvKpt4IGUNJUS45OTIuSVFfUkRfRVhQLklRX0ZZLTMBAAAACEIGAAIAAAAIMjA3My40NjEBCAAAAAUAAAABMQEAAAALLTIwMzk0NjA3MDIDAAAAAzE2MAIAAAADMTAwBAAAAAEwBwAAAAk0LzMwLzIwMjYIAAAACTMvMzEvMjAyMgkAAAABMBbn5lrKpt4IssMUW8qm3ggZQ0lRLjk5Mi5JUV9SRF9FWFAuSVFfRlktNAEAAAAIQgYAAgAAAAgxNDUzLjkxMgEIAAAABQAAAAExAQAAAAstMjA5MTU3MDcwNgMAAAADMTYwAgAAAAMxMDAEAAAAATAHAAAACTQvMzAvMjAyNggAAAAJMy8zMS8yMDIxCQAAAAEwFufmWsqm3giywxRbyqbeCBlDSVEuOTkyLklRX1JEX0VYUC5JUV9GWS01AQAAAAhCBgACAAAACDEzMzUuNzQ0AQgAAAAFAAAAATEBAAAACy0yMTQ2NjE2MzI1AwAAAAMxNjACAAAAAzEwMAQAAAABMAcAAAAJNC8zMC8yMDI2CAAAAAkzLzMxLzIwMjAJAAAAATAW5+ZayqbeCLLDFFvKpt4IGENJUS45OTIuSVFfREFfQ0YuSVFfRlktNwEAAAAIQgYAAgAAAAc2NDMuMzczAQgAAAAFAAAAATEBAAAACjE5Njc0NDc5MjQDAAAAAzE2MAIAAAAEMjE2MAQA</t>
  </si>
  <si>
    <t>AAABMAcAAAAJNC8zMC8yMDI2CAAAAAkzLzMxLzIwMTgJAAAAATAW5+ZayqbeCLLDFFvKpt4IGENJUS45OTIuSVFfREFfQ0YuSVFfRlktOAEAAAAIQgYAAgAAAAc1OTkuODM2AQgAAAAFAAAAATEBAAAACjE4OTIyNDU3NTIDAAAAAzE2MAIAAAAEMjE2MAQAAAABMAcAAAAJNC8zMC8yMDI2CAAAAAkzLzMxLzIwMTcJAAAAATAW5+ZayqbeCLLDFFvKpt4IGENJUS45OTIuSVFfREFfQ0YuSVFfRlktOQEAAAAIQgYAAgAAAAc2MzUuOTA2AQgAAAAFAAAAATEBAAAACjE4NDYxNDc5ODMDAAAAAzE2MAIAAAAEMjE2MAQAAAABMAcAAAAJNC8zMC8yMDI2CAAAAAkzLzMxLzIwMTYJAAAAATAW5+ZayqbeCLLDFFvKpt4IGUNJUS45OTIuSVFfREFfQ0YuSVFfRlktMTABAAAACEIGAAIAAAAHNDE3LjI5OAEIAAAABQAAAAExAQAAAAoxNzk1NTM4NTk5AwAAAAMxNjACAAAABDIxNjAEAAAAATAHAAAACTQvMzAvMjAyNggAAAAJMy8zMS8yMDE1CQAAAAEwFufmWsqm3giywxRbyqbeCBlDSVEuOTkyLklRX1JEX0VYUC5JUV9GWS0wAQAAAAhCBgACAAAACDIyODguMjA0AQgAAAAFAAAAATEBAAAACy0xOTM3NjY0ODgwAwAAAAMxNjACAAAAAzEwMAQAAAABMAcAAAAJNC8zMC8yMDI2CAAAAAkzLzMxLzIwMjUJAAAAATAW5+ZayqbeCMucFFvKpt4IGENJUS45OTIuSVFfREFfQ0YuSVFfRlktMgEAAAAIQgYAAgAAAAgxMTE1LjY5OAEI</t>
  </si>
  <si>
    <t>AAAABQAAAAExAQAAAAstMTk4OTI4NzUxMgMAAAADMTYwAgAAAAQyMTYwBAAAAAEwBwAAAAk0LzMwLzIwMjYIAAAACTMvMzEvMjAyMwkAAAABMBbn5lrKpt4Iy5wUW8qm3ggYQ0lRLjk5Mi5JUV9EQV9DRi5JUV9GWS0zAQAAAAhCBgACAAAACDEwNDYuMzI0AQgAAAAFAAAAATEBAAAACy0yMDM5NDYwNzAyAwAAAAMxNjACAAAABDIxNjAEAAAAATAHAAAACTQvMzAvMjAyNggAAAAJMy8zMS8yMDIyCQAAAAEwFufmWsqm3gjLnBRbyqbeCBhDSVEuOTkyLklRX0RBX0NGLklRX0ZZLTQBAAAACEIGAAIAAAAHODY5LjIzMgEIAAAABQAAAAExAQAAAAstMjA5MTU3MDcwNgMAAAADMTYwAgAAAAQyMTYwBAAAAAEwBwAAAAk0LzMwLzIwMjYIAAAACTMvMzEvMjAyMQkAAAABMBbn5lrKpt4Iy5wUW8qm3ggYQ0lRLjk5Mi5JUV9EQV9DRi5JUV9GWS01AQAAAAhCBgACAAAABzgxNy43OTgBCAAAAAUAAAABMQEAAAALLTIxNDY2MTYzMjUDAAAAAzE2MAIAAAAEMjE2MAQAAAABMAcAAAAJNC8zMC8yMDI2CAAAAAkzLzMxLzIwMjAJAAAAATAW5+ZayqbeCMucFFvKpt4IGENJUS45OTIuSVFfREFfQ0YuSVFfRlktNgEAAAAIQgYAAgAAAAc2NjYuNDgyAQgAAAAFAAAAATEBAAAACjIwNDAxNTU4MzMDAAAAAzE2MAIAAAAEMjE2MAQAAAABMAcAAAAJNC8zMC8yMDI2CAAAAAkzLzMxLzIwMTkJAAAAATAW5+ZayqbeCMucFFvKpt4IH0NJ</t>
  </si>
  <si>
    <t>US45OTIuSVFfSU5URVJFU1RfRVhQLklRX0ZZLTgBAAAACEIGAAIAAAAILTE5OC4yMTUBCAAAAAUAAAABMQEAAAAKMTg5MjI0NTc1MgMAAAADMTYwAgAAAAI4MgQAAAABMAcAAAAJNC8zMC8yMDI2CAAAAAkzLzMxLzIwMTcJAAAAATAW5+ZayqbeCMucFFvKpt4IH0NJUS45OTIuSVFfSU5URVJFU1RfRVhQLklRX0ZZLTkBAAAACEIGAAIAAAAILTE3OC42MTgBCAAAAAUAAAABMQEAAAAKMTg0NjE0Nzk4MwMAAAADMTYwAgAAAAI4MgQAAAABMAcAAAAJNC8zMC8yMDI2CAAAAAkzLzMxLzIwMTYJAAAAATAW5+ZayqbeCMucFFvKpt4IIENJUS45OTIuSVFfSU5URVJFU1RfRVhQLklRX0ZZLTEwAQAAAAhCBgACAAAABy0xMTcuMjUBCAAAAAUAAAABMQEAAAAKMTc5NTUzODU5OQMAAAADMTYwAgAAAAI4MgQAAAABMAcAAAAJNC8zMC8yMDI2CAAAAAkzLzMxLzIwMTUJAAAAATAW5+ZayqbeCMucFFvKpt4IGENJUS45OTIuSVFfREFfQ0YuSVFfRlktMAEAAAAIQgYAAgAAAAgxMTY4LjgwNgEIAAAABQAAAAExAQAAAAstMTkzNzY2NDg4MAMAAAADMTYwAgAAAAQyMTYwBAAAAAEwBwAAAAk0LzMwLzIwMjYIAAAACTMvMzEvMjAyNQkAAAABMBbn5lrKpt4Iy5wUW8qm3ggYQ0lRLjk5Mi5JUV9EQV9DRi5JUV9GWS0xAQAAAAhCBgACAAAACDExODUuNzA5AQgAAAAFAAAAATEBAAAACy0xOTM3NjY0ODg4AwAAAAMxNjACAAAABDIx</t>
  </si>
  <si>
    <t>NjAEAAAAATAHAAAACTQvMzAvMjAyNggAAAAJMy8zMS8yMDI0CQAAAAEwFufmWsqm3gjLnBRbyqbeCB9DSVEuOTkyLklRX0lOVEVSRVNUX0VYUC5JUV9GWS0zAQAAAAhCBgACAAAACC0yNTguNTUzAQgAAAAFAAAAATEBAAAACy0yMDM5NDYwNzAyAwAAAAMxNjACAAAAAjgyBAAAAAEwBwAAAAk0LzMwLzIwMjYIAAAACTMvMzEvMjAyMgkAAAABMBbn5lrKpt4Iy5wUW8qm3ggfQ0lRLjk5Mi5JUV9JTlRFUkVTVF9FWFAuSVFfRlktNAEAAAAIQgYAAgAAAAgtMjY3LjAxNQEIAAAABQAAAAExAQAAAAstMjA5MTU3MDcwNgMAAAADMTYwAgAAAAI4MgQAAAABMAcAAAAJNC8zMC8yMDI2CAAAAAkzLzMxLzIwMjEJAAAAATAW5+ZayqbeCMucFFvKpt4IH0NJUS45OTIuSVFfSU5URVJFU1RfRVhQLklRX0ZZLTUBAAAACEIGAAIAAAAILTI2MS43MDIBCAAAAAUAAAABMQEAAAALLTIxNDY2MTYzMjUDAAAAAzE2MAIAAAACODIEAAAAATAHAAAACTQvMzAvMjAyNggAAAAJMy8zMS8yMDIwCQAAAAEwFufmWsqm3gjLnBRbyqbeCB9DSVEuOTkyLklRX0lOVEVSRVNUX0VYUC5JUV9GWS02AQAAAAhCBgACAAAACC0yMzcuMzk4AQgAAAAFAAAAATEBAAAACjIwNDAxNTU4MzMDAAAAAzE2MAIAAAACODIEAAAAATAHAAAACTQvMzAvMjAyNggAAAAJMy8zMS8yMDE5CQAAAAEwFufmWsqm3gjLnBRbyqbeCB9DSVEuOTkyLklRX0lOVEVSRVNU</t>
  </si>
  <si>
    <t>X0VYUC5JUV9GWS03AQAAAAhCBgACAAAACC0xODcuMzA0AQgAAAAFAAAAATEBAAAACjE5Njc0NDc5MjQDAAAAAzE2MAIAAAACODIEAAAAATAHAAAACTQvMzAvMjAyNggAAAAJMy8zMS8yMDE4CQAAAAEwFufmWsqm3ghdbRRbyqbeCBVDSVEuOTkyLklRX05JLklRX0ZZLTkBAAAACEIGAAIAAAAILTEyOC4xNDYBCAAAAAUAAAABMQEAAAAKMTg0NjE0Nzk4MwMAAAADMTYwAgAAAAIxNQQAAAABMAcAAAAJNC8zMC8yMDI2CAAAAAkzLzMxLzIwMTYJAAAAATAW5+ZayqbeCF1tFFvKpt4IFkNJUS45OTIuSVFfTkkuSVFfRlktMTABAAAACEIGAAIAAAAHODI4LjcxNQEIAAAABQAAAAExAQAAAAoxNzk1NTM4NTk5AwAAAAMxNjACAAAAAjE1BAAAAAEwBwAAAAk0LzMwLzIwMjYIAAAACTMvMzEvMjAxNQkAAAABMBbn5lrKpt4IXW0UW8qm3ggfQ0lRLjk5Mi5JUV9JTlRFUkVTVF9FWFAuSVFfRlktMAEAAAAIQgYAAgAAAAgtMjkzLjU5NQEIAAAABQAAAAExAQAAAAstMTkzNzY2NDg4MAMAAAADMTYwAgAAAAI4MgQAAAABMAcAAAAJNC8zMC8yMDI2CAAAAAkzLzMxLzIwMjUJAAAAATAW5+ZayqbeCMucFFvKpt4IH0NJUS45OTIuSVFfSU5URVJFU1RfRVhQLklRX0ZZLTEBAAAACEIGAAIAAAAILTI3NS4yMDMBCAAAAAUAAAABMQEAAAALLTE5Mzc2NjQ4ODgDAAAAAzE2MAIAAAACODIEAAAAATAHAAAACTQvMzAvMjAyNggAAAAJ</t>
  </si>
  <si>
    <t>My8zMS8yMDI0CQAAAAEwFufmWsqm3gjLnBRbyqbeCB9DSVEuOTkyLklRX0lOVEVSRVNUX0VYUC5JUV9GWS0yAQAAAAhCBgACAAAACC0zMTYuMTEyAQgAAAAFAAAAATEBAAAACy0xOTg5Mjg3NTEyAwAAAAMxNjACAAAAAjgyBAAAAAEwBwAAAAk0LzMwLzIwMjYIAAAACTMvMzEvMjAyMwkAAAABMBbn5lrKpt4IXW0UW8qm3ggVQ0lRLjk5Mi5JUV9OSS5JUV9GWS00AQAAAAhCBgACAAAACDEyMTAuODM5AQgAAAAFAAAAATEBAAAACy0yMDkxNTcwNzA2AwAAAAMxNjACAAAAAjE1BAAAAAEwBwAAAAk0LzMwLzIwMjYIAAAACTMvMzEvMjAyMQkAAAABMBbn5lrKpt4IXW0UW8qm3ggVQ0lRLjk5Mi5JUV9OSS5JUV9GWS01AQAAAAhCBgACAAAABzcxOC44NTEBCAAAAAUAAAABMQEAAAALLTIxNDY2MTYzMjUDAAAAAzE2MAIAAAACMTUEAAAAATAHAAAACTQvMzAvMjAyNggAAAAJMy8zMS8yMDIwCQAAAAEwFufmWsqm3ghdbRRbyqbeCBVDSVEuOTkyLklRX05JLklRX0ZZLTYBAAAACEIGAAIAAAAHNjUwLjEwMwEIAAAABQAAAAExAQAAAAoyMDQwMTU1ODMzAwAAAAMxNjACAAAAAjE1BAAAAAEwBwAAAAk0LzMwLzIwMjYIAAAACTMvMzEvMjAxOQkAAAABMBbn5lrKpt4IXW0UW8qm3ggVQ0lRLjk5Mi5JUV9OSS5JUV9GWS03AQAAAAhCBgACAAAACC0xMzUuNjQzAQgAAAAFAAAAATEBAAAACjE5Njc0NDc5MjQDAAAAAzE2MAIA</t>
  </si>
  <si>
    <t>AAACMTUEAAAAATAHAAAACTQvMzAvMjAyNggAAAAJMy8zMS8yMDE4CQAAAAEwFufmWsqm3ghdbRRbyqbeCBVDSVEuOTkyLklRX05JLklRX0ZZLTgBAAAACEIGAAIAAAAHNTM2Ljk1NgEIAAAABQAAAAExAQAAAAoxODkyMjQ1NzUyAwAAAAMxNjACAAAAAjE1BAAAAAEwBwAAAAk0LzMwLzIwMjYIAAAACTMvMzEvMjAxNwkAAAABMBbn5lrKpt4IXW0UW8qm3ggaQ0lRLjk5Mi5JUV9FQklUREEuSVFfRlktMTABAAAACEIGAAIAAAAIMTQxNC4xODcBCAAAAAUAAAABMQEAAAAKMTc5NTUzODU5OQMAAAADMTYwAgAAAAQ0MDUxBAAAAAEwBwAAAAk0LzMwLzIwMjYIAAAACTMvMzEvMjAxNQkAAAABMBbn5lrKpt4IXW0UW8qm3ggVQ0lRLjk5Mi5JUV9OSS5JUV9GWS0wAQAAAAhCBgACAAAACDEzODQuNDQ1AQgAAAAFAAAAATEBAAAACy0xOTM3NjY0ODgwAwAAAAMxNjACAAAAAjE1BAAAAAEwBwAAAAk0LzMwLzIwMjYIAAAACTMvMzEvMjAyNQkAAAABMBbn5lrKpt4IXW0UW8qm3ggVQ0lRLjk5Mi5JUV9OSS5JUV9GWS0xAQAAAAhCBgACAAAACDEwMTAuNTA2AQgAAAAFAAAAATEBAAAACy0xOTM3NjY0ODg4AwAAAAMxNjACAAAAAjE1BAAAAAEwBwAAAAk0LzMwLzIwMjYIAAAACTMvMzEvMjAyNAkAAAABMBbn5lrKpt4IXW0UW8qm3ggVQ0lRLjk5Mi5JUV9OSS5JUV9GWS0yAQAAAAhCBgACAAAACDE2MDcuNzIyAQgAAAAFAAAA</t>
  </si>
  <si>
    <t>ATEBAAAACy0xOTg5Mjg3NTEyAwAAAAMxNjACAAAAAjE1BAAAAAEwBwAAAAk0LzMwLzIwMjYIAAAACTMvMzEvMjAyMwkAAAABMBbn5lrKpt4IXW0UW8qm3ggVQ0lRLjk5Mi5JUV9OSS5JUV9GWS0zAQAAAAhCBgACAAAACDIwMjkuODE4AQgAAAAFAAAAATEBAAAACy0yMDM5NDYwNzAyAwAAAAMxNjACAAAAAjE1BAAAAAEwBwAAAAk0LzMwLzIwMjYIAAAACTMvMzEvMjAyMgkAAAABMBbn5lrKpt4IUUYUW8qm3ggZQ0lRLjk5Mi5JUV9FQklUREEuSVFfRlktNQEAAAAIQgYAAgAAAAgyMTE0LjU3OQEIAAAABQAAAAExAQAAAAstMjE0NjYxNjMyNQMAAAADMTYwAgAAAAQ0MDUxBAAAAAEwBwAAAAk0LzMwLzIwMjYIAAAACTMvMzEvMjAyMAkAAAABMBbn5lrKpt4IUUYUW8qm3ggZQ0lRLjk5Mi5JUV9FQklUREEuSVFfRlktNgEAAAAIQgYAAgAAAAgxNzE2LjQwMgEIAAAABQAAAAExAQAAAAoyMDQwMTU1ODMzAwAAAAMxNjACAAAABDQwNTEEAAAAATAHAAAACTQvMzAvMjAyNggAAAAJMy8zMS8yMDE5CQAAAAEwFufmWsqm3ghRRhRbyqbeCBlDSVEuOTkyLklRX0VCSVREQS5JUV9GWS03AQAAAAhCBgACAAAACDEzNTcuNzQyAQgAAAAFAAAAATEBAAAACjE5Njc0NDc5MjQDAAAAAzE2MAIAAAAENDA1MQQAAAABMAcAAAAJNC8zMC8yMDI2CAAAAAkzLzMxLzIwMTgJAAAAATAW5+ZayqbeCF1tFFvKpt4IGUNJUS45OTIuSVFf</t>
  </si>
  <si>
    <t>RUJJVERBLklRX0ZZLTgBAAAACEIGAAIAAAAIMTE4MS41NzcBCAAAAAUAAAABMQEAAAAKMTg5MjI0NTc1MgMAAAADMTYwAgAAAAQ0MDUxBAAAAAEwBwAAAAk0LzMwLzIwMjYIAAAACTMvMzEvMjAxNwkAAAABMBbn5lrKpt4IXW0UW8qm3ggZQ0lRLjk5Mi5JUV9FQklUREEuSVFfRlktOQEAAAAIQgYAAgAAAAgxMjAyLjY2NQEIAAAABQAAAAExAQAAAAoxODQ2MTQ3OTgzAwAAAAMxNjACAAAABDQwNTEEAAAAATAHAAAACTQvMzAvMjAyNggAAAAJMy8zMS8yMDE2CQAAAAEwFufmWsqm3ghRRhRbyqbeCBlDSVEuOTkyLklRX0VCSVREQS5JUV9GWS0wAQAAAAhCBgACAAAACDMwNTkuNzQzAQgAAAAFAAAAATEBAAAACy0xOTM3NjY0ODgwAwAAAAMxNjACAAAABDQwNTEEAAAAATAHAAAACTQvMzAvMjAyNggAAAAJMy8zMS8yMDI1CQAAAAEwFufmWsqm3ghRRhRbyqbeCBlDSVEuOTkyLklRX0VCSVREQS5JUV9GWS0xAQAAAAhCBgACAAAACDMwMjQuNjMyAQgAAAAFAAAAATEBAAAACy0xOTM3NjY0ODg4AwAAAAMxNjACAAAABDQwNTEEAAAAATAHAAAACTQvMzAvMjAyNggAAAAJMy8zMS8yMDI0CQAAAAEwFufmWsqm3ghRRhRbyqbeCBlDSVEuOTkyLklRX0VCSVREQS5JUV9GWS0yAQAAAAhCBgACAAAACDM0MDguNjI4AQgAAAAFAAAAATEBAAAACy0xOTg5Mjg3NTEyAwAAAAMxNjACAAAABDQwNTEEAAAAATAHAAAACTQvMzAv</t>
  </si>
  <si>
    <t>MjAyNggAAAAJMy8zMS8yMDIzCQAAAAEwFufmWsqm3ghRRhRbyqbeCBlDSVEuOTkyLklRX0VCSVREQS5JUV9GWS0zAQAAAAhCBgACAAAACDM4ODAuNjQ2AQgAAAAFAAAAATEBAAAACy0yMDM5NDYwNzAyAwAAAAMxNjACAAAABDQwNTEEAAAAATAHAAAACTQvMzAvMjAyNggAAAAJMy8zMS8yMDIyCQAAAAEwFufmWsqm3ghRRhRbyqbeCBlDSVEuOTkyLklRX0VCSVREQS5JUV9GWS00AQAAAAhCBgACAAAACDMyMTEuMTk4AQgAAAAFAAAAATEBAAAACy0yMDkxNTcwNzA2AwAAAAMxNjACAAAABDQwNTEEAAAAATAHAAAACTQvMzAvMjAyNggAAAAJMy8zMS8yMDIxCQAAAAEwFufmWsqm3ghRRhRbyqbeCBdDSVEuOTkyLklRX0VCSVQuSVFfRlktNgEAAAAIQgYAAgAAAAcxMDQ5LjkyAQgAAAAFAAAAATEBAAAACjIwNDAxNTU4MzMDAAAAAzE2MAIAAAADNDAwBAAAAAEwBwAAAAk0LzMwLzIwMjYIAAAACTMvMzEvMjAxOQkAAAABMBbn5lrKpt4IUUYUW8qm3ggXQ0lRLjk5Mi5JUV9FQklULklRX0ZZLTcBAAAACEIGAAIAAAAHNzE0LjM2OQEIAAAABQAAAAExAQAAAAoxOTY3NDQ3OTI0AwAAAAMxNjACAAAAAzQwMAQAAAABMAcAAAAJNC8zMC8yMDI2CAAAAAkzLzMxLzIwMTgJAAAAATAW5+ZayqbeCFFGFFvKpt4IF0NJUS45OTIuSVFfRUJJVC5JUV9GWS04AQAAAAhCBgACAAAABzU4MS43NDEBCAAAAAUAAAABMQEAAAAKMTg5</t>
  </si>
  <si>
    <t>MjI0NTc1MgMAAAADMTYwAgAAAAM0MDAEAAAAATAHAAAACTQvMzAvMjAyNggAAAAJMy8zMS8yMDE3CQAAAAEwFufmWsqm3ghRRhRbyqbeCBdDSVEuOTkyLklRX0VCSVQuSVFfRlktOQEAAAAIQgYAAgAAAAc1NjYuNzU5AQgAAAAFAAAAATEBAAAACjE4NDYxNDc5ODMDAAAAAzE2MAIAAAADNDAwBAAAAAEwBwAAAAk0LzMwLzIwMjYIAAAACTMvMzEvMjAxNgkAAAABMBbn5lrKpt4IUUYUW8qm3ggYQ0lRLjk5Mi5JUV9FQklULklRX0ZZLTEwAQAAAAhCBgACAAAABzk5Ni44ODkBCAAAAAUAAAABMQEAAAAKMTc5NTUzODU5OQMAAAADMTYwAgAAAAM0MDAEAAAAATAHAAAACTQvMzAvMjAyNggAAAAJMy8zMS8yMDE1CQAAAAEwFufmWsqm3ghLHxRbyqbeCBdDSVEuOTkyLklRX0VCSVQuSVFfRlktMQEAAAAIQgYAAgAAAAgxOTkwLjgyMgEIAAAABQAAAAExAQAAAAstMTkzNzY2NDg4OAMAAAADMTYwAgAAAAM0MDAEAAAAATAHAAAACTQvMzAvMjAyNggAAAAJMy8zMS8yMDI0CQAAAAEwFufmWsqm3ghLHxRbyqbeCBdDSVEuOTkyLklRX0VCSVQuSVFfRlktMgEAAAAIQgYAAgAAAAgyNDQ0LjI1NgEIAAAABQAAAAExAQAAAAstMTk4OTI4NzUxMgMAAAADMTYwAgAAAAM0MDAEAAAAATAHAAAACTQvMzAvMjAyNggAAAAJMy8zMS8yMDIzCQAAAAEwFufmWsqm3ghLHxRbyqbeCBdDSVEuOTkyLklRX0VCSVQuSVFfRlktMwEAAAAI</t>
  </si>
  <si>
    <t>QgYAAgAAAAgyOTcxLjMxNQEIAAAABQAAAAExAQAAAAstMjAzOTQ2MDcwMgMAAAADMTYwAgAAAAM0MDAEAAAAATAHAAAACTQvMzAvMjAyNggAAAAJMy8zMS8yMDIyCQAAAAEwFufmWsqm3ghRRhRbyqbeCBdDSVEuOTkyLklRX0VCSVQuSVFfRlktNAEAAAAIQgYAAgAAAAgyNDQxLjc2MQEIAAAABQAAAAExAQAAAAstMjA5MTU3MDcwNgMAAAADMTYwAgAAAAM0MDAEAAAAATAHAAAACTQvMzAvMjAyNggAAAAJMy8zMS8yMDIxCQAAAAEwFufmWsqm3ghRRhRbyqbeCBdDSVEuOTkyLklRX0VCSVQuSVFfRlktNQEAAAAIQgYAAgAAAAgxNDAwLjM4MQEIAAAABQAAAAExAQAAAAstMjE0NjYxNjMyNQMAAAADMTYwAgAAAAM0MDAEAAAAATAHAAAACTQvMzAvMjAyNggAAAAJMy8zMS8yMDIwCQAAAAEwFufmWsqm3ghLHxRbyqbeCBxDSVEuOTkyLklRX1RPVEFMX1JFVi5JUV9GWS03AQAAAAhCBgACAAAACTQ1MzQ5Ljk0MwEIAAAABQAAAAExAQAAAAoxOTY3NDQ3OTI0AwAAAAMxNjACAAAAAjI4BAAAAAEwBwAAAAk0LzMwLzIwMjYIAAAACTMvMzEvMjAxOAkAAAABMBbn5lrKpt4ISx8UW8qm3ggcQ0lRLjk5Mi5JUV9UT1RBTF9SRVYuSVFfRlktOAEAAAAIQgYAAgAAAAk0MzAzNC43MzEBCAAAAAUAAAABMQEAAAAKMTg5MjI0NTc1MgMAAAADMTYwAgAAAAIyOAQAAAABMAcAAAAJNC8zMC8yMDI2CAAAAAkzLzMxLzIwMTcJAAAA</t>
  </si>
  <si>
    <t>ATAW5+ZayqbeCEsfFFvKpt4IHENJUS45OTIuSVFfVE9UQUxfUkVWLklRX0ZZLTkBAAAACEIGAAIAAAAJNDQ5MTIuMDk3AQgAAAAFAAAAATEBAAAACjE4NDYxNDc5ODMDAAAAAzE2MAIAAAACMjgEAAAAATAHAAAACTQvMzAvMjAyNggAAAAJMy8zMS8yMDE2CQAAAAEwFufmWsqm3ghLHxRbyqbeCB1DSVEuOTkyLklRX1RPVEFMX1JFVi5JUV9GWS0xMAEAAAAIQgYAAgAAAAk0NjI5NS41OTMBCAAAAAUAAAABMQEAAAAKMTc5NTUzODU5OQMAAAADMTYwAgAAAAIyOAQAAAABMAcAAAAJNC8zMC8yMDI2CAAAAAkzLzMxLzIwMTUJAAAAATAW5+ZayqbeCEsfFFvKpt4IF0NJUS45OTIuSVFfRUJJVC5JUV9GWS0wAQAAAAhCBgACAAAACDIwMDYuOTAyAQgAAAAFAAAAATEBAAAACy0xOTM3NjY0ODgwAwAAAAMxNjACAAAAAzQwMAQAAAABMAcAAAAJNC8zMC8yMDI2CAAAAAkzLzMxLzIwMjUJAAAAATAW5+ZayqbeCEsfFFvKpt4IHENJUS45OTIuSVFfVE9UQUxfUkVWLklRX0ZZLTIBAAAACEIGAAIAAAAJNjE5NDYuODU0AQgAAAAFAAAAATEBAAAACy0xOTg5Mjg3NTEyAwAAAAMxNjACAAAAAjI4BAAAAAEwBwAAAAk0LzMwLzIwMjYIAAAACTMvMzEvMjAyMwkAAAABMBbn5lrKpt4ISx8UW8qm3ggcQ0lRLjk5Mi5JUV9UT1RBTF9SRVYuSVFfRlktMwEAAAAIQgYAAgAAAAk3MTYxOC4yMTYBCAAAAAUAAAABMQEAAAALLTIwMzk0</t>
  </si>
  <si>
    <t>NjA3MDIDAAAAAzE2MAIAAAACMjgEAAAAATAHAAAACTQvMzAvMjAyNggAAAAJMy8zMS8yMDIyCQAAAAEwFufmWsqm3ghLHxRbyqbeCBxDSVEuOTkyLklRX1RPVEFMX1JFVi5JUV9GWS00AQAAAAhCBgACAAAACTYwNzQyLjMxMgEIAAAABQAAAAExAQAAAAstMjA5MTU3MDcwNgMAAAADMTYwAgAAAAIyOAQAAAABMAcAAAAJNC8zMC8yMDI2CAAAAAkzLzMxLzIwMjEJAAAAATAW5+ZayqbeCEsfFFvKpt4IHENJUS45OTIuSVFfVE9UQUxfUkVWLklRX0ZZLTUBAAAACEIGAAIAAAAJNTA3MTYuMzQ5AQgAAAAFAAAAATEBAAAACy0yMTQ2NjE2MzI1AwAAAAMxNjACAAAAAjI4BAAAAAEwBwAAAAk0LzMwLzIwMjYIAAAACTMvMzEvMjAyMAkAAAABMBbn5lrKpt4ISx8UW8qm3ggcQ0lRLjk5Mi5JUV9UT1RBTF9SRVYuSVFfRlktNgEAAAAIQgYAAgAAAAk1MTAzNy45NDMBCAAAAAUAAAABMQEAAAAKMjA0MDE1NTgzMwMAAAADMTYwAgAAAAIyOAQAAAABMAcAAAAJNC8zMC8yMDI2CAAAAAkzLzMxLzIwMTkJAAAAATAW5+ZayqbeCDL4E1vKpt4IHENJUS45OTIuSVFfVE9UQUxfUkVWLklRX0ZZLTABAAAACEIGAAIAAAAJNjkwNzYuOTY4AQgAAAAFAAAAATEBAAAACy0xOTM3NjY0ODgwAwAAAAMxNjACAAAAAjI4BAAAAAEwBwAAAAk0LzMwLzIwMjYIAAAACTMvMzEvMjAyNQkAAAABMBbn5lrKpt4ISx8UW8qm3ggcQ0lRLjk5Mi5J</t>
  </si>
  <si>
    <t>UV9UT1RBTF9SRVYuSVFfRlktMQEAAAAIQgYAAgAAAAk1Njg2My43ODQBCAAAAAUAAAABMQEAAAALLTE5Mzc2NjQ4ODgDAAAAAzE2MAIAAAACMjgEAAAAATAHAAAACTQvMzAvMjAyNggAAAAJMy8zMS8yMDI0CQAAAAEwFufmWsqm3ghLHxRbyqbeCB5DSVEuOTkyLklRX01BUktFVENBUC4uUkVQT1JURUQBAAAACEIGAAIAAAAQMTg3NzMuMjgxMjI2NjU4NwEGAAAABQAAAAExAQAAAAstMTkwNzE2MDI3NAMAAAADMTYwAgAAAAYxMDAwNTQEAAAAATAHAAAACTQvMjkvMjAyNnkolAXLpt4IunFTEsum3ggfQ0lRLjk5Mi5JUV9DTE9TRVBSSUNFLi5SRVBPUlRFRAEAAAAIQgYAAgAAAA0xLjUxMzQwNTYzMDA2AFXr2SHLpt4IJ1PsIcum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</si>
</sst>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  <xf numFmtId="0" fontId="0" fillId="5" borderId="1" xfId="0" applyFill="1" applyBorder="1"/>
    <xf numFmtId="0" fontId="7" fillId="5" borderId="1" xfId="0" applyFont="1" applyFill="1" applyBorder="1"/>
    <xf numFmtId="4" fontId="0" fillId="5" borderId="1" xfId="0" applyNumberForma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E5F1-62B9-44C6-B0C2-E993ED77C1DA}">
  <dimension ref="A1:BR1"/>
  <sheetViews>
    <sheetView workbookViewId="0"/>
  </sheetViews>
  <sheetFormatPr defaultRowHeight="14.1" x14ac:dyDescent="0.4"/>
  <sheetData>
    <row r="1" spans="1:70" x14ac:dyDescent="0.4">
      <c r="A1">
        <v>70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  <c r="AC1" t="s">
        <v>180</v>
      </c>
      <c r="AD1" t="s">
        <v>181</v>
      </c>
      <c r="AE1" t="s">
        <v>182</v>
      </c>
      <c r="AF1" t="s">
        <v>183</v>
      </c>
      <c r="AG1" t="s">
        <v>184</v>
      </c>
      <c r="AH1" t="s">
        <v>185</v>
      </c>
      <c r="AI1" t="s">
        <v>186</v>
      </c>
      <c r="AJ1" t="s">
        <v>187</v>
      </c>
      <c r="AK1" t="s">
        <v>188</v>
      </c>
      <c r="AL1" t="s">
        <v>189</v>
      </c>
      <c r="AM1" t="s">
        <v>190</v>
      </c>
      <c r="AN1" t="s">
        <v>191</v>
      </c>
      <c r="AO1" t="s">
        <v>192</v>
      </c>
      <c r="AP1" t="s">
        <v>193</v>
      </c>
      <c r="AQ1" t="s">
        <v>194</v>
      </c>
      <c r="AR1" t="s">
        <v>195</v>
      </c>
      <c r="AS1" t="s">
        <v>196</v>
      </c>
      <c r="AT1" t="s">
        <v>197</v>
      </c>
      <c r="AU1" t="s">
        <v>198</v>
      </c>
      <c r="AV1" t="s">
        <v>199</v>
      </c>
      <c r="AW1" t="s">
        <v>200</v>
      </c>
      <c r="AX1" t="s">
        <v>201</v>
      </c>
      <c r="AY1" t="s">
        <v>202</v>
      </c>
      <c r="AZ1" t="s">
        <v>203</v>
      </c>
      <c r="BA1" t="s">
        <v>204</v>
      </c>
      <c r="BB1" t="s">
        <v>205</v>
      </c>
      <c r="BC1" t="s">
        <v>206</v>
      </c>
      <c r="BD1" t="s">
        <v>207</v>
      </c>
      <c r="BE1" t="s">
        <v>208</v>
      </c>
      <c r="BF1" t="s">
        <v>209</v>
      </c>
      <c r="BG1" t="s">
        <v>210</v>
      </c>
      <c r="BH1" t="s">
        <v>211</v>
      </c>
      <c r="BI1" t="s">
        <v>212</v>
      </c>
      <c r="BJ1" t="s">
        <v>213</v>
      </c>
      <c r="BK1" t="s">
        <v>214</v>
      </c>
      <c r="BL1" t="s">
        <v>215</v>
      </c>
      <c r="BM1" t="s">
        <v>216</v>
      </c>
      <c r="BN1" t="s">
        <v>217</v>
      </c>
      <c r="BO1" t="s">
        <v>218</v>
      </c>
      <c r="BP1" t="s">
        <v>219</v>
      </c>
      <c r="BQ1" t="s">
        <v>220</v>
      </c>
      <c r="BR1" t="s">
        <v>221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"/>
  <sheetViews>
    <sheetView tabSelected="1" topLeftCell="A318" workbookViewId="0">
      <selection activeCell="C331" sqref="C331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>
        <v>992</v>
      </c>
      <c r="C1" s="3" t="s">
        <v>1</v>
      </c>
    </row>
    <row r="2" spans="1:5" x14ac:dyDescent="0.4">
      <c r="A2" t="s">
        <v>2</v>
      </c>
      <c r="B2" s="4" t="s">
        <v>3</v>
      </c>
    </row>
    <row r="4" spans="1:5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4">
      <c r="A5" s="9" t="s">
        <v>9</v>
      </c>
      <c r="B5" s="10"/>
      <c r="C5" s="10"/>
      <c r="D5" s="10"/>
      <c r="E5" s="10"/>
    </row>
    <row r="6" spans="1:5" x14ac:dyDescent="0.4">
      <c r="A6" s="6" t="s">
        <v>10</v>
      </c>
      <c r="B6" s="6" t="s">
        <v>11</v>
      </c>
      <c r="C6" s="7">
        <f>_xll.ciqfunctions.udf.CIQ($B$1,"IQ_TOTAL_REV","IQ_FY-0")</f>
        <v>69076.967999999993</v>
      </c>
      <c r="D6" s="8">
        <f t="shared" ref="D6:D37" si="0">C6</f>
        <v>69076.967999999993</v>
      </c>
      <c r="E6" s="6" t="s">
        <v>12</v>
      </c>
    </row>
    <row r="7" spans="1:5" x14ac:dyDescent="0.4">
      <c r="A7" s="6" t="s">
        <v>10</v>
      </c>
      <c r="B7" s="6" t="s">
        <v>13</v>
      </c>
      <c r="C7" s="7">
        <f>_xll.ciqfunctions.udf.CIQ($B$1,"IQ_TOTAL_REV","IQ_FY-1")</f>
        <v>56863.784</v>
      </c>
      <c r="D7" s="8">
        <f t="shared" si="0"/>
        <v>56863.784</v>
      </c>
      <c r="E7" s="6" t="s">
        <v>12</v>
      </c>
    </row>
    <row r="8" spans="1:5" x14ac:dyDescent="0.4">
      <c r="A8" s="6" t="s">
        <v>10</v>
      </c>
      <c r="B8" s="6" t="s">
        <v>14</v>
      </c>
      <c r="C8" s="7">
        <f>_xll.ciqfunctions.udf.CIQ($B$1,"IQ_TOTAL_REV","IQ_FY-2")</f>
        <v>61946.853999999999</v>
      </c>
      <c r="D8" s="8">
        <f t="shared" si="0"/>
        <v>61946.853999999999</v>
      </c>
      <c r="E8" s="6" t="s">
        <v>12</v>
      </c>
    </row>
    <row r="9" spans="1:5" x14ac:dyDescent="0.4">
      <c r="A9" s="6" t="s">
        <v>10</v>
      </c>
      <c r="B9" s="6" t="s">
        <v>15</v>
      </c>
      <c r="C9" s="7">
        <f>_xll.ciqfunctions.udf.CIQ($B$1,"IQ_TOTAL_REV","IQ_FY-3")</f>
        <v>71618.216</v>
      </c>
      <c r="D9" s="8">
        <f t="shared" si="0"/>
        <v>71618.216</v>
      </c>
      <c r="E9" s="6" t="s">
        <v>12</v>
      </c>
    </row>
    <row r="10" spans="1:5" x14ac:dyDescent="0.4">
      <c r="A10" s="6" t="s">
        <v>10</v>
      </c>
      <c r="B10" s="6" t="s">
        <v>16</v>
      </c>
      <c r="C10" s="7">
        <f>_xll.ciqfunctions.udf.CIQ($B$1,"IQ_TOTAL_REV","IQ_FY-4")</f>
        <v>60742.311999999998</v>
      </c>
      <c r="D10" s="8">
        <f t="shared" si="0"/>
        <v>60742.311999999998</v>
      </c>
      <c r="E10" s="6" t="s">
        <v>12</v>
      </c>
    </row>
    <row r="11" spans="1:5" x14ac:dyDescent="0.4">
      <c r="A11" s="6" t="s">
        <v>10</v>
      </c>
      <c r="B11" s="6" t="s">
        <v>17</v>
      </c>
      <c r="C11" s="7">
        <f>_xll.ciqfunctions.udf.CIQ($B$1,"IQ_TOTAL_REV","IQ_FY-5")</f>
        <v>50716.349000000002</v>
      </c>
      <c r="D11" s="8">
        <f t="shared" si="0"/>
        <v>50716.349000000002</v>
      </c>
      <c r="E11" s="6" t="s">
        <v>12</v>
      </c>
    </row>
    <row r="12" spans="1:5" x14ac:dyDescent="0.4">
      <c r="A12" s="6" t="s">
        <v>10</v>
      </c>
      <c r="B12" s="6" t="s">
        <v>18</v>
      </c>
      <c r="C12" s="7">
        <f>_xll.ciqfunctions.udf.CIQ($B$1,"IQ_TOTAL_REV","IQ_FY-6")</f>
        <v>51037.942999999999</v>
      </c>
      <c r="D12" s="8">
        <f t="shared" si="0"/>
        <v>51037.942999999999</v>
      </c>
      <c r="E12" s="6" t="s">
        <v>12</v>
      </c>
    </row>
    <row r="13" spans="1:5" x14ac:dyDescent="0.4">
      <c r="A13" s="6" t="s">
        <v>10</v>
      </c>
      <c r="B13" s="6" t="s">
        <v>19</v>
      </c>
      <c r="C13" s="7">
        <f>_xll.ciqfunctions.udf.CIQ($B$1,"IQ_TOTAL_REV","IQ_FY-7")</f>
        <v>45349.942999999999</v>
      </c>
      <c r="D13" s="8">
        <f t="shared" si="0"/>
        <v>45349.942999999999</v>
      </c>
      <c r="E13" s="6" t="s">
        <v>12</v>
      </c>
    </row>
    <row r="14" spans="1:5" x14ac:dyDescent="0.4">
      <c r="A14" s="6" t="s">
        <v>10</v>
      </c>
      <c r="B14" s="6" t="s">
        <v>20</v>
      </c>
      <c r="C14" s="7">
        <f>_xll.ciqfunctions.udf.CIQ($B$1,"IQ_TOTAL_REV","IQ_FY-8")</f>
        <v>43034.731</v>
      </c>
      <c r="D14" s="8">
        <f t="shared" si="0"/>
        <v>43034.731</v>
      </c>
      <c r="E14" s="6" t="s">
        <v>12</v>
      </c>
    </row>
    <row r="15" spans="1:5" x14ac:dyDescent="0.4">
      <c r="A15" s="6" t="s">
        <v>10</v>
      </c>
      <c r="B15" s="6" t="s">
        <v>21</v>
      </c>
      <c r="C15" s="7">
        <f>_xll.ciqfunctions.udf.CIQ($B$1,"IQ_TOTAL_REV","IQ_FY-9")</f>
        <v>44912.097000000002</v>
      </c>
      <c r="D15" s="8">
        <f t="shared" si="0"/>
        <v>44912.097000000002</v>
      </c>
      <c r="E15" s="6" t="s">
        <v>12</v>
      </c>
    </row>
    <row r="16" spans="1:5" x14ac:dyDescent="0.4">
      <c r="A16" s="6" t="s">
        <v>10</v>
      </c>
      <c r="B16" s="6" t="s">
        <v>22</v>
      </c>
      <c r="C16" s="7">
        <f>_xll.ciqfunctions.udf.CIQ($B$1,"IQ_TOTAL_REV","IQ_FY-10")</f>
        <v>46295.593000000001</v>
      </c>
      <c r="D16" s="8">
        <f t="shared" si="0"/>
        <v>46295.593000000001</v>
      </c>
      <c r="E16" s="6" t="s">
        <v>12</v>
      </c>
    </row>
    <row r="17" spans="1:5" x14ac:dyDescent="0.4">
      <c r="A17" s="6" t="s">
        <v>23</v>
      </c>
      <c r="B17" s="6" t="s">
        <v>11</v>
      </c>
      <c r="C17" s="7">
        <f>_xll.ciqfunctions.udf.CIQ($B$1,"IQ_EBIT","IQ_FY-0")</f>
        <v>2006.902</v>
      </c>
      <c r="D17" s="8">
        <f t="shared" si="0"/>
        <v>2006.902</v>
      </c>
      <c r="E17" s="6" t="s">
        <v>24</v>
      </c>
    </row>
    <row r="18" spans="1:5" x14ac:dyDescent="0.4">
      <c r="A18" s="6" t="s">
        <v>23</v>
      </c>
      <c r="B18" s="6" t="s">
        <v>13</v>
      </c>
      <c r="C18" s="7">
        <f>_xll.ciqfunctions.udf.CIQ($B$1,"IQ_EBIT","IQ_FY-1")</f>
        <v>1990.8219999999999</v>
      </c>
      <c r="D18" s="8">
        <f t="shared" si="0"/>
        <v>1990.8219999999999</v>
      </c>
      <c r="E18" s="6" t="s">
        <v>24</v>
      </c>
    </row>
    <row r="19" spans="1:5" x14ac:dyDescent="0.4">
      <c r="A19" s="6" t="s">
        <v>23</v>
      </c>
      <c r="B19" s="6" t="s">
        <v>14</v>
      </c>
      <c r="C19" s="7">
        <f>_xll.ciqfunctions.udf.CIQ($B$1,"IQ_EBIT","IQ_FY-2")</f>
        <v>2444.2559999999999</v>
      </c>
      <c r="D19" s="8">
        <f t="shared" si="0"/>
        <v>2444.2559999999999</v>
      </c>
      <c r="E19" s="6" t="s">
        <v>24</v>
      </c>
    </row>
    <row r="20" spans="1:5" x14ac:dyDescent="0.4">
      <c r="A20" s="6" t="s">
        <v>23</v>
      </c>
      <c r="B20" s="6" t="s">
        <v>15</v>
      </c>
      <c r="C20" s="7">
        <f>_xll.ciqfunctions.udf.CIQ($B$1,"IQ_EBIT","IQ_FY-3")</f>
        <v>2971.3150000000001</v>
      </c>
      <c r="D20" s="8">
        <f t="shared" si="0"/>
        <v>2971.3150000000001</v>
      </c>
      <c r="E20" s="6" t="s">
        <v>24</v>
      </c>
    </row>
    <row r="21" spans="1:5" x14ac:dyDescent="0.4">
      <c r="A21" s="6" t="s">
        <v>23</v>
      </c>
      <c r="B21" s="6" t="s">
        <v>16</v>
      </c>
      <c r="C21" s="7">
        <f>_xll.ciqfunctions.udf.CIQ($B$1,"IQ_EBIT","IQ_FY-4")</f>
        <v>2441.761</v>
      </c>
      <c r="D21" s="8">
        <f t="shared" si="0"/>
        <v>2441.761</v>
      </c>
      <c r="E21" s="6" t="s">
        <v>24</v>
      </c>
    </row>
    <row r="22" spans="1:5" x14ac:dyDescent="0.4">
      <c r="A22" s="6" t="s">
        <v>23</v>
      </c>
      <c r="B22" s="6" t="s">
        <v>17</v>
      </c>
      <c r="C22" s="7">
        <f>_xll.ciqfunctions.udf.CIQ($B$1,"IQ_EBIT","IQ_FY-5")</f>
        <v>1400.3810000000001</v>
      </c>
      <c r="D22" s="8">
        <f t="shared" si="0"/>
        <v>1400.3810000000001</v>
      </c>
      <c r="E22" s="6" t="s">
        <v>24</v>
      </c>
    </row>
    <row r="23" spans="1:5" x14ac:dyDescent="0.4">
      <c r="A23" s="6" t="s">
        <v>23</v>
      </c>
      <c r="B23" s="6" t="s">
        <v>18</v>
      </c>
      <c r="C23" s="7">
        <f>_xll.ciqfunctions.udf.CIQ($B$1,"IQ_EBIT","IQ_FY-6")</f>
        <v>1049.92</v>
      </c>
      <c r="D23" s="8">
        <f t="shared" si="0"/>
        <v>1049.92</v>
      </c>
      <c r="E23" s="6" t="s">
        <v>24</v>
      </c>
    </row>
    <row r="24" spans="1:5" x14ac:dyDescent="0.4">
      <c r="A24" s="6" t="s">
        <v>23</v>
      </c>
      <c r="B24" s="6" t="s">
        <v>19</v>
      </c>
      <c r="C24" s="7">
        <f>_xll.ciqfunctions.udf.CIQ($B$1,"IQ_EBIT","IQ_FY-7")</f>
        <v>714.36900000000003</v>
      </c>
      <c r="D24" s="8">
        <f t="shared" si="0"/>
        <v>714.36900000000003</v>
      </c>
      <c r="E24" s="6" t="s">
        <v>24</v>
      </c>
    </row>
    <row r="25" spans="1:5" x14ac:dyDescent="0.4">
      <c r="A25" s="6" t="s">
        <v>23</v>
      </c>
      <c r="B25" s="6" t="s">
        <v>20</v>
      </c>
      <c r="C25" s="7">
        <f>_xll.ciqfunctions.udf.CIQ($B$1,"IQ_EBIT","IQ_FY-8")</f>
        <v>581.74099999999999</v>
      </c>
      <c r="D25" s="8">
        <f t="shared" si="0"/>
        <v>581.74099999999999</v>
      </c>
      <c r="E25" s="6" t="s">
        <v>24</v>
      </c>
    </row>
    <row r="26" spans="1:5" x14ac:dyDescent="0.4">
      <c r="A26" s="6" t="s">
        <v>23</v>
      </c>
      <c r="B26" s="6" t="s">
        <v>21</v>
      </c>
      <c r="C26" s="7">
        <f>_xll.ciqfunctions.udf.CIQ($B$1,"IQ_EBIT","IQ_FY-9")</f>
        <v>566.75900000000001</v>
      </c>
      <c r="D26" s="8">
        <f t="shared" si="0"/>
        <v>566.75900000000001</v>
      </c>
      <c r="E26" s="6" t="s">
        <v>24</v>
      </c>
    </row>
    <row r="27" spans="1:5" x14ac:dyDescent="0.4">
      <c r="A27" s="6" t="s">
        <v>23</v>
      </c>
      <c r="B27" s="6" t="s">
        <v>22</v>
      </c>
      <c r="C27" s="7">
        <f>_xll.ciqfunctions.udf.CIQ($B$1,"IQ_EBIT","IQ_FY-10")</f>
        <v>996.88900000000001</v>
      </c>
      <c r="D27" s="8">
        <f t="shared" si="0"/>
        <v>996.88900000000001</v>
      </c>
      <c r="E27" s="6" t="s">
        <v>24</v>
      </c>
    </row>
    <row r="28" spans="1:5" x14ac:dyDescent="0.4">
      <c r="A28" s="6" t="s">
        <v>25</v>
      </c>
      <c r="B28" s="6" t="s">
        <v>11</v>
      </c>
      <c r="C28" s="7">
        <f>_xll.ciqfunctions.udf.CIQ($B$1,"IQ_EBITDA","IQ_FY-0")</f>
        <v>3059.7429999999999</v>
      </c>
      <c r="D28" s="8">
        <f t="shared" si="0"/>
        <v>3059.7429999999999</v>
      </c>
      <c r="E28" s="6" t="s">
        <v>26</v>
      </c>
    </row>
    <row r="29" spans="1:5" x14ac:dyDescent="0.4">
      <c r="A29" s="6" t="s">
        <v>25</v>
      </c>
      <c r="B29" s="6" t="s">
        <v>13</v>
      </c>
      <c r="C29" s="7">
        <f>_xll.ciqfunctions.udf.CIQ($B$1,"IQ_EBITDA","IQ_FY-1")</f>
        <v>3024.6320000000001</v>
      </c>
      <c r="D29" s="8">
        <f t="shared" si="0"/>
        <v>3024.6320000000001</v>
      </c>
      <c r="E29" s="6" t="s">
        <v>26</v>
      </c>
    </row>
    <row r="30" spans="1:5" x14ac:dyDescent="0.4">
      <c r="A30" s="6" t="s">
        <v>25</v>
      </c>
      <c r="B30" s="6" t="s">
        <v>14</v>
      </c>
      <c r="C30" s="7">
        <f>_xll.ciqfunctions.udf.CIQ($B$1,"IQ_EBITDA","IQ_FY-2")</f>
        <v>3408.6280000000002</v>
      </c>
      <c r="D30" s="8">
        <f t="shared" si="0"/>
        <v>3408.6280000000002</v>
      </c>
      <c r="E30" s="6" t="s">
        <v>26</v>
      </c>
    </row>
    <row r="31" spans="1:5" x14ac:dyDescent="0.4">
      <c r="A31" s="6" t="s">
        <v>25</v>
      </c>
      <c r="B31" s="6" t="s">
        <v>15</v>
      </c>
      <c r="C31" s="7">
        <f>_xll.ciqfunctions.udf.CIQ($B$1,"IQ_EBITDA","IQ_FY-3")</f>
        <v>3880.6460000000002</v>
      </c>
      <c r="D31" s="8">
        <f t="shared" si="0"/>
        <v>3880.6460000000002</v>
      </c>
      <c r="E31" s="6" t="s">
        <v>26</v>
      </c>
    </row>
    <row r="32" spans="1:5" x14ac:dyDescent="0.4">
      <c r="A32" s="6" t="s">
        <v>25</v>
      </c>
      <c r="B32" s="6" t="s">
        <v>16</v>
      </c>
      <c r="C32" s="7">
        <f>_xll.ciqfunctions.udf.CIQ($B$1,"IQ_EBITDA","IQ_FY-4")</f>
        <v>3211.1979999999999</v>
      </c>
      <c r="D32" s="8">
        <f t="shared" si="0"/>
        <v>3211.1979999999999</v>
      </c>
      <c r="E32" s="6" t="s">
        <v>26</v>
      </c>
    </row>
    <row r="33" spans="1:5" x14ac:dyDescent="0.4">
      <c r="A33" s="6" t="s">
        <v>25</v>
      </c>
      <c r="B33" s="6" t="s">
        <v>17</v>
      </c>
      <c r="C33" s="7">
        <f>_xll.ciqfunctions.udf.CIQ($B$1,"IQ_EBITDA","IQ_FY-5")</f>
        <v>2114.5790000000002</v>
      </c>
      <c r="D33" s="8">
        <f t="shared" si="0"/>
        <v>2114.5790000000002</v>
      </c>
      <c r="E33" s="6" t="s">
        <v>26</v>
      </c>
    </row>
    <row r="34" spans="1:5" x14ac:dyDescent="0.4">
      <c r="A34" s="6" t="s">
        <v>25</v>
      </c>
      <c r="B34" s="6" t="s">
        <v>18</v>
      </c>
      <c r="C34" s="7">
        <f>_xll.ciqfunctions.udf.CIQ($B$1,"IQ_EBITDA","IQ_FY-6")</f>
        <v>1716.402</v>
      </c>
      <c r="D34" s="8">
        <f t="shared" si="0"/>
        <v>1716.402</v>
      </c>
      <c r="E34" s="6" t="s">
        <v>26</v>
      </c>
    </row>
    <row r="35" spans="1:5" x14ac:dyDescent="0.4">
      <c r="A35" s="6" t="s">
        <v>25</v>
      </c>
      <c r="B35" s="6" t="s">
        <v>19</v>
      </c>
      <c r="C35" s="7">
        <f>_xll.ciqfunctions.udf.CIQ($B$1,"IQ_EBITDA","IQ_FY-7")</f>
        <v>1357.742</v>
      </c>
      <c r="D35" s="8">
        <f t="shared" si="0"/>
        <v>1357.742</v>
      </c>
      <c r="E35" s="6" t="s">
        <v>26</v>
      </c>
    </row>
    <row r="36" spans="1:5" x14ac:dyDescent="0.4">
      <c r="A36" s="6" t="s">
        <v>25</v>
      </c>
      <c r="B36" s="6" t="s">
        <v>20</v>
      </c>
      <c r="C36" s="7">
        <f>_xll.ciqfunctions.udf.CIQ($B$1,"IQ_EBITDA","IQ_FY-8")</f>
        <v>1181.577</v>
      </c>
      <c r="D36" s="8">
        <f t="shared" si="0"/>
        <v>1181.577</v>
      </c>
      <c r="E36" s="6" t="s">
        <v>26</v>
      </c>
    </row>
    <row r="37" spans="1:5" x14ac:dyDescent="0.4">
      <c r="A37" s="6" t="s">
        <v>25</v>
      </c>
      <c r="B37" s="6" t="s">
        <v>21</v>
      </c>
      <c r="C37" s="7">
        <f>_xll.ciqfunctions.udf.CIQ($B$1,"IQ_EBITDA","IQ_FY-9")</f>
        <v>1202.665</v>
      </c>
      <c r="D37" s="8">
        <f t="shared" si="0"/>
        <v>1202.665</v>
      </c>
      <c r="E37" s="6" t="s">
        <v>26</v>
      </c>
    </row>
    <row r="38" spans="1:5" x14ac:dyDescent="0.4">
      <c r="A38" s="6" t="s">
        <v>25</v>
      </c>
      <c r="B38" s="6" t="s">
        <v>22</v>
      </c>
      <c r="C38" s="7">
        <f>_xll.ciqfunctions.udf.CIQ($B$1,"IQ_EBITDA","IQ_FY-10")</f>
        <v>1414.1869999999999</v>
      </c>
      <c r="D38" s="8">
        <f t="shared" ref="D38:D69" si="1">C38</f>
        <v>1414.1869999999999</v>
      </c>
      <c r="E38" s="6" t="s">
        <v>26</v>
      </c>
    </row>
    <row r="39" spans="1:5" x14ac:dyDescent="0.4">
      <c r="A39" s="6" t="s">
        <v>27</v>
      </c>
      <c r="B39" s="6" t="s">
        <v>11</v>
      </c>
      <c r="C39" s="7">
        <f>_xll.ciqfunctions.udf.CIQ($B$1,"IQ_NI","IQ_FY-0")</f>
        <v>1384.4449999999999</v>
      </c>
      <c r="D39" s="8">
        <f t="shared" si="1"/>
        <v>1384.4449999999999</v>
      </c>
      <c r="E39" s="6" t="s">
        <v>28</v>
      </c>
    </row>
    <row r="40" spans="1:5" x14ac:dyDescent="0.4">
      <c r="A40" s="6" t="s">
        <v>27</v>
      </c>
      <c r="B40" s="6" t="s">
        <v>13</v>
      </c>
      <c r="C40" s="7">
        <f>_xll.ciqfunctions.udf.CIQ($B$1,"IQ_NI","IQ_FY-1")</f>
        <v>1010.506</v>
      </c>
      <c r="D40" s="8">
        <f t="shared" si="1"/>
        <v>1010.506</v>
      </c>
      <c r="E40" s="6" t="s">
        <v>28</v>
      </c>
    </row>
    <row r="41" spans="1:5" x14ac:dyDescent="0.4">
      <c r="A41" s="6" t="s">
        <v>27</v>
      </c>
      <c r="B41" s="6" t="s">
        <v>14</v>
      </c>
      <c r="C41" s="7">
        <f>_xll.ciqfunctions.udf.CIQ($B$1,"IQ_NI","IQ_FY-2")</f>
        <v>1607.722</v>
      </c>
      <c r="D41" s="8">
        <f t="shared" si="1"/>
        <v>1607.722</v>
      </c>
      <c r="E41" s="6" t="s">
        <v>28</v>
      </c>
    </row>
    <row r="42" spans="1:5" x14ac:dyDescent="0.4">
      <c r="A42" s="6" t="s">
        <v>27</v>
      </c>
      <c r="B42" s="6" t="s">
        <v>15</v>
      </c>
      <c r="C42" s="7">
        <f>_xll.ciqfunctions.udf.CIQ($B$1,"IQ_NI","IQ_FY-3")</f>
        <v>2029.818</v>
      </c>
      <c r="D42" s="8">
        <f t="shared" si="1"/>
        <v>2029.818</v>
      </c>
      <c r="E42" s="6" t="s">
        <v>28</v>
      </c>
    </row>
    <row r="43" spans="1:5" x14ac:dyDescent="0.4">
      <c r="A43" s="6" t="s">
        <v>27</v>
      </c>
      <c r="B43" s="6" t="s">
        <v>16</v>
      </c>
      <c r="C43" s="7">
        <f>_xll.ciqfunctions.udf.CIQ($B$1,"IQ_NI","IQ_FY-4")</f>
        <v>1210.8389999999999</v>
      </c>
      <c r="D43" s="8">
        <f t="shared" si="1"/>
        <v>1210.8389999999999</v>
      </c>
      <c r="E43" s="6" t="s">
        <v>28</v>
      </c>
    </row>
    <row r="44" spans="1:5" x14ac:dyDescent="0.4">
      <c r="A44" s="6" t="s">
        <v>27</v>
      </c>
      <c r="B44" s="6" t="s">
        <v>17</v>
      </c>
      <c r="C44" s="7">
        <f>_xll.ciqfunctions.udf.CIQ($B$1,"IQ_NI","IQ_FY-5")</f>
        <v>718.851</v>
      </c>
      <c r="D44" s="8">
        <f t="shared" si="1"/>
        <v>718.851</v>
      </c>
      <c r="E44" s="6" t="s">
        <v>28</v>
      </c>
    </row>
    <row r="45" spans="1:5" x14ac:dyDescent="0.4">
      <c r="A45" s="6" t="s">
        <v>27</v>
      </c>
      <c r="B45" s="6" t="s">
        <v>18</v>
      </c>
      <c r="C45" s="7">
        <f>_xll.ciqfunctions.udf.CIQ($B$1,"IQ_NI","IQ_FY-6")</f>
        <v>650.10299999999995</v>
      </c>
      <c r="D45" s="8">
        <f t="shared" si="1"/>
        <v>650.10299999999995</v>
      </c>
      <c r="E45" s="6" t="s">
        <v>28</v>
      </c>
    </row>
    <row r="46" spans="1:5" x14ac:dyDescent="0.4">
      <c r="A46" s="6" t="s">
        <v>27</v>
      </c>
      <c r="B46" s="6" t="s">
        <v>19</v>
      </c>
      <c r="C46" s="7">
        <f>_xll.ciqfunctions.udf.CIQ($B$1,"IQ_NI","IQ_FY-7")</f>
        <v>-135.643</v>
      </c>
      <c r="D46" s="8">
        <f t="shared" si="1"/>
        <v>-135.643</v>
      </c>
      <c r="E46" s="6" t="s">
        <v>28</v>
      </c>
    </row>
    <row r="47" spans="1:5" x14ac:dyDescent="0.4">
      <c r="A47" s="6" t="s">
        <v>27</v>
      </c>
      <c r="B47" s="6" t="s">
        <v>20</v>
      </c>
      <c r="C47" s="7">
        <f>_xll.ciqfunctions.udf.CIQ($B$1,"IQ_NI","IQ_FY-8")</f>
        <v>536.95600000000002</v>
      </c>
      <c r="D47" s="8">
        <f t="shared" si="1"/>
        <v>536.95600000000002</v>
      </c>
      <c r="E47" s="6" t="s">
        <v>28</v>
      </c>
    </row>
    <row r="48" spans="1:5" x14ac:dyDescent="0.4">
      <c r="A48" s="6" t="s">
        <v>27</v>
      </c>
      <c r="B48" s="6" t="s">
        <v>21</v>
      </c>
      <c r="C48" s="7">
        <f>_xll.ciqfunctions.udf.CIQ($B$1,"IQ_NI","IQ_FY-9")</f>
        <v>-128.14599999999999</v>
      </c>
      <c r="D48" s="8">
        <f t="shared" si="1"/>
        <v>-128.14599999999999</v>
      </c>
      <c r="E48" s="6" t="s">
        <v>28</v>
      </c>
    </row>
    <row r="49" spans="1:5" x14ac:dyDescent="0.4">
      <c r="A49" s="6" t="s">
        <v>27</v>
      </c>
      <c r="B49" s="6" t="s">
        <v>22</v>
      </c>
      <c r="C49" s="7">
        <f>_xll.ciqfunctions.udf.CIQ($B$1,"IQ_NI","IQ_FY-10")</f>
        <v>828.71500000000003</v>
      </c>
      <c r="D49" s="8">
        <f t="shared" si="1"/>
        <v>828.71500000000003</v>
      </c>
      <c r="E49" s="6" t="s">
        <v>28</v>
      </c>
    </row>
    <row r="50" spans="1:5" x14ac:dyDescent="0.4">
      <c r="A50" s="6" t="s">
        <v>29</v>
      </c>
      <c r="B50" s="6" t="s">
        <v>11</v>
      </c>
      <c r="C50" s="7">
        <f>ABS(_xll.ciqfunctions.udf.CIQ($B$1,"IQ_INTEREST_EXP","IQ_FY-0"))</f>
        <v>293.59500000000003</v>
      </c>
      <c r="D50" s="8">
        <f t="shared" si="1"/>
        <v>293.59500000000003</v>
      </c>
      <c r="E50" s="6" t="s">
        <v>30</v>
      </c>
    </row>
    <row r="51" spans="1:5" x14ac:dyDescent="0.4">
      <c r="A51" s="6" t="s">
        <v>29</v>
      </c>
      <c r="B51" s="6" t="s">
        <v>13</v>
      </c>
      <c r="C51" s="7">
        <f>ABS(_xll.ciqfunctions.udf.CIQ($B$1,"IQ_INTEREST_EXP","IQ_FY-1"))</f>
        <v>275.20299999999997</v>
      </c>
      <c r="D51" s="8">
        <f t="shared" si="1"/>
        <v>275.20299999999997</v>
      </c>
      <c r="E51" s="6" t="s">
        <v>30</v>
      </c>
    </row>
    <row r="52" spans="1:5" x14ac:dyDescent="0.4">
      <c r="A52" s="6" t="s">
        <v>29</v>
      </c>
      <c r="B52" s="6" t="s">
        <v>14</v>
      </c>
      <c r="C52" s="7">
        <f>ABS(_xll.ciqfunctions.udf.CIQ($B$1,"IQ_INTEREST_EXP","IQ_FY-2"))</f>
        <v>316.11200000000002</v>
      </c>
      <c r="D52" s="8">
        <f t="shared" si="1"/>
        <v>316.11200000000002</v>
      </c>
      <c r="E52" s="6" t="s">
        <v>30</v>
      </c>
    </row>
    <row r="53" spans="1:5" x14ac:dyDescent="0.4">
      <c r="A53" s="6" t="s">
        <v>29</v>
      </c>
      <c r="B53" s="6" t="s">
        <v>15</v>
      </c>
      <c r="C53" s="7">
        <f>ABS(_xll.ciqfunctions.udf.CIQ($B$1,"IQ_INTEREST_EXP","IQ_FY-3"))</f>
        <v>258.553</v>
      </c>
      <c r="D53" s="8">
        <f t="shared" si="1"/>
        <v>258.553</v>
      </c>
      <c r="E53" s="6" t="s">
        <v>30</v>
      </c>
    </row>
    <row r="54" spans="1:5" x14ac:dyDescent="0.4">
      <c r="A54" s="6" t="s">
        <v>29</v>
      </c>
      <c r="B54" s="6" t="s">
        <v>16</v>
      </c>
      <c r="C54" s="7">
        <f>ABS(_xll.ciqfunctions.udf.CIQ($B$1,"IQ_INTEREST_EXP","IQ_FY-4"))</f>
        <v>267.01499999999999</v>
      </c>
      <c r="D54" s="8">
        <f t="shared" si="1"/>
        <v>267.01499999999999</v>
      </c>
      <c r="E54" s="6" t="s">
        <v>30</v>
      </c>
    </row>
    <row r="55" spans="1:5" x14ac:dyDescent="0.4">
      <c r="A55" s="6" t="s">
        <v>29</v>
      </c>
      <c r="B55" s="6" t="s">
        <v>17</v>
      </c>
      <c r="C55" s="7">
        <f>ABS(_xll.ciqfunctions.udf.CIQ($B$1,"IQ_INTEREST_EXP","IQ_FY-5"))</f>
        <v>261.702</v>
      </c>
      <c r="D55" s="8">
        <f t="shared" si="1"/>
        <v>261.702</v>
      </c>
      <c r="E55" s="6" t="s">
        <v>30</v>
      </c>
    </row>
    <row r="56" spans="1:5" x14ac:dyDescent="0.4">
      <c r="A56" s="6" t="s">
        <v>29</v>
      </c>
      <c r="B56" s="6" t="s">
        <v>18</v>
      </c>
      <c r="C56" s="7">
        <f>ABS(_xll.ciqfunctions.udf.CIQ($B$1,"IQ_INTEREST_EXP","IQ_FY-6"))</f>
        <v>237.398</v>
      </c>
      <c r="D56" s="8">
        <f t="shared" si="1"/>
        <v>237.398</v>
      </c>
      <c r="E56" s="6" t="s">
        <v>30</v>
      </c>
    </row>
    <row r="57" spans="1:5" x14ac:dyDescent="0.4">
      <c r="A57" s="6" t="s">
        <v>29</v>
      </c>
      <c r="B57" s="6" t="s">
        <v>19</v>
      </c>
      <c r="C57" s="7">
        <f>ABS(_xll.ciqfunctions.udf.CIQ($B$1,"IQ_INTEREST_EXP","IQ_FY-7"))</f>
        <v>187.304</v>
      </c>
      <c r="D57" s="8">
        <f t="shared" si="1"/>
        <v>187.304</v>
      </c>
      <c r="E57" s="6" t="s">
        <v>30</v>
      </c>
    </row>
    <row r="58" spans="1:5" x14ac:dyDescent="0.4">
      <c r="A58" s="6" t="s">
        <v>29</v>
      </c>
      <c r="B58" s="6" t="s">
        <v>20</v>
      </c>
      <c r="C58" s="7">
        <f>ABS(_xll.ciqfunctions.udf.CIQ($B$1,"IQ_INTEREST_EXP","IQ_FY-8"))</f>
        <v>198.215</v>
      </c>
      <c r="D58" s="8">
        <f t="shared" si="1"/>
        <v>198.215</v>
      </c>
      <c r="E58" s="6" t="s">
        <v>30</v>
      </c>
    </row>
    <row r="59" spans="1:5" x14ac:dyDescent="0.4">
      <c r="A59" s="6" t="s">
        <v>29</v>
      </c>
      <c r="B59" s="6" t="s">
        <v>21</v>
      </c>
      <c r="C59" s="7">
        <f>ABS(_xll.ciqfunctions.udf.CIQ($B$1,"IQ_INTEREST_EXP","IQ_FY-9"))</f>
        <v>178.61799999999999</v>
      </c>
      <c r="D59" s="8">
        <f t="shared" si="1"/>
        <v>178.61799999999999</v>
      </c>
      <c r="E59" s="6" t="s">
        <v>30</v>
      </c>
    </row>
    <row r="60" spans="1:5" x14ac:dyDescent="0.4">
      <c r="A60" s="6" t="s">
        <v>29</v>
      </c>
      <c r="B60" s="6" t="s">
        <v>22</v>
      </c>
      <c r="C60" s="7">
        <f>ABS(_xll.ciqfunctions.udf.CIQ($B$1,"IQ_INTEREST_EXP","IQ_FY-10"))</f>
        <v>117.25</v>
      </c>
      <c r="D60" s="8">
        <f t="shared" si="1"/>
        <v>117.25</v>
      </c>
      <c r="E60" s="6" t="s">
        <v>30</v>
      </c>
    </row>
    <row r="61" spans="1:5" x14ac:dyDescent="0.4">
      <c r="A61" s="6" t="s">
        <v>31</v>
      </c>
      <c r="B61" s="6" t="s">
        <v>11</v>
      </c>
      <c r="C61" s="7">
        <f>ABS(_xll.ciqfunctions.udf.CIQ($B$1,"IQ_DA_CF","IQ_FY-0"))</f>
        <v>1168.806</v>
      </c>
      <c r="D61" s="8">
        <f t="shared" si="1"/>
        <v>1168.806</v>
      </c>
      <c r="E61" s="6" t="s">
        <v>32</v>
      </c>
    </row>
    <row r="62" spans="1:5" x14ac:dyDescent="0.4">
      <c r="A62" s="6" t="s">
        <v>31</v>
      </c>
      <c r="B62" s="6" t="s">
        <v>13</v>
      </c>
      <c r="C62" s="7">
        <f>ABS(_xll.ciqfunctions.udf.CIQ($B$1,"IQ_DA_CF","IQ_FY-1"))</f>
        <v>1185.7090000000001</v>
      </c>
      <c r="D62" s="8">
        <f t="shared" si="1"/>
        <v>1185.7090000000001</v>
      </c>
      <c r="E62" s="6" t="s">
        <v>32</v>
      </c>
    </row>
    <row r="63" spans="1:5" x14ac:dyDescent="0.4">
      <c r="A63" s="6" t="s">
        <v>31</v>
      </c>
      <c r="B63" s="6" t="s">
        <v>14</v>
      </c>
      <c r="C63" s="7">
        <f>ABS(_xll.ciqfunctions.udf.CIQ($B$1,"IQ_DA_CF","IQ_FY-2"))</f>
        <v>1115.6980000000001</v>
      </c>
      <c r="D63" s="8">
        <f t="shared" si="1"/>
        <v>1115.6980000000001</v>
      </c>
      <c r="E63" s="6" t="s">
        <v>32</v>
      </c>
    </row>
    <row r="64" spans="1:5" x14ac:dyDescent="0.4">
      <c r="A64" s="6" t="s">
        <v>31</v>
      </c>
      <c r="B64" s="6" t="s">
        <v>15</v>
      </c>
      <c r="C64" s="7">
        <f>ABS(_xll.ciqfunctions.udf.CIQ($B$1,"IQ_DA_CF","IQ_FY-3"))</f>
        <v>1046.3240000000001</v>
      </c>
      <c r="D64" s="8">
        <f t="shared" si="1"/>
        <v>1046.3240000000001</v>
      </c>
      <c r="E64" s="6" t="s">
        <v>32</v>
      </c>
    </row>
    <row r="65" spans="1:5" x14ac:dyDescent="0.4">
      <c r="A65" s="6" t="s">
        <v>31</v>
      </c>
      <c r="B65" s="6" t="s">
        <v>16</v>
      </c>
      <c r="C65" s="7">
        <f>ABS(_xll.ciqfunctions.udf.CIQ($B$1,"IQ_DA_CF","IQ_FY-4"))</f>
        <v>869.23199999999997</v>
      </c>
      <c r="D65" s="8">
        <f t="shared" si="1"/>
        <v>869.23199999999997</v>
      </c>
      <c r="E65" s="6" t="s">
        <v>32</v>
      </c>
    </row>
    <row r="66" spans="1:5" x14ac:dyDescent="0.4">
      <c r="A66" s="6" t="s">
        <v>31</v>
      </c>
      <c r="B66" s="6" t="s">
        <v>17</v>
      </c>
      <c r="C66" s="7">
        <f>ABS(_xll.ciqfunctions.udf.CIQ($B$1,"IQ_DA_CF","IQ_FY-5"))</f>
        <v>817.798</v>
      </c>
      <c r="D66" s="8">
        <f t="shared" si="1"/>
        <v>817.798</v>
      </c>
      <c r="E66" s="6" t="s">
        <v>32</v>
      </c>
    </row>
    <row r="67" spans="1:5" x14ac:dyDescent="0.4">
      <c r="A67" s="6" t="s">
        <v>31</v>
      </c>
      <c r="B67" s="6" t="s">
        <v>18</v>
      </c>
      <c r="C67" s="7">
        <f>ABS(_xll.ciqfunctions.udf.CIQ($B$1,"IQ_DA_CF","IQ_FY-6"))</f>
        <v>666.48199999999997</v>
      </c>
      <c r="D67" s="8">
        <f t="shared" si="1"/>
        <v>666.48199999999997</v>
      </c>
      <c r="E67" s="6" t="s">
        <v>32</v>
      </c>
    </row>
    <row r="68" spans="1:5" x14ac:dyDescent="0.4">
      <c r="A68" s="6" t="s">
        <v>31</v>
      </c>
      <c r="B68" s="6" t="s">
        <v>19</v>
      </c>
      <c r="C68" s="7">
        <f>ABS(_xll.ciqfunctions.udf.CIQ($B$1,"IQ_DA_CF","IQ_FY-7"))</f>
        <v>643.37300000000005</v>
      </c>
      <c r="D68" s="8">
        <f t="shared" si="1"/>
        <v>643.37300000000005</v>
      </c>
      <c r="E68" s="6" t="s">
        <v>32</v>
      </c>
    </row>
    <row r="69" spans="1:5" x14ac:dyDescent="0.4">
      <c r="A69" s="6" t="s">
        <v>31</v>
      </c>
      <c r="B69" s="6" t="s">
        <v>20</v>
      </c>
      <c r="C69" s="7">
        <f>ABS(_xll.ciqfunctions.udf.CIQ($B$1,"IQ_DA_CF","IQ_FY-8"))</f>
        <v>599.83600000000001</v>
      </c>
      <c r="D69" s="8">
        <f t="shared" si="1"/>
        <v>599.83600000000001</v>
      </c>
      <c r="E69" s="6" t="s">
        <v>32</v>
      </c>
    </row>
    <row r="70" spans="1:5" x14ac:dyDescent="0.4">
      <c r="A70" s="6" t="s">
        <v>31</v>
      </c>
      <c r="B70" s="6" t="s">
        <v>21</v>
      </c>
      <c r="C70" s="7">
        <f>ABS(_xll.ciqfunctions.udf.CIQ($B$1,"IQ_DA_CF","IQ_FY-9"))</f>
        <v>635.90599999999995</v>
      </c>
      <c r="D70" s="8">
        <f t="shared" ref="D70:D101" si="2">C70</f>
        <v>635.90599999999995</v>
      </c>
      <c r="E70" s="6" t="s">
        <v>32</v>
      </c>
    </row>
    <row r="71" spans="1:5" x14ac:dyDescent="0.4">
      <c r="A71" s="6" t="s">
        <v>31</v>
      </c>
      <c r="B71" s="6" t="s">
        <v>22</v>
      </c>
      <c r="C71" s="7">
        <f>ABS(_xll.ciqfunctions.udf.CIQ($B$1,"IQ_DA_CF","IQ_FY-10"))</f>
        <v>417.298</v>
      </c>
      <c r="D71" s="8">
        <f t="shared" si="2"/>
        <v>417.298</v>
      </c>
      <c r="E71" s="6" t="s">
        <v>32</v>
      </c>
    </row>
    <row r="72" spans="1:5" x14ac:dyDescent="0.4">
      <c r="A72" s="6" t="s">
        <v>33</v>
      </c>
      <c r="B72" s="6" t="s">
        <v>11</v>
      </c>
      <c r="C72" s="7">
        <f>_xll.ciqfunctions.udf.CIQ($B$1,"IQ_RD_EXP","IQ_FY-0")</f>
        <v>2288.2040000000002</v>
      </c>
      <c r="D72" s="8">
        <f t="shared" si="2"/>
        <v>2288.2040000000002</v>
      </c>
      <c r="E72" s="6" t="s">
        <v>34</v>
      </c>
    </row>
    <row r="73" spans="1:5" x14ac:dyDescent="0.4">
      <c r="A73" s="6" t="s">
        <v>33</v>
      </c>
      <c r="B73" s="6" t="s">
        <v>13</v>
      </c>
      <c r="C73" s="7">
        <f>_xll.ciqfunctions.udf.CIQ($B$1,"IQ_RD_EXP","IQ_FY-1")</f>
        <v>2027.5319999999999</v>
      </c>
      <c r="D73" s="8">
        <f t="shared" si="2"/>
        <v>2027.5319999999999</v>
      </c>
      <c r="E73" s="6" t="s">
        <v>34</v>
      </c>
    </row>
    <row r="74" spans="1:5" x14ac:dyDescent="0.4">
      <c r="A74" s="6" t="s">
        <v>33</v>
      </c>
      <c r="B74" s="6" t="s">
        <v>14</v>
      </c>
      <c r="C74" s="7">
        <f>_xll.ciqfunctions.udf.CIQ($B$1,"IQ_RD_EXP","IQ_FY-2")</f>
        <v>2195.3290000000002</v>
      </c>
      <c r="D74" s="8">
        <f t="shared" si="2"/>
        <v>2195.3290000000002</v>
      </c>
      <c r="E74" s="6" t="s">
        <v>34</v>
      </c>
    </row>
    <row r="75" spans="1:5" x14ac:dyDescent="0.4">
      <c r="A75" s="6" t="s">
        <v>33</v>
      </c>
      <c r="B75" s="6" t="s">
        <v>15</v>
      </c>
      <c r="C75" s="7">
        <f>_xll.ciqfunctions.udf.CIQ($B$1,"IQ_RD_EXP","IQ_FY-3")</f>
        <v>2073.4609999999998</v>
      </c>
      <c r="D75" s="8">
        <f t="shared" si="2"/>
        <v>2073.4609999999998</v>
      </c>
      <c r="E75" s="6" t="s">
        <v>34</v>
      </c>
    </row>
    <row r="76" spans="1:5" x14ac:dyDescent="0.4">
      <c r="A76" s="6" t="s">
        <v>33</v>
      </c>
      <c r="B76" s="6" t="s">
        <v>16</v>
      </c>
      <c r="C76" s="7">
        <f>_xll.ciqfunctions.udf.CIQ($B$1,"IQ_RD_EXP","IQ_FY-4")</f>
        <v>1453.912</v>
      </c>
      <c r="D76" s="8">
        <f t="shared" si="2"/>
        <v>1453.912</v>
      </c>
      <c r="E76" s="6" t="s">
        <v>34</v>
      </c>
    </row>
    <row r="77" spans="1:5" x14ac:dyDescent="0.4">
      <c r="A77" s="6" t="s">
        <v>33</v>
      </c>
      <c r="B77" s="6" t="s">
        <v>17</v>
      </c>
      <c r="C77" s="7">
        <f>_xll.ciqfunctions.udf.CIQ($B$1,"IQ_RD_EXP","IQ_FY-5")</f>
        <v>1335.7439999999999</v>
      </c>
      <c r="D77" s="8">
        <f t="shared" si="2"/>
        <v>1335.7439999999999</v>
      </c>
      <c r="E77" s="6" t="s">
        <v>34</v>
      </c>
    </row>
    <row r="78" spans="1:5" x14ac:dyDescent="0.4">
      <c r="A78" s="6" t="s">
        <v>33</v>
      </c>
      <c r="B78" s="6" t="s">
        <v>18</v>
      </c>
      <c r="C78" s="7">
        <f>_xll.ciqfunctions.udf.CIQ($B$1,"IQ_RD_EXP","IQ_FY-6")</f>
        <v>1266.3409999999999</v>
      </c>
      <c r="D78" s="8">
        <f t="shared" si="2"/>
        <v>1266.3409999999999</v>
      </c>
      <c r="E78" s="6" t="s">
        <v>34</v>
      </c>
    </row>
    <row r="79" spans="1:5" x14ac:dyDescent="0.4">
      <c r="A79" s="6" t="s">
        <v>33</v>
      </c>
      <c r="B79" s="6" t="s">
        <v>19</v>
      </c>
      <c r="C79" s="7">
        <f>_xll.ciqfunctions.udf.CIQ($B$1,"IQ_RD_EXP","IQ_FY-7")</f>
        <v>1273.729</v>
      </c>
      <c r="D79" s="8">
        <f t="shared" si="2"/>
        <v>1273.729</v>
      </c>
      <c r="E79" s="6" t="s">
        <v>34</v>
      </c>
    </row>
    <row r="80" spans="1:5" x14ac:dyDescent="0.4">
      <c r="A80" s="6" t="s">
        <v>33</v>
      </c>
      <c r="B80" s="6" t="s">
        <v>20</v>
      </c>
      <c r="C80" s="7">
        <f>_xll.ciqfunctions.udf.CIQ($B$1,"IQ_RD_EXP","IQ_FY-8")</f>
        <v>1361.691</v>
      </c>
      <c r="D80" s="8">
        <f t="shared" si="2"/>
        <v>1361.691</v>
      </c>
      <c r="E80" s="6" t="s">
        <v>34</v>
      </c>
    </row>
    <row r="81" spans="1:5" x14ac:dyDescent="0.4">
      <c r="A81" s="6" t="s">
        <v>33</v>
      </c>
      <c r="B81" s="6" t="s">
        <v>21</v>
      </c>
      <c r="C81" s="7">
        <f>_xll.ciqfunctions.udf.CIQ($B$1,"IQ_RD_EXP","IQ_FY-9")</f>
        <v>1491.37</v>
      </c>
      <c r="D81" s="8">
        <f t="shared" si="2"/>
        <v>1491.37</v>
      </c>
      <c r="E81" s="6" t="s">
        <v>34</v>
      </c>
    </row>
    <row r="82" spans="1:5" x14ac:dyDescent="0.4">
      <c r="A82" s="6" t="s">
        <v>33</v>
      </c>
      <c r="B82" s="6" t="s">
        <v>22</v>
      </c>
      <c r="C82" s="7">
        <f>_xll.ciqfunctions.udf.CIQ($B$1,"IQ_RD_EXP","IQ_FY-10")</f>
        <v>1220.9190000000001</v>
      </c>
      <c r="D82" s="8">
        <f t="shared" si="2"/>
        <v>1220.9190000000001</v>
      </c>
      <c r="E82" s="6" t="s">
        <v>34</v>
      </c>
    </row>
    <row r="83" spans="1:5" x14ac:dyDescent="0.4">
      <c r="A83" s="6" t="s">
        <v>35</v>
      </c>
      <c r="B83" s="6" t="s">
        <v>11</v>
      </c>
      <c r="C83" s="7">
        <f>_xll.ciqfunctions.udf.CIQ($B$1,"IQ_RD_EXP_FN","IQ_FY-0")</f>
        <v>2288.2040000000002</v>
      </c>
      <c r="D83" s="8">
        <f t="shared" si="2"/>
        <v>2288.2040000000002</v>
      </c>
      <c r="E83" s="6" t="s">
        <v>36</v>
      </c>
    </row>
    <row r="84" spans="1:5" x14ac:dyDescent="0.4">
      <c r="A84" s="6" t="s">
        <v>35</v>
      </c>
      <c r="B84" s="6" t="s">
        <v>13</v>
      </c>
      <c r="C84" s="7">
        <f>_xll.ciqfunctions.udf.CIQ($B$1,"IQ_RD_EXP_FN","IQ_FY-1")</f>
        <v>2027.5319999999999</v>
      </c>
      <c r="D84" s="8">
        <f t="shared" si="2"/>
        <v>2027.5319999999999</v>
      </c>
      <c r="E84" s="6" t="s">
        <v>36</v>
      </c>
    </row>
    <row r="85" spans="1:5" x14ac:dyDescent="0.4">
      <c r="A85" s="6" t="s">
        <v>35</v>
      </c>
      <c r="B85" s="6" t="s">
        <v>14</v>
      </c>
      <c r="C85" s="7">
        <f>_xll.ciqfunctions.udf.CIQ($B$1,"IQ_RD_EXP_FN","IQ_FY-2")</f>
        <v>2195.3290000000002</v>
      </c>
      <c r="D85" s="8">
        <f t="shared" si="2"/>
        <v>2195.3290000000002</v>
      </c>
      <c r="E85" s="6" t="s">
        <v>36</v>
      </c>
    </row>
    <row r="86" spans="1:5" x14ac:dyDescent="0.4">
      <c r="A86" s="6" t="s">
        <v>35</v>
      </c>
      <c r="B86" s="6" t="s">
        <v>15</v>
      </c>
      <c r="C86" s="7">
        <f>_xll.ciqfunctions.udf.CIQ($B$1,"IQ_RD_EXP_FN","IQ_FY-3")</f>
        <v>2073.4609999999998</v>
      </c>
      <c r="D86" s="8">
        <f t="shared" si="2"/>
        <v>2073.4609999999998</v>
      </c>
      <c r="E86" s="6" t="s">
        <v>36</v>
      </c>
    </row>
    <row r="87" spans="1:5" x14ac:dyDescent="0.4">
      <c r="A87" s="6" t="s">
        <v>35</v>
      </c>
      <c r="B87" s="6" t="s">
        <v>16</v>
      </c>
      <c r="C87" s="7">
        <f>_xll.ciqfunctions.udf.CIQ($B$1,"IQ_RD_EXP_FN","IQ_FY-4")</f>
        <v>1453.912</v>
      </c>
      <c r="D87" s="8">
        <f t="shared" si="2"/>
        <v>1453.912</v>
      </c>
      <c r="E87" s="6" t="s">
        <v>36</v>
      </c>
    </row>
    <row r="88" spans="1:5" x14ac:dyDescent="0.4">
      <c r="A88" s="6" t="s">
        <v>35</v>
      </c>
      <c r="B88" s="6" t="s">
        <v>17</v>
      </c>
      <c r="C88" s="7">
        <f>_xll.ciqfunctions.udf.CIQ($B$1,"IQ_RD_EXP_FN","IQ_FY-5")</f>
        <v>1335.7439999999999</v>
      </c>
      <c r="D88" s="8">
        <f t="shared" si="2"/>
        <v>1335.7439999999999</v>
      </c>
      <c r="E88" s="6" t="s">
        <v>36</v>
      </c>
    </row>
    <row r="89" spans="1:5" x14ac:dyDescent="0.4">
      <c r="A89" s="6" t="s">
        <v>35</v>
      </c>
      <c r="B89" s="6" t="s">
        <v>18</v>
      </c>
      <c r="C89" s="7">
        <f>_xll.ciqfunctions.udf.CIQ($B$1,"IQ_RD_EXP_FN","IQ_FY-6")</f>
        <v>1266.3409999999999</v>
      </c>
      <c r="D89" s="8">
        <f t="shared" si="2"/>
        <v>1266.3409999999999</v>
      </c>
      <c r="E89" s="6" t="s">
        <v>36</v>
      </c>
    </row>
    <row r="90" spans="1:5" x14ac:dyDescent="0.4">
      <c r="A90" s="6" t="s">
        <v>35</v>
      </c>
      <c r="B90" s="6" t="s">
        <v>19</v>
      </c>
      <c r="C90" s="7">
        <f>_xll.ciqfunctions.udf.CIQ($B$1,"IQ_RD_EXP_FN","IQ_FY-7")</f>
        <v>1273.729</v>
      </c>
      <c r="D90" s="8">
        <f t="shared" si="2"/>
        <v>1273.729</v>
      </c>
      <c r="E90" s="6" t="s">
        <v>36</v>
      </c>
    </row>
    <row r="91" spans="1:5" x14ac:dyDescent="0.4">
      <c r="A91" s="6" t="s">
        <v>35</v>
      </c>
      <c r="B91" s="6" t="s">
        <v>20</v>
      </c>
      <c r="C91" s="7">
        <f>_xll.ciqfunctions.udf.CIQ($B$1,"IQ_RD_EXP_FN","IQ_FY-8")</f>
        <v>1361.691</v>
      </c>
      <c r="D91" s="8">
        <f t="shared" si="2"/>
        <v>1361.691</v>
      </c>
      <c r="E91" s="6" t="s">
        <v>36</v>
      </c>
    </row>
    <row r="92" spans="1:5" x14ac:dyDescent="0.4">
      <c r="A92" s="6" t="s">
        <v>35</v>
      </c>
      <c r="B92" s="6" t="s">
        <v>21</v>
      </c>
      <c r="C92" s="7">
        <f>_xll.ciqfunctions.udf.CIQ($B$1,"IQ_RD_EXP_FN","IQ_FY-9")</f>
        <v>1491.37</v>
      </c>
      <c r="D92" s="8">
        <f t="shared" si="2"/>
        <v>1491.37</v>
      </c>
      <c r="E92" s="6" t="s">
        <v>36</v>
      </c>
    </row>
    <row r="93" spans="1:5" x14ac:dyDescent="0.4">
      <c r="A93" s="6" t="s">
        <v>35</v>
      </c>
      <c r="B93" s="6" t="s">
        <v>22</v>
      </c>
      <c r="C93" s="7">
        <f>_xll.ciqfunctions.udf.CIQ($B$1,"IQ_RD_EXP_FN","IQ_FY-10")</f>
        <v>1220.9190000000001</v>
      </c>
      <c r="D93" s="8">
        <f t="shared" si="2"/>
        <v>1220.9190000000001</v>
      </c>
      <c r="E93" s="6" t="s">
        <v>36</v>
      </c>
    </row>
    <row r="94" spans="1:5" x14ac:dyDescent="0.4">
      <c r="A94" s="6" t="s">
        <v>37</v>
      </c>
      <c r="B94" s="6" t="s">
        <v>11</v>
      </c>
      <c r="C94" s="7">
        <f>ABS(_xll.ciqfunctions.udf.CIQ($B$1,"IQ_CAPEX","IQ_FY-0"))</f>
        <v>666.47799999999995</v>
      </c>
      <c r="D94" s="8">
        <f t="shared" si="2"/>
        <v>666.47799999999995</v>
      </c>
      <c r="E94" s="6" t="s">
        <v>38</v>
      </c>
    </row>
    <row r="95" spans="1:5" x14ac:dyDescent="0.4">
      <c r="A95" s="6" t="s">
        <v>37</v>
      </c>
      <c r="B95" s="6" t="s">
        <v>13</v>
      </c>
      <c r="C95" s="7">
        <f>ABS(_xll.ciqfunctions.udf.CIQ($B$1,"IQ_CAPEX","IQ_FY-1"))</f>
        <v>729.77700000000004</v>
      </c>
      <c r="D95" s="8">
        <f t="shared" si="2"/>
        <v>729.77700000000004</v>
      </c>
      <c r="E95" s="6" t="s">
        <v>38</v>
      </c>
    </row>
    <row r="96" spans="1:5" x14ac:dyDescent="0.4">
      <c r="A96" s="6" t="s">
        <v>37</v>
      </c>
      <c r="B96" s="6" t="s">
        <v>14</v>
      </c>
      <c r="C96" s="7">
        <f>ABS(_xll.ciqfunctions.udf.CIQ($B$1,"IQ_CAPEX","IQ_FY-2"))</f>
        <v>1117.0619999999999</v>
      </c>
      <c r="D96" s="8">
        <f t="shared" si="2"/>
        <v>1117.0619999999999</v>
      </c>
      <c r="E96" s="6" t="s">
        <v>38</v>
      </c>
    </row>
    <row r="97" spans="1:5" x14ac:dyDescent="0.4">
      <c r="A97" s="6" t="s">
        <v>37</v>
      </c>
      <c r="B97" s="6" t="s">
        <v>15</v>
      </c>
      <c r="C97" s="7">
        <f>ABS(_xll.ciqfunctions.udf.CIQ($B$1,"IQ_CAPEX","IQ_FY-3"))</f>
        <v>998.30399999999997</v>
      </c>
      <c r="D97" s="8">
        <f t="shared" si="2"/>
        <v>998.30399999999997</v>
      </c>
      <c r="E97" s="6" t="s">
        <v>38</v>
      </c>
    </row>
    <row r="98" spans="1:5" x14ac:dyDescent="0.4">
      <c r="A98" s="6" t="s">
        <v>37</v>
      </c>
      <c r="B98" s="6" t="s">
        <v>16</v>
      </c>
      <c r="C98" s="7">
        <f>ABS(_xll.ciqfunctions.udf.CIQ($B$1,"IQ_CAPEX","IQ_FY-4"))</f>
        <v>697.00400000000002</v>
      </c>
      <c r="D98" s="8">
        <f t="shared" si="2"/>
        <v>697.00400000000002</v>
      </c>
      <c r="E98" s="6" t="s">
        <v>38</v>
      </c>
    </row>
    <row r="99" spans="1:5" x14ac:dyDescent="0.4">
      <c r="A99" s="6" t="s">
        <v>37</v>
      </c>
      <c r="B99" s="6" t="s">
        <v>17</v>
      </c>
      <c r="C99" s="7">
        <f>ABS(_xll.ciqfunctions.udf.CIQ($B$1,"IQ_CAPEX","IQ_FY-5"))</f>
        <v>664.21500000000003</v>
      </c>
      <c r="D99" s="8">
        <f t="shared" si="2"/>
        <v>664.21500000000003</v>
      </c>
      <c r="E99" s="6" t="s">
        <v>38</v>
      </c>
    </row>
    <row r="100" spans="1:5" x14ac:dyDescent="0.4">
      <c r="A100" s="6" t="s">
        <v>37</v>
      </c>
      <c r="B100" s="6" t="s">
        <v>18</v>
      </c>
      <c r="C100" s="7">
        <f>ABS(_xll.ciqfunctions.udf.CIQ($B$1,"IQ_CAPEX","IQ_FY-6"))</f>
        <v>537.72699999999998</v>
      </c>
      <c r="D100" s="8">
        <f t="shared" si="2"/>
        <v>537.72699999999998</v>
      </c>
      <c r="E100" s="6" t="s">
        <v>38</v>
      </c>
    </row>
    <row r="101" spans="1:5" x14ac:dyDescent="0.4">
      <c r="A101" s="6" t="s">
        <v>37</v>
      </c>
      <c r="B101" s="6" t="s">
        <v>19</v>
      </c>
      <c r="C101" s="7">
        <f>ABS(_xll.ciqfunctions.udf.CIQ($B$1,"IQ_CAPEX","IQ_FY-7"))</f>
        <v>503.29599999999999</v>
      </c>
      <c r="D101" s="8">
        <f t="shared" si="2"/>
        <v>503.29599999999999</v>
      </c>
      <c r="E101" s="6" t="s">
        <v>38</v>
      </c>
    </row>
    <row r="102" spans="1:5" x14ac:dyDescent="0.4">
      <c r="A102" s="6" t="s">
        <v>37</v>
      </c>
      <c r="B102" s="6" t="s">
        <v>20</v>
      </c>
      <c r="C102" s="7">
        <f>ABS(_xll.ciqfunctions.udf.CIQ($B$1,"IQ_CAPEX","IQ_FY-8"))</f>
        <v>463.55799999999999</v>
      </c>
      <c r="D102" s="8">
        <f t="shared" ref="D102:D133" si="3">C102</f>
        <v>463.55799999999999</v>
      </c>
      <c r="E102" s="6" t="s">
        <v>38</v>
      </c>
    </row>
    <row r="103" spans="1:5" x14ac:dyDescent="0.4">
      <c r="A103" s="6" t="s">
        <v>37</v>
      </c>
      <c r="B103" s="6" t="s">
        <v>21</v>
      </c>
      <c r="C103" s="7">
        <f>ABS(_xll.ciqfunctions.udf.CIQ($B$1,"IQ_CAPEX","IQ_FY-9"))</f>
        <v>603.81600000000003</v>
      </c>
      <c r="D103" s="8">
        <f t="shared" si="3"/>
        <v>603.81600000000003</v>
      </c>
      <c r="E103" s="6" t="s">
        <v>38</v>
      </c>
    </row>
    <row r="104" spans="1:5" x14ac:dyDescent="0.4">
      <c r="A104" s="6" t="s">
        <v>37</v>
      </c>
      <c r="B104" s="6" t="s">
        <v>22</v>
      </c>
      <c r="C104" s="7">
        <f>ABS(_xll.ciqfunctions.udf.CIQ($B$1,"IQ_CAPEX","IQ_FY-10"))</f>
        <v>606.10500000000002</v>
      </c>
      <c r="D104" s="8">
        <f t="shared" si="3"/>
        <v>606.10500000000002</v>
      </c>
      <c r="E104" s="6" t="s">
        <v>38</v>
      </c>
    </row>
    <row r="105" spans="1:5" x14ac:dyDescent="0.4">
      <c r="A105" s="6" t="s">
        <v>39</v>
      </c>
      <c r="B105" s="6" t="s">
        <v>11</v>
      </c>
      <c r="C105" s="7">
        <f>ABS(_xll.ciqfunctions.udf.CIQ($B$1,"IQ_OPERATING_LEASE_PAYMENTS","IQ_FY-0"))</f>
        <v>121.071</v>
      </c>
      <c r="D105" s="8">
        <f t="shared" si="3"/>
        <v>121.071</v>
      </c>
      <c r="E105" s="6" t="s">
        <v>40</v>
      </c>
    </row>
    <row r="106" spans="1:5" x14ac:dyDescent="0.4">
      <c r="A106" s="6" t="s">
        <v>39</v>
      </c>
      <c r="B106" s="6" t="s">
        <v>13</v>
      </c>
      <c r="C106" s="7">
        <f>ABS(_xll.ciqfunctions.udf.CIQ($B$1,"IQ_OPERATING_LEASE_PAYMENTS","IQ_FY-1"))</f>
        <v>134.54499999999999</v>
      </c>
      <c r="D106" s="8">
        <f t="shared" si="3"/>
        <v>134.54499999999999</v>
      </c>
      <c r="E106" s="6" t="s">
        <v>40</v>
      </c>
    </row>
    <row r="107" spans="1:5" x14ac:dyDescent="0.4">
      <c r="A107" s="6" t="s">
        <v>39</v>
      </c>
      <c r="B107" s="6" t="s">
        <v>14</v>
      </c>
      <c r="C107" s="7">
        <f>ABS(_xll.ciqfunctions.udf.CIQ($B$1,"IQ_OPERATING_LEASE_PAYMENTS","IQ_FY-2"))</f>
        <v>168.63800000000001</v>
      </c>
      <c r="D107" s="8">
        <f t="shared" si="3"/>
        <v>168.63800000000001</v>
      </c>
      <c r="E107" s="6" t="s">
        <v>40</v>
      </c>
    </row>
    <row r="108" spans="1:5" x14ac:dyDescent="0.4">
      <c r="A108" s="6" t="s">
        <v>39</v>
      </c>
      <c r="B108" s="6" t="s">
        <v>15</v>
      </c>
      <c r="C108" s="7">
        <f>ABS(_xll.ciqfunctions.udf.CIQ($B$1,"IQ_OPERATING_LEASE_PAYMENTS","IQ_FY-3"))</f>
        <v>146.48500000000001</v>
      </c>
      <c r="D108" s="8">
        <f t="shared" si="3"/>
        <v>146.48500000000001</v>
      </c>
      <c r="E108" s="6" t="s">
        <v>40</v>
      </c>
    </row>
    <row r="109" spans="1:5" x14ac:dyDescent="0.4">
      <c r="A109" s="6" t="s">
        <v>39</v>
      </c>
      <c r="B109" s="6" t="s">
        <v>16</v>
      </c>
      <c r="C109" s="7">
        <f>ABS(_xll.ciqfunctions.udf.CIQ($B$1,"IQ_OPERATING_LEASE_PAYMENTS","IQ_FY-4"))</f>
        <v>165.15</v>
      </c>
      <c r="D109" s="8">
        <f t="shared" si="3"/>
        <v>165.15</v>
      </c>
      <c r="E109" s="6" t="s">
        <v>40</v>
      </c>
    </row>
    <row r="110" spans="1:5" x14ac:dyDescent="0.4">
      <c r="A110" s="6" t="s">
        <v>39</v>
      </c>
      <c r="B110" s="6" t="s">
        <v>17</v>
      </c>
      <c r="C110" s="7">
        <f>ABS(_xll.ciqfunctions.udf.CIQ($B$1,"IQ_OPERATING_LEASE_PAYMENTS","IQ_FY-5"))</f>
        <v>130.99299999999999</v>
      </c>
      <c r="D110" s="8">
        <f t="shared" si="3"/>
        <v>130.99299999999999</v>
      </c>
      <c r="E110" s="6" t="s">
        <v>40</v>
      </c>
    </row>
    <row r="111" spans="1:5" x14ac:dyDescent="0.4">
      <c r="A111" s="6" t="s">
        <v>39</v>
      </c>
      <c r="B111" s="6" t="s">
        <v>18</v>
      </c>
      <c r="C111" s="7">
        <f>ABS(_xll.ciqfunctions.udf.CIQ($B$1,"IQ_OPERATING_LEASE_PAYMENTS","IQ_FY-6"))</f>
        <v>0</v>
      </c>
      <c r="D111" s="8">
        <f t="shared" si="3"/>
        <v>0</v>
      </c>
      <c r="E111" s="6" t="s">
        <v>40</v>
      </c>
    </row>
    <row r="112" spans="1:5" x14ac:dyDescent="0.4">
      <c r="A112" s="6" t="s">
        <v>39</v>
      </c>
      <c r="B112" s="6" t="s">
        <v>19</v>
      </c>
      <c r="C112" s="7">
        <f>ABS(_xll.ciqfunctions.udf.CIQ($B$1,"IQ_OPERATING_LEASE_PAYMENTS","IQ_FY-7"))</f>
        <v>0</v>
      </c>
      <c r="D112" s="8">
        <f t="shared" si="3"/>
        <v>0</v>
      </c>
      <c r="E112" s="6" t="s">
        <v>40</v>
      </c>
    </row>
    <row r="113" spans="1:5" x14ac:dyDescent="0.4">
      <c r="A113" s="6" t="s">
        <v>39</v>
      </c>
      <c r="B113" s="6" t="s">
        <v>20</v>
      </c>
      <c r="C113" s="7">
        <f>ABS(_xll.ciqfunctions.udf.CIQ($B$1,"IQ_OPERATING_LEASE_PAYMENTS","IQ_FY-8"))</f>
        <v>0</v>
      </c>
      <c r="D113" s="8">
        <f t="shared" si="3"/>
        <v>0</v>
      </c>
      <c r="E113" s="6" t="s">
        <v>40</v>
      </c>
    </row>
    <row r="114" spans="1:5" x14ac:dyDescent="0.4">
      <c r="A114" s="6" t="s">
        <v>39</v>
      </c>
      <c r="B114" s="6" t="s">
        <v>21</v>
      </c>
      <c r="C114" s="7">
        <f>ABS(_xll.ciqfunctions.udf.CIQ($B$1,"IQ_OPERATING_LEASE_PAYMENTS","IQ_FY-9"))</f>
        <v>0</v>
      </c>
      <c r="D114" s="8">
        <f t="shared" si="3"/>
        <v>0</v>
      </c>
      <c r="E114" s="6" t="s">
        <v>40</v>
      </c>
    </row>
    <row r="115" spans="1:5" x14ac:dyDescent="0.4">
      <c r="A115" s="6" t="s">
        <v>39</v>
      </c>
      <c r="B115" s="6" t="s">
        <v>22</v>
      </c>
      <c r="C115" s="7">
        <f>ABS(_xll.ciqfunctions.udf.CIQ($B$1,"IQ_OPERATING_LEASE_PAYMENTS","IQ_FY-10"))</f>
        <v>0</v>
      </c>
      <c r="D115" s="8">
        <f t="shared" si="3"/>
        <v>0</v>
      </c>
      <c r="E115" s="6" t="s">
        <v>40</v>
      </c>
    </row>
    <row r="116" spans="1:5" x14ac:dyDescent="0.4">
      <c r="A116" s="6" t="s">
        <v>41</v>
      </c>
      <c r="B116" s="6" t="s">
        <v>11</v>
      </c>
      <c r="C116" s="7">
        <f>_xll.ciqfunctions.udf.CIQ($B$1,"IQ_EBT_EXCL","IQ_FY-0")</f>
        <v>1484.4659999999999</v>
      </c>
      <c r="D116" s="8">
        <f t="shared" si="3"/>
        <v>1484.4659999999999</v>
      </c>
      <c r="E116" s="6" t="s">
        <v>42</v>
      </c>
    </row>
    <row r="117" spans="1:5" x14ac:dyDescent="0.4">
      <c r="A117" s="6" t="s">
        <v>41</v>
      </c>
      <c r="B117" s="6" t="s">
        <v>13</v>
      </c>
      <c r="C117" s="7">
        <f>_xll.ciqfunctions.udf.CIQ($B$1,"IQ_EBT_EXCL","IQ_FY-1")</f>
        <v>1364.8720000000001</v>
      </c>
      <c r="D117" s="8">
        <f t="shared" si="3"/>
        <v>1364.8720000000001</v>
      </c>
      <c r="E117" s="6" t="s">
        <v>42</v>
      </c>
    </row>
    <row r="118" spans="1:5" x14ac:dyDescent="0.4">
      <c r="A118" s="6" t="s">
        <v>41</v>
      </c>
      <c r="B118" s="6" t="s">
        <v>14</v>
      </c>
      <c r="C118" s="7">
        <f>_xll.ciqfunctions.udf.CIQ($B$1,"IQ_EBT_EXCL","IQ_FY-2")</f>
        <v>2136.0230000000001</v>
      </c>
      <c r="D118" s="8">
        <f t="shared" si="3"/>
        <v>2136.0230000000001</v>
      </c>
      <c r="E118" s="6" t="s">
        <v>42</v>
      </c>
    </row>
    <row r="119" spans="1:5" x14ac:dyDescent="0.4">
      <c r="A119" s="6" t="s">
        <v>41</v>
      </c>
      <c r="B119" s="6" t="s">
        <v>15</v>
      </c>
      <c r="C119" s="7">
        <f>_xll.ciqfunctions.udf.CIQ($B$1,"IQ_EBT_EXCL","IQ_FY-3")</f>
        <v>2769.9960000000001</v>
      </c>
      <c r="D119" s="8">
        <f t="shared" si="3"/>
        <v>2769.9960000000001</v>
      </c>
      <c r="E119" s="6" t="s">
        <v>42</v>
      </c>
    </row>
    <row r="120" spans="1:5" x14ac:dyDescent="0.4">
      <c r="A120" s="6" t="s">
        <v>41</v>
      </c>
      <c r="B120" s="6" t="s">
        <v>16</v>
      </c>
      <c r="C120" s="7">
        <f>_xll.ciqfunctions.udf.CIQ($B$1,"IQ_EBT_EXCL","IQ_FY-4")</f>
        <v>1664.194</v>
      </c>
      <c r="D120" s="8">
        <f t="shared" si="3"/>
        <v>1664.194</v>
      </c>
      <c r="E120" s="6" t="s">
        <v>42</v>
      </c>
    </row>
    <row r="121" spans="1:5" x14ac:dyDescent="0.4">
      <c r="A121" s="6" t="s">
        <v>41</v>
      </c>
      <c r="B121" s="6" t="s">
        <v>17</v>
      </c>
      <c r="C121" s="7">
        <f>_xll.ciqfunctions.udf.CIQ($B$1,"IQ_EBT_EXCL","IQ_FY-5")</f>
        <v>1029.174</v>
      </c>
      <c r="D121" s="8">
        <f t="shared" si="3"/>
        <v>1029.174</v>
      </c>
      <c r="E121" s="6" t="s">
        <v>42</v>
      </c>
    </row>
    <row r="122" spans="1:5" x14ac:dyDescent="0.4">
      <c r="A122" s="6" t="s">
        <v>41</v>
      </c>
      <c r="B122" s="6" t="s">
        <v>18</v>
      </c>
      <c r="C122" s="7">
        <f>_xll.ciqfunctions.udf.CIQ($B$1,"IQ_EBT_EXCL","IQ_FY-6")</f>
        <v>861.63400000000001</v>
      </c>
      <c r="D122" s="8">
        <f t="shared" si="3"/>
        <v>861.63400000000001</v>
      </c>
      <c r="E122" s="6" t="s">
        <v>42</v>
      </c>
    </row>
    <row r="123" spans="1:5" x14ac:dyDescent="0.4">
      <c r="A123" s="6" t="s">
        <v>41</v>
      </c>
      <c r="B123" s="6" t="s">
        <v>19</v>
      </c>
      <c r="C123" s="7">
        <f>_xll.ciqfunctions.udf.CIQ($B$1,"IQ_EBT_EXCL","IQ_FY-7")</f>
        <v>203.04</v>
      </c>
      <c r="D123" s="8">
        <f t="shared" si="3"/>
        <v>203.04</v>
      </c>
      <c r="E123" s="6" t="s">
        <v>42</v>
      </c>
    </row>
    <row r="124" spans="1:5" x14ac:dyDescent="0.4">
      <c r="A124" s="6" t="s">
        <v>41</v>
      </c>
      <c r="B124" s="6" t="s">
        <v>20</v>
      </c>
      <c r="C124" s="7">
        <f>_xll.ciqfunctions.udf.CIQ($B$1,"IQ_EBT_EXCL","IQ_FY-8")</f>
        <v>302.666</v>
      </c>
      <c r="D124" s="8">
        <f t="shared" si="3"/>
        <v>302.666</v>
      </c>
      <c r="E124" s="6" t="s">
        <v>42</v>
      </c>
    </row>
    <row r="125" spans="1:5" x14ac:dyDescent="0.4">
      <c r="A125" s="6" t="s">
        <v>41</v>
      </c>
      <c r="B125" s="6" t="s">
        <v>21</v>
      </c>
      <c r="C125" s="7">
        <f>_xll.ciqfunctions.udf.CIQ($B$1,"IQ_EBT_EXCL","IQ_FY-9")</f>
        <v>311.82799999999997</v>
      </c>
      <c r="D125" s="8">
        <f t="shared" si="3"/>
        <v>311.82799999999997</v>
      </c>
      <c r="E125" s="6" t="s">
        <v>42</v>
      </c>
    </row>
    <row r="126" spans="1:5" x14ac:dyDescent="0.4">
      <c r="A126" s="6" t="s">
        <v>41</v>
      </c>
      <c r="B126" s="6" t="s">
        <v>22</v>
      </c>
      <c r="C126" s="7">
        <f>_xll.ciqfunctions.udf.CIQ($B$1,"IQ_EBT_EXCL","IQ_FY-10")</f>
        <v>969.94399999999996</v>
      </c>
      <c r="D126" s="8">
        <f t="shared" si="3"/>
        <v>969.94399999999996</v>
      </c>
      <c r="E126" s="6" t="s">
        <v>42</v>
      </c>
    </row>
    <row r="127" spans="1:5" x14ac:dyDescent="0.4">
      <c r="A127" s="6" t="s">
        <v>43</v>
      </c>
      <c r="B127" s="6" t="s">
        <v>11</v>
      </c>
      <c r="C127" s="7">
        <f>_xll.ciqfunctions.udf.CIQ($B$1,"IQ_INC_TAX","IQ_FY-0")</f>
        <v>18.917999999999999</v>
      </c>
      <c r="D127" s="8">
        <f t="shared" si="3"/>
        <v>18.917999999999999</v>
      </c>
      <c r="E127" s="6" t="s">
        <v>44</v>
      </c>
    </row>
    <row r="128" spans="1:5" x14ac:dyDescent="0.4">
      <c r="A128" s="6" t="s">
        <v>43</v>
      </c>
      <c r="B128" s="6" t="s">
        <v>13</v>
      </c>
      <c r="C128" s="7">
        <f>_xll.ciqfunctions.udf.CIQ($B$1,"IQ_INC_TAX","IQ_FY-1")</f>
        <v>263.142</v>
      </c>
      <c r="D128" s="8">
        <f t="shared" si="3"/>
        <v>263.142</v>
      </c>
      <c r="E128" s="6" t="s">
        <v>44</v>
      </c>
    </row>
    <row r="129" spans="1:5" x14ac:dyDescent="0.4">
      <c r="A129" s="6" t="s">
        <v>43</v>
      </c>
      <c r="B129" s="6" t="s">
        <v>14</v>
      </c>
      <c r="C129" s="7">
        <f>_xll.ciqfunctions.udf.CIQ($B$1,"IQ_INC_TAX","IQ_FY-2")</f>
        <v>455.15600000000001</v>
      </c>
      <c r="D129" s="8">
        <f t="shared" si="3"/>
        <v>455.15600000000001</v>
      </c>
      <c r="E129" s="6" t="s">
        <v>44</v>
      </c>
    </row>
    <row r="130" spans="1:5" x14ac:dyDescent="0.4">
      <c r="A130" s="6" t="s">
        <v>43</v>
      </c>
      <c r="B130" s="6" t="s">
        <v>15</v>
      </c>
      <c r="C130" s="7">
        <f>_xll.ciqfunctions.udf.CIQ($B$1,"IQ_INC_TAX","IQ_FY-3")</f>
        <v>622.399</v>
      </c>
      <c r="D130" s="8">
        <f t="shared" si="3"/>
        <v>622.399</v>
      </c>
      <c r="E130" s="6" t="s">
        <v>44</v>
      </c>
    </row>
    <row r="131" spans="1:5" x14ac:dyDescent="0.4">
      <c r="A131" s="6" t="s">
        <v>43</v>
      </c>
      <c r="B131" s="6" t="s">
        <v>16</v>
      </c>
      <c r="C131" s="7">
        <f>_xll.ciqfunctions.udf.CIQ($B$1,"IQ_INC_TAX","IQ_FY-4")</f>
        <v>461.19900000000001</v>
      </c>
      <c r="D131" s="8">
        <f t="shared" si="3"/>
        <v>461.19900000000001</v>
      </c>
      <c r="E131" s="6" t="s">
        <v>44</v>
      </c>
    </row>
    <row r="132" spans="1:5" x14ac:dyDescent="0.4">
      <c r="A132" s="6" t="s">
        <v>43</v>
      </c>
      <c r="B132" s="6" t="s">
        <v>17</v>
      </c>
      <c r="C132" s="7">
        <f>_xll.ciqfunctions.udf.CIQ($B$1,"IQ_INC_TAX","IQ_FY-5")</f>
        <v>213.20400000000001</v>
      </c>
      <c r="D132" s="8">
        <f t="shared" si="3"/>
        <v>213.20400000000001</v>
      </c>
      <c r="E132" s="6" t="s">
        <v>44</v>
      </c>
    </row>
    <row r="133" spans="1:5" x14ac:dyDescent="0.4">
      <c r="A133" s="6" t="s">
        <v>43</v>
      </c>
      <c r="B133" s="6" t="s">
        <v>18</v>
      </c>
      <c r="C133" s="7">
        <f>_xll.ciqfunctions.udf.CIQ($B$1,"IQ_INC_TAX","IQ_FY-6")</f>
        <v>199.46</v>
      </c>
      <c r="D133" s="8">
        <f t="shared" si="3"/>
        <v>199.46</v>
      </c>
      <c r="E133" s="6" t="s">
        <v>44</v>
      </c>
    </row>
    <row r="134" spans="1:5" x14ac:dyDescent="0.4">
      <c r="A134" s="6" t="s">
        <v>43</v>
      </c>
      <c r="B134" s="6" t="s">
        <v>19</v>
      </c>
      <c r="C134" s="7">
        <f>_xll.ciqfunctions.udf.CIQ($B$1,"IQ_INC_TAX","IQ_FY-7")</f>
        <v>279.97699999999998</v>
      </c>
      <c r="D134" s="8">
        <f t="shared" ref="D134:D165" si="4">C134</f>
        <v>279.97699999999998</v>
      </c>
      <c r="E134" s="6" t="s">
        <v>44</v>
      </c>
    </row>
    <row r="135" spans="1:5" x14ac:dyDescent="0.4">
      <c r="A135" s="6" t="s">
        <v>43</v>
      </c>
      <c r="B135" s="6" t="s">
        <v>20</v>
      </c>
      <c r="C135" s="7">
        <f>_xll.ciqfunctions.udf.CIQ($B$1,"IQ_INC_TAX","IQ_FY-8")</f>
        <v>-40.514000000000003</v>
      </c>
      <c r="D135" s="8">
        <f t="shared" si="4"/>
        <v>-40.514000000000003</v>
      </c>
      <c r="E135" s="6" t="s">
        <v>44</v>
      </c>
    </row>
    <row r="136" spans="1:5" x14ac:dyDescent="0.4">
      <c r="A136" s="6" t="s">
        <v>43</v>
      </c>
      <c r="B136" s="6" t="s">
        <v>21</v>
      </c>
      <c r="C136" s="7">
        <f>_xll.ciqfunctions.udf.CIQ($B$1,"IQ_INC_TAX","IQ_FY-9")</f>
        <v>-132.27600000000001</v>
      </c>
      <c r="D136" s="8">
        <f t="shared" si="4"/>
        <v>-132.27600000000001</v>
      </c>
      <c r="E136" s="6" t="s">
        <v>44</v>
      </c>
    </row>
    <row r="137" spans="1:5" x14ac:dyDescent="0.4">
      <c r="A137" s="6" t="s">
        <v>43</v>
      </c>
      <c r="B137" s="6" t="s">
        <v>22</v>
      </c>
      <c r="C137" s="7">
        <f>_xll.ciqfunctions.udf.CIQ($B$1,"IQ_INC_TAX","IQ_FY-10")</f>
        <v>134.364</v>
      </c>
      <c r="D137" s="8">
        <f t="shared" si="4"/>
        <v>134.364</v>
      </c>
      <c r="E137" s="6" t="s">
        <v>44</v>
      </c>
    </row>
    <row r="138" spans="1:5" x14ac:dyDescent="0.4">
      <c r="A138" s="9" t="s">
        <v>45</v>
      </c>
      <c r="B138" s="10"/>
      <c r="C138" s="10"/>
      <c r="D138" s="10"/>
      <c r="E138" s="10"/>
    </row>
    <row r="139" spans="1:5" x14ac:dyDescent="0.4">
      <c r="A139" s="6" t="s">
        <v>10</v>
      </c>
      <c r="B139" s="6" t="s">
        <v>46</v>
      </c>
      <c r="C139" s="7">
        <f>_xll.ciqfunctions.udf.CIQ($B$1,"IQ_TOTAL_REV","IQ_FQ-0")</f>
        <v>22204.333999999999</v>
      </c>
      <c r="D139" s="8">
        <f t="shared" ref="D139:D170" si="5">C139</f>
        <v>22204.333999999999</v>
      </c>
      <c r="E139" s="6" t="s">
        <v>12</v>
      </c>
    </row>
    <row r="140" spans="1:5" x14ac:dyDescent="0.4">
      <c r="A140" s="6" t="s">
        <v>10</v>
      </c>
      <c r="B140" s="6" t="s">
        <v>47</v>
      </c>
      <c r="C140" s="7">
        <f>_xll.ciqfunctions.udf.CIQ($B$1,"IQ_TOTAL_REV","IQ_FQ-1")</f>
        <v>20452.022000000001</v>
      </c>
      <c r="D140" s="8">
        <f t="shared" si="5"/>
        <v>20452.022000000001</v>
      </c>
      <c r="E140" s="6" t="s">
        <v>12</v>
      </c>
    </row>
    <row r="141" spans="1:5" x14ac:dyDescent="0.4">
      <c r="A141" s="6" t="s">
        <v>10</v>
      </c>
      <c r="B141" s="6" t="s">
        <v>48</v>
      </c>
      <c r="C141" s="7">
        <f>_xll.ciqfunctions.udf.CIQ($B$1,"IQ_TOTAL_REV","IQ_FQ-2")</f>
        <v>18830</v>
      </c>
      <c r="D141" s="8">
        <f t="shared" si="5"/>
        <v>18830</v>
      </c>
      <c r="E141" s="6" t="s">
        <v>12</v>
      </c>
    </row>
    <row r="142" spans="1:5" x14ac:dyDescent="0.4">
      <c r="A142" s="6" t="s">
        <v>10</v>
      </c>
      <c r="B142" s="6" t="s">
        <v>49</v>
      </c>
      <c r="C142" s="7">
        <f>_xll.ciqfunctions.udf.CIQ($B$1,"IQ_TOTAL_REV","IQ_FQ-3")</f>
        <v>16983.538</v>
      </c>
      <c r="D142" s="8">
        <f t="shared" si="5"/>
        <v>16983.538</v>
      </c>
      <c r="E142" s="6" t="s">
        <v>12</v>
      </c>
    </row>
    <row r="143" spans="1:5" x14ac:dyDescent="0.4">
      <c r="A143" s="6" t="s">
        <v>10</v>
      </c>
      <c r="B143" s="6" t="s">
        <v>50</v>
      </c>
      <c r="C143" s="7">
        <f>_xll.ciqfunctions.udf.CIQ($B$1,"IQ_TOTAL_REV","IQ_FQ-4")</f>
        <v>18796.28</v>
      </c>
      <c r="D143" s="8">
        <f t="shared" si="5"/>
        <v>18796.28</v>
      </c>
      <c r="E143" s="6" t="s">
        <v>12</v>
      </c>
    </row>
    <row r="144" spans="1:5" x14ac:dyDescent="0.4">
      <c r="A144" s="6" t="s">
        <v>10</v>
      </c>
      <c r="B144" s="6" t="s">
        <v>51</v>
      </c>
      <c r="C144" s="7">
        <f>_xll.ciqfunctions.udf.CIQ($B$1,"IQ_TOTAL_REV","IQ_FQ-5")</f>
        <v>17850.094000000001</v>
      </c>
      <c r="D144" s="8">
        <f t="shared" si="5"/>
        <v>17850.094000000001</v>
      </c>
      <c r="E144" s="6" t="s">
        <v>12</v>
      </c>
    </row>
    <row r="145" spans="1:5" x14ac:dyDescent="0.4">
      <c r="A145" s="6" t="s">
        <v>10</v>
      </c>
      <c r="B145" s="6" t="s">
        <v>52</v>
      </c>
      <c r="C145" s="7">
        <f>_xll.ciqfunctions.udf.CIQ($B$1,"IQ_TOTAL_REV","IQ_FQ-6")</f>
        <v>15447.056</v>
      </c>
      <c r="D145" s="8">
        <f t="shared" si="5"/>
        <v>15447.056</v>
      </c>
      <c r="E145" s="6" t="s">
        <v>12</v>
      </c>
    </row>
    <row r="146" spans="1:5" x14ac:dyDescent="0.4">
      <c r="A146" s="6" t="s">
        <v>10</v>
      </c>
      <c r="B146" s="6" t="s">
        <v>53</v>
      </c>
      <c r="C146" s="7">
        <f>_xll.ciqfunctions.udf.CIQ($B$1,"IQ_TOTAL_REV","IQ_FQ-7")</f>
        <v>13833.117</v>
      </c>
      <c r="D146" s="8">
        <f t="shared" si="5"/>
        <v>13833.117</v>
      </c>
      <c r="E146" s="6" t="s">
        <v>12</v>
      </c>
    </row>
    <row r="147" spans="1:5" x14ac:dyDescent="0.4">
      <c r="A147" s="6" t="s">
        <v>23</v>
      </c>
      <c r="B147" s="6" t="s">
        <v>46</v>
      </c>
      <c r="C147" s="7">
        <f>_xll.ciqfunctions.udf.CIQ($B$1,"IQ_EBIT","IQ_FQ-0")</f>
        <v>948.45799999999997</v>
      </c>
      <c r="D147" s="8">
        <f t="shared" si="5"/>
        <v>948.45799999999997</v>
      </c>
      <c r="E147" s="6" t="s">
        <v>24</v>
      </c>
    </row>
    <row r="148" spans="1:5" x14ac:dyDescent="0.4">
      <c r="A148" s="6" t="s">
        <v>23</v>
      </c>
      <c r="B148" s="6" t="s">
        <v>47</v>
      </c>
      <c r="C148" s="7">
        <f>_xll.ciqfunctions.udf.CIQ($B$1,"IQ_EBIT","IQ_FQ-1")</f>
        <v>642.92100000000005</v>
      </c>
      <c r="D148" s="8">
        <f t="shared" si="5"/>
        <v>642.92100000000005</v>
      </c>
      <c r="E148" s="6" t="s">
        <v>24</v>
      </c>
    </row>
    <row r="149" spans="1:5" x14ac:dyDescent="0.4">
      <c r="A149" s="6" t="s">
        <v>23</v>
      </c>
      <c r="B149" s="6" t="s">
        <v>48</v>
      </c>
      <c r="C149" s="7">
        <f>_xll.ciqfunctions.udf.CIQ($B$1,"IQ_EBIT","IQ_FQ-2")</f>
        <v>785</v>
      </c>
      <c r="D149" s="8">
        <f t="shared" si="5"/>
        <v>785</v>
      </c>
      <c r="E149" s="6" t="s">
        <v>24</v>
      </c>
    </row>
    <row r="150" spans="1:5" x14ac:dyDescent="0.4">
      <c r="A150" s="6" t="s">
        <v>23</v>
      </c>
      <c r="B150" s="6" t="s">
        <v>49</v>
      </c>
      <c r="C150" s="7">
        <f>_xll.ciqfunctions.udf.CIQ($B$1,"IQ_EBIT","IQ_FQ-3")</f>
        <v>174.13</v>
      </c>
      <c r="D150" s="8">
        <f t="shared" si="5"/>
        <v>174.13</v>
      </c>
      <c r="E150" s="6" t="s">
        <v>24</v>
      </c>
    </row>
    <row r="151" spans="1:5" x14ac:dyDescent="0.4">
      <c r="A151" s="6" t="s">
        <v>23</v>
      </c>
      <c r="B151" s="6" t="s">
        <v>50</v>
      </c>
      <c r="C151" s="7">
        <f>_xll.ciqfunctions.udf.CIQ($B$1,"IQ_EBIT","IQ_FQ-4")</f>
        <v>687.70399999999995</v>
      </c>
      <c r="D151" s="8">
        <f t="shared" si="5"/>
        <v>687.70399999999995</v>
      </c>
      <c r="E151" s="6" t="s">
        <v>24</v>
      </c>
    </row>
    <row r="152" spans="1:5" x14ac:dyDescent="0.4">
      <c r="A152" s="6" t="s">
        <v>23</v>
      </c>
      <c r="B152" s="6" t="s">
        <v>51</v>
      </c>
      <c r="C152" s="7">
        <f>_xll.ciqfunctions.udf.CIQ($B$1,"IQ_EBIT","IQ_FQ-5")</f>
        <v>650.59900000000005</v>
      </c>
      <c r="D152" s="8">
        <f t="shared" si="5"/>
        <v>650.59900000000005</v>
      </c>
      <c r="E152" s="6" t="s">
        <v>24</v>
      </c>
    </row>
    <row r="153" spans="1:5" x14ac:dyDescent="0.4">
      <c r="A153" s="6" t="s">
        <v>23</v>
      </c>
      <c r="B153" s="6" t="s">
        <v>52</v>
      </c>
      <c r="C153" s="7">
        <f>_xll.ciqfunctions.udf.CIQ($B$1,"IQ_EBIT","IQ_FQ-6")</f>
        <v>494.46899999999999</v>
      </c>
      <c r="D153" s="8">
        <f t="shared" si="5"/>
        <v>494.46899999999999</v>
      </c>
      <c r="E153" s="6" t="s">
        <v>24</v>
      </c>
    </row>
    <row r="154" spans="1:5" x14ac:dyDescent="0.4">
      <c r="A154" s="6" t="s">
        <v>23</v>
      </c>
      <c r="B154" s="6" t="s">
        <v>53</v>
      </c>
      <c r="C154" s="7">
        <f>_xll.ciqfunctions.udf.CIQ($B$1,"IQ_EBIT","IQ_FQ-7")</f>
        <v>473.81</v>
      </c>
      <c r="D154" s="8">
        <f t="shared" si="5"/>
        <v>473.81</v>
      </c>
      <c r="E154" s="6" t="s">
        <v>24</v>
      </c>
    </row>
    <row r="155" spans="1:5" x14ac:dyDescent="0.4">
      <c r="A155" s="6" t="s">
        <v>25</v>
      </c>
      <c r="B155" s="6" t="s">
        <v>46</v>
      </c>
      <c r="C155" s="7">
        <f>_xll.ciqfunctions.udf.CIQ($B$1,"IQ_EBITDA","IQ_FQ-0")</f>
        <v>1246.0350000000001</v>
      </c>
      <c r="D155" s="8">
        <f t="shared" si="5"/>
        <v>1246.0350000000001</v>
      </c>
      <c r="E155" s="6" t="s">
        <v>26</v>
      </c>
    </row>
    <row r="156" spans="1:5" x14ac:dyDescent="0.4">
      <c r="A156" s="6" t="s">
        <v>25</v>
      </c>
      <c r="B156" s="6" t="s">
        <v>47</v>
      </c>
      <c r="C156" s="7">
        <f>_xll.ciqfunctions.udf.CIQ($B$1,"IQ_EBITDA","IQ_FQ-1")</f>
        <v>909.64700000000005</v>
      </c>
      <c r="D156" s="8">
        <f t="shared" si="5"/>
        <v>909.64700000000005</v>
      </c>
      <c r="E156" s="6" t="s">
        <v>26</v>
      </c>
    </row>
    <row r="157" spans="1:5" x14ac:dyDescent="0.4">
      <c r="A157" s="6" t="s">
        <v>25</v>
      </c>
      <c r="B157" s="6" t="s">
        <v>48</v>
      </c>
      <c r="C157" s="7">
        <f>_xll.ciqfunctions.udf.CIQ($B$1,"IQ_EBITDA","IQ_FQ-2")</f>
        <v>1048.2102500000001</v>
      </c>
      <c r="D157" s="8">
        <f t="shared" si="5"/>
        <v>1048.2102500000001</v>
      </c>
      <c r="E157" s="6" t="s">
        <v>26</v>
      </c>
    </row>
    <row r="158" spans="1:5" x14ac:dyDescent="0.4">
      <c r="A158" s="6" t="s">
        <v>25</v>
      </c>
      <c r="B158" s="6" t="s">
        <v>49</v>
      </c>
      <c r="C158" s="7">
        <f>_xll.ciqfunctions.udf.CIQ($B$1,"IQ_EBITDA","IQ_FQ-3")</f>
        <v>419.10599999999999</v>
      </c>
      <c r="D158" s="8">
        <f t="shared" si="5"/>
        <v>419.10599999999999</v>
      </c>
      <c r="E158" s="6" t="s">
        <v>26</v>
      </c>
    </row>
    <row r="159" spans="1:5" x14ac:dyDescent="0.4">
      <c r="A159" s="6" t="s">
        <v>25</v>
      </c>
      <c r="B159" s="6" t="s">
        <v>50</v>
      </c>
      <c r="C159" s="7">
        <f>_xll.ciqfunctions.udf.CIQ($B$1,"IQ_EBITDA","IQ_FQ-4")</f>
        <v>970.46299999999997</v>
      </c>
      <c r="D159" s="8">
        <f t="shared" si="5"/>
        <v>970.46299999999997</v>
      </c>
      <c r="E159" s="6" t="s">
        <v>26</v>
      </c>
    </row>
    <row r="160" spans="1:5" x14ac:dyDescent="0.4">
      <c r="A160" s="6" t="s">
        <v>25</v>
      </c>
      <c r="B160" s="6" t="s">
        <v>51</v>
      </c>
      <c r="C160" s="7">
        <f>_xll.ciqfunctions.udf.CIQ($B$1,"IQ_EBITDA","IQ_FQ-5")</f>
        <v>918.47799999999995</v>
      </c>
      <c r="D160" s="8">
        <f t="shared" si="5"/>
        <v>918.47799999999995</v>
      </c>
      <c r="E160" s="6" t="s">
        <v>26</v>
      </c>
    </row>
    <row r="161" spans="1:5" x14ac:dyDescent="0.4">
      <c r="A161" s="6" t="s">
        <v>25</v>
      </c>
      <c r="B161" s="6" t="s">
        <v>52</v>
      </c>
      <c r="C161" s="7">
        <f>_xll.ciqfunctions.udf.CIQ($B$1,"IQ_EBITDA","IQ_FQ-6")</f>
        <v>751.69600000000003</v>
      </c>
      <c r="D161" s="8">
        <f t="shared" si="5"/>
        <v>751.69600000000003</v>
      </c>
      <c r="E161" s="6" t="s">
        <v>26</v>
      </c>
    </row>
    <row r="162" spans="1:5" x14ac:dyDescent="0.4">
      <c r="A162" s="6" t="s">
        <v>25</v>
      </c>
      <c r="B162" s="6" t="s">
        <v>53</v>
      </c>
      <c r="C162" s="7">
        <f>_xll.ciqfunctions.udf.CIQ($B$1,"IQ_EBITDA","IQ_FQ-7")</f>
        <v>741.96600000000001</v>
      </c>
      <c r="D162" s="8">
        <f t="shared" si="5"/>
        <v>741.96600000000001</v>
      </c>
      <c r="E162" s="6" t="s">
        <v>26</v>
      </c>
    </row>
    <row r="163" spans="1:5" x14ac:dyDescent="0.4">
      <c r="A163" s="6" t="s">
        <v>27</v>
      </c>
      <c r="B163" s="6" t="s">
        <v>46</v>
      </c>
      <c r="C163" s="7">
        <f>_xll.ciqfunctions.udf.CIQ($B$1,"IQ_NI","IQ_FQ-0")</f>
        <v>545.53599999999994</v>
      </c>
      <c r="D163" s="8">
        <f t="shared" si="5"/>
        <v>545.53599999999994</v>
      </c>
      <c r="E163" s="6" t="s">
        <v>28</v>
      </c>
    </row>
    <row r="164" spans="1:5" x14ac:dyDescent="0.4">
      <c r="A164" s="6" t="s">
        <v>27</v>
      </c>
      <c r="B164" s="6" t="s">
        <v>47</v>
      </c>
      <c r="C164" s="7">
        <f>_xll.ciqfunctions.udf.CIQ($B$1,"IQ_NI","IQ_FQ-1")</f>
        <v>340.27600000000001</v>
      </c>
      <c r="D164" s="8">
        <f t="shared" si="5"/>
        <v>340.27600000000001</v>
      </c>
      <c r="E164" s="6" t="s">
        <v>28</v>
      </c>
    </row>
    <row r="165" spans="1:5" x14ac:dyDescent="0.4">
      <c r="A165" s="6" t="s">
        <v>27</v>
      </c>
      <c r="B165" s="6" t="s">
        <v>48</v>
      </c>
      <c r="C165" s="7">
        <f>_xll.ciqfunctions.udf.CIQ($B$1,"IQ_NI","IQ_FQ-2")</f>
        <v>505</v>
      </c>
      <c r="D165" s="8">
        <f t="shared" si="5"/>
        <v>505</v>
      </c>
      <c r="E165" s="6" t="s">
        <v>28</v>
      </c>
    </row>
    <row r="166" spans="1:5" x14ac:dyDescent="0.4">
      <c r="A166" s="6" t="s">
        <v>27</v>
      </c>
      <c r="B166" s="6" t="s">
        <v>49</v>
      </c>
      <c r="C166" s="7">
        <f>_xll.ciqfunctions.udf.CIQ($B$1,"IQ_NI","IQ_FQ-3")</f>
        <v>89.878</v>
      </c>
      <c r="D166" s="8">
        <f t="shared" si="5"/>
        <v>89.878</v>
      </c>
      <c r="E166" s="6" t="s">
        <v>28</v>
      </c>
    </row>
    <row r="167" spans="1:5" x14ac:dyDescent="0.4">
      <c r="A167" s="6" t="s">
        <v>27</v>
      </c>
      <c r="B167" s="6" t="s">
        <v>50</v>
      </c>
      <c r="C167" s="7">
        <f>_xll.ciqfunctions.udf.CIQ($B$1,"IQ_NI","IQ_FQ-4")</f>
        <v>692.67</v>
      </c>
      <c r="D167" s="8">
        <f t="shared" si="5"/>
        <v>692.67</v>
      </c>
      <c r="E167" s="6" t="s">
        <v>28</v>
      </c>
    </row>
    <row r="168" spans="1:5" x14ac:dyDescent="0.4">
      <c r="A168" s="6" t="s">
        <v>27</v>
      </c>
      <c r="B168" s="6" t="s">
        <v>51</v>
      </c>
      <c r="C168" s="7">
        <f>_xll.ciqfunctions.udf.CIQ($B$1,"IQ_NI","IQ_FQ-5")</f>
        <v>358.53199999999998</v>
      </c>
      <c r="D168" s="8">
        <f t="shared" si="5"/>
        <v>358.53199999999998</v>
      </c>
      <c r="E168" s="6" t="s">
        <v>28</v>
      </c>
    </row>
    <row r="169" spans="1:5" x14ac:dyDescent="0.4">
      <c r="A169" s="6" t="s">
        <v>27</v>
      </c>
      <c r="B169" s="6" t="s">
        <v>52</v>
      </c>
      <c r="C169" s="7">
        <f>_xll.ciqfunctions.udf.CIQ($B$1,"IQ_NI","IQ_FQ-6")</f>
        <v>243.36500000000001</v>
      </c>
      <c r="D169" s="8">
        <f t="shared" si="5"/>
        <v>243.36500000000001</v>
      </c>
      <c r="E169" s="6" t="s">
        <v>28</v>
      </c>
    </row>
    <row r="170" spans="1:5" x14ac:dyDescent="0.4">
      <c r="A170" s="6" t="s">
        <v>27</v>
      </c>
      <c r="B170" s="6" t="s">
        <v>53</v>
      </c>
      <c r="C170" s="7">
        <f>_xll.ciqfunctions.udf.CIQ($B$1,"IQ_NI","IQ_FQ-7")</f>
        <v>247.72399999999999</v>
      </c>
      <c r="D170" s="8">
        <f t="shared" si="5"/>
        <v>247.72399999999999</v>
      </c>
      <c r="E170" s="6" t="s">
        <v>28</v>
      </c>
    </row>
    <row r="171" spans="1:5" x14ac:dyDescent="0.4">
      <c r="A171" s="6" t="s">
        <v>29</v>
      </c>
      <c r="B171" s="6" t="s">
        <v>46</v>
      </c>
      <c r="C171" s="7">
        <f>ABS(_xll.ciqfunctions.udf.CIQ($B$1,"IQ_INTEREST_EXP","IQ_FQ-0"))</f>
        <v>80.861000000000004</v>
      </c>
      <c r="D171" s="8">
        <f t="shared" ref="D171:D202" si="6">C171</f>
        <v>80.861000000000004</v>
      </c>
      <c r="E171" s="6" t="s">
        <v>30</v>
      </c>
    </row>
    <row r="172" spans="1:5" x14ac:dyDescent="0.4">
      <c r="A172" s="6" t="s">
        <v>29</v>
      </c>
      <c r="B172" s="6" t="s">
        <v>47</v>
      </c>
      <c r="C172" s="7">
        <f>ABS(_xll.ciqfunctions.udf.CIQ($B$1,"IQ_INTEREST_EXP","IQ_FQ-1"))</f>
        <v>74.632000000000005</v>
      </c>
      <c r="D172" s="8">
        <f t="shared" si="6"/>
        <v>74.632000000000005</v>
      </c>
      <c r="E172" s="6" t="s">
        <v>30</v>
      </c>
    </row>
    <row r="173" spans="1:5" x14ac:dyDescent="0.4">
      <c r="A173" s="6" t="s">
        <v>29</v>
      </c>
      <c r="B173" s="6" t="s">
        <v>48</v>
      </c>
      <c r="C173" s="7">
        <f>ABS(_xll.ciqfunctions.udf.CIQ($B$1,"IQ_INTEREST_EXP","IQ_FQ-2"))</f>
        <v>0</v>
      </c>
      <c r="D173" s="8">
        <f t="shared" si="6"/>
        <v>0</v>
      </c>
      <c r="E173" s="6" t="s">
        <v>30</v>
      </c>
    </row>
    <row r="174" spans="1:5" x14ac:dyDescent="0.4">
      <c r="A174" s="6" t="s">
        <v>29</v>
      </c>
      <c r="B174" s="6" t="s">
        <v>49</v>
      </c>
      <c r="C174" s="7">
        <f>ABS(_xll.ciqfunctions.udf.CIQ($B$1,"IQ_INTEREST_EXP","IQ_FQ-3"))</f>
        <v>82.807000000000002</v>
      </c>
      <c r="D174" s="8">
        <f t="shared" si="6"/>
        <v>82.807000000000002</v>
      </c>
      <c r="E174" s="6" t="s">
        <v>30</v>
      </c>
    </row>
    <row r="175" spans="1:5" x14ac:dyDescent="0.4">
      <c r="A175" s="6" t="s">
        <v>29</v>
      </c>
      <c r="B175" s="6" t="s">
        <v>50</v>
      </c>
      <c r="C175" s="7">
        <f>ABS(_xll.ciqfunctions.udf.CIQ($B$1,"IQ_INTEREST_EXP","IQ_FQ-4"))</f>
        <v>76.962000000000003</v>
      </c>
      <c r="D175" s="8">
        <f t="shared" si="6"/>
        <v>76.962000000000003</v>
      </c>
      <c r="E175" s="6" t="s">
        <v>30</v>
      </c>
    </row>
    <row r="176" spans="1:5" x14ac:dyDescent="0.4">
      <c r="A176" s="6" t="s">
        <v>29</v>
      </c>
      <c r="B176" s="6" t="s">
        <v>51</v>
      </c>
      <c r="C176" s="7">
        <f>ABS(_xll.ciqfunctions.udf.CIQ($B$1,"IQ_INTEREST_EXP","IQ_FQ-5"))</f>
        <v>64.251000000000005</v>
      </c>
      <c r="D176" s="8">
        <f t="shared" si="6"/>
        <v>64.251000000000005</v>
      </c>
      <c r="E176" s="6" t="s">
        <v>30</v>
      </c>
    </row>
    <row r="177" spans="1:5" x14ac:dyDescent="0.4">
      <c r="A177" s="6" t="s">
        <v>29</v>
      </c>
      <c r="B177" s="6" t="s">
        <v>52</v>
      </c>
      <c r="C177" s="7">
        <f>ABS(_xll.ciqfunctions.udf.CIQ($B$1,"IQ_INTEREST_EXP","IQ_FQ-6"))</f>
        <v>69.575000000000003</v>
      </c>
      <c r="D177" s="8">
        <f t="shared" si="6"/>
        <v>69.575000000000003</v>
      </c>
      <c r="E177" s="6" t="s">
        <v>30</v>
      </c>
    </row>
    <row r="178" spans="1:5" x14ac:dyDescent="0.4">
      <c r="A178" s="6" t="s">
        <v>29</v>
      </c>
      <c r="B178" s="6" t="s">
        <v>53</v>
      </c>
      <c r="C178" s="7">
        <f>ABS(_xll.ciqfunctions.udf.CIQ($B$1,"IQ_INTEREST_EXP","IQ_FQ-7"))</f>
        <v>74.787000000000006</v>
      </c>
      <c r="D178" s="8">
        <f t="shared" si="6"/>
        <v>74.787000000000006</v>
      </c>
      <c r="E178" s="6" t="s">
        <v>30</v>
      </c>
    </row>
    <row r="179" spans="1:5" x14ac:dyDescent="0.4">
      <c r="A179" s="6" t="s">
        <v>31</v>
      </c>
      <c r="B179" s="6" t="s">
        <v>46</v>
      </c>
      <c r="C179" s="7">
        <f>ABS(_xll.ciqfunctions.udf.CIQ($B$1,"IQ_DA_CF","IQ_FQ-0"))</f>
        <v>328.233</v>
      </c>
      <c r="D179" s="8">
        <f t="shared" si="6"/>
        <v>328.233</v>
      </c>
      <c r="E179" s="6" t="s">
        <v>32</v>
      </c>
    </row>
    <row r="180" spans="1:5" x14ac:dyDescent="0.4">
      <c r="A180" s="6" t="s">
        <v>31</v>
      </c>
      <c r="B180" s="6" t="s">
        <v>47</v>
      </c>
      <c r="C180" s="7">
        <f>ABS(_xll.ciqfunctions.udf.CIQ($B$1,"IQ_DA_CF","IQ_FQ-1"))</f>
        <v>0</v>
      </c>
      <c r="D180" s="8">
        <f t="shared" si="6"/>
        <v>0</v>
      </c>
      <c r="E180" s="6" t="s">
        <v>32</v>
      </c>
    </row>
    <row r="181" spans="1:5" x14ac:dyDescent="0.4">
      <c r="A181" s="6" t="s">
        <v>31</v>
      </c>
      <c r="B181" s="6" t="s">
        <v>48</v>
      </c>
      <c r="C181" s="7">
        <f>ABS(_xll.ciqfunctions.udf.CIQ($B$1,"IQ_DA_CF","IQ_FQ-2"))</f>
        <v>0</v>
      </c>
      <c r="D181" s="8">
        <f t="shared" si="6"/>
        <v>0</v>
      </c>
      <c r="E181" s="6" t="s">
        <v>32</v>
      </c>
    </row>
    <row r="182" spans="1:5" x14ac:dyDescent="0.4">
      <c r="A182" s="6" t="s">
        <v>31</v>
      </c>
      <c r="B182" s="6" t="s">
        <v>49</v>
      </c>
      <c r="C182" s="7">
        <f>ABS(_xll.ciqfunctions.udf.CIQ($B$1,"IQ_DA_CF","IQ_FQ-3"))</f>
        <v>273.76799999999997</v>
      </c>
      <c r="D182" s="8">
        <f t="shared" si="6"/>
        <v>273.76799999999997</v>
      </c>
      <c r="E182" s="6" t="s">
        <v>32</v>
      </c>
    </row>
    <row r="183" spans="1:5" x14ac:dyDescent="0.4">
      <c r="A183" s="6" t="s">
        <v>31</v>
      </c>
      <c r="B183" s="6" t="s">
        <v>50</v>
      </c>
      <c r="C183" s="7">
        <f>ABS(_xll.ciqfunctions.udf.CIQ($B$1,"IQ_DA_CF","IQ_FQ-4"))</f>
        <v>313.64299999999997</v>
      </c>
      <c r="D183" s="8">
        <f t="shared" si="6"/>
        <v>313.64299999999997</v>
      </c>
      <c r="E183" s="6" t="s">
        <v>32</v>
      </c>
    </row>
    <row r="184" spans="1:5" x14ac:dyDescent="0.4">
      <c r="A184" s="6" t="s">
        <v>31</v>
      </c>
      <c r="B184" s="6" t="s">
        <v>51</v>
      </c>
      <c r="C184" s="7">
        <f>ABS(_xll.ciqfunctions.udf.CIQ($B$1,"IQ_DA_CF","IQ_FQ-5"))</f>
        <v>295.24599999999998</v>
      </c>
      <c r="D184" s="8">
        <f t="shared" si="6"/>
        <v>295.24599999999998</v>
      </c>
      <c r="E184" s="6" t="s">
        <v>32</v>
      </c>
    </row>
    <row r="185" spans="1:5" x14ac:dyDescent="0.4">
      <c r="A185" s="6" t="s">
        <v>31</v>
      </c>
      <c r="B185" s="6" t="s">
        <v>52</v>
      </c>
      <c r="C185" s="7">
        <f>ABS(_xll.ciqfunctions.udf.CIQ($B$1,"IQ_DA_CF","IQ_FQ-6"))</f>
        <v>286.149</v>
      </c>
      <c r="D185" s="8">
        <f t="shared" si="6"/>
        <v>286.149</v>
      </c>
      <c r="E185" s="6" t="s">
        <v>32</v>
      </c>
    </row>
    <row r="186" spans="1:5" x14ac:dyDescent="0.4">
      <c r="A186" s="6" t="s">
        <v>31</v>
      </c>
      <c r="B186" s="6" t="s">
        <v>53</v>
      </c>
      <c r="C186" s="7">
        <f>ABS(_xll.ciqfunctions.udf.CIQ($B$1,"IQ_DA_CF","IQ_FQ-7"))</f>
        <v>295.33600000000001</v>
      </c>
      <c r="D186" s="8">
        <f t="shared" si="6"/>
        <v>295.33600000000001</v>
      </c>
      <c r="E186" s="6" t="s">
        <v>32</v>
      </c>
    </row>
    <row r="187" spans="1:5" x14ac:dyDescent="0.4">
      <c r="A187" s="6" t="s">
        <v>33</v>
      </c>
      <c r="B187" s="6" t="s">
        <v>46</v>
      </c>
      <c r="C187" s="7">
        <f>_xll.ciqfunctions.udf.CIQ($B$1,"IQ_RD_EXP","IQ_FQ-0")</f>
        <v>637.72699999999998</v>
      </c>
      <c r="D187" s="8">
        <f t="shared" si="6"/>
        <v>637.72699999999998</v>
      </c>
      <c r="E187" s="6" t="s">
        <v>34</v>
      </c>
    </row>
    <row r="188" spans="1:5" x14ac:dyDescent="0.4">
      <c r="A188" s="6" t="s">
        <v>33</v>
      </c>
      <c r="B188" s="6" t="s">
        <v>47</v>
      </c>
      <c r="C188" s="7">
        <f>_xll.ciqfunctions.udf.CIQ($B$1,"IQ_RD_EXP","IQ_FQ-1")</f>
        <v>580.58500000000004</v>
      </c>
      <c r="D188" s="8">
        <f t="shared" si="6"/>
        <v>580.58500000000004</v>
      </c>
      <c r="E188" s="6" t="s">
        <v>34</v>
      </c>
    </row>
    <row r="189" spans="1:5" x14ac:dyDescent="0.4">
      <c r="A189" s="6" t="s">
        <v>33</v>
      </c>
      <c r="B189" s="6" t="s">
        <v>48</v>
      </c>
      <c r="C189" s="7">
        <f>_xll.ciqfunctions.udf.CIQ($B$1,"IQ_RD_EXP","IQ_FQ-2")</f>
        <v>524</v>
      </c>
      <c r="D189" s="8">
        <f t="shared" si="6"/>
        <v>524</v>
      </c>
      <c r="E189" s="6" t="s">
        <v>34</v>
      </c>
    </row>
    <row r="190" spans="1:5" x14ac:dyDescent="0.4">
      <c r="A190" s="6" t="s">
        <v>33</v>
      </c>
      <c r="B190" s="6" t="s">
        <v>49</v>
      </c>
      <c r="C190" s="7">
        <f>_xll.ciqfunctions.udf.CIQ($B$1,"IQ_RD_EXP","IQ_FQ-3")</f>
        <v>643.89200000000005</v>
      </c>
      <c r="D190" s="8">
        <f t="shared" si="6"/>
        <v>643.89200000000005</v>
      </c>
      <c r="E190" s="6" t="s">
        <v>34</v>
      </c>
    </row>
    <row r="191" spans="1:5" x14ac:dyDescent="0.4">
      <c r="A191" s="6" t="s">
        <v>33</v>
      </c>
      <c r="B191" s="6" t="s">
        <v>50</v>
      </c>
      <c r="C191" s="7">
        <f>_xll.ciqfunctions.udf.CIQ($B$1,"IQ_RD_EXP","IQ_FQ-4")</f>
        <v>620.78899999999999</v>
      </c>
      <c r="D191" s="8">
        <f t="shared" si="6"/>
        <v>620.78899999999999</v>
      </c>
      <c r="E191" s="6" t="s">
        <v>34</v>
      </c>
    </row>
    <row r="192" spans="1:5" x14ac:dyDescent="0.4">
      <c r="A192" s="6" t="s">
        <v>33</v>
      </c>
      <c r="B192" s="6" t="s">
        <v>51</v>
      </c>
      <c r="C192" s="7">
        <f>_xll.ciqfunctions.udf.CIQ($B$1,"IQ_RD_EXP","IQ_FQ-5")</f>
        <v>547.52800000000002</v>
      </c>
      <c r="D192" s="8">
        <f t="shared" si="6"/>
        <v>547.52800000000002</v>
      </c>
      <c r="E192" s="6" t="s">
        <v>34</v>
      </c>
    </row>
    <row r="193" spans="1:5" x14ac:dyDescent="0.4">
      <c r="A193" s="6" t="s">
        <v>33</v>
      </c>
      <c r="B193" s="6" t="s">
        <v>52</v>
      </c>
      <c r="C193" s="7">
        <f>_xll.ciqfunctions.udf.CIQ($B$1,"IQ_RD_EXP","IQ_FQ-6")</f>
        <v>475.995</v>
      </c>
      <c r="D193" s="8">
        <f t="shared" si="6"/>
        <v>475.995</v>
      </c>
      <c r="E193" s="6" t="s">
        <v>34</v>
      </c>
    </row>
    <row r="194" spans="1:5" x14ac:dyDescent="0.4">
      <c r="A194" s="6" t="s">
        <v>33</v>
      </c>
      <c r="B194" s="6" t="s">
        <v>53</v>
      </c>
      <c r="C194" s="7">
        <f>_xll.ciqfunctions.udf.CIQ($B$1,"IQ_RD_EXP","IQ_FQ-7")</f>
        <v>531.74</v>
      </c>
      <c r="D194" s="8">
        <f t="shared" si="6"/>
        <v>531.74</v>
      </c>
      <c r="E194" s="6" t="s">
        <v>34</v>
      </c>
    </row>
    <row r="195" spans="1:5" x14ac:dyDescent="0.4">
      <c r="A195" s="6" t="s">
        <v>35</v>
      </c>
      <c r="B195" s="6" t="s">
        <v>46</v>
      </c>
      <c r="C195" s="7">
        <f>_xll.ciqfunctions.udf.CIQ($B$1,"IQ_RD_EXP_FN","IQ_FQ-0")</f>
        <v>637.72699999999998</v>
      </c>
      <c r="D195" s="8">
        <f t="shared" si="6"/>
        <v>637.72699999999998</v>
      </c>
      <c r="E195" s="6" t="s">
        <v>36</v>
      </c>
    </row>
    <row r="196" spans="1:5" x14ac:dyDescent="0.4">
      <c r="A196" s="6" t="s">
        <v>35</v>
      </c>
      <c r="B196" s="6" t="s">
        <v>47</v>
      </c>
      <c r="C196" s="7">
        <f>_xll.ciqfunctions.udf.CIQ($B$1,"IQ_RD_EXP_FN","IQ_FQ-1")</f>
        <v>580.58500000000004</v>
      </c>
      <c r="D196" s="8">
        <f t="shared" si="6"/>
        <v>580.58500000000004</v>
      </c>
      <c r="E196" s="6" t="s">
        <v>36</v>
      </c>
    </row>
    <row r="197" spans="1:5" x14ac:dyDescent="0.4">
      <c r="A197" s="6" t="s">
        <v>35</v>
      </c>
      <c r="B197" s="6" t="s">
        <v>48</v>
      </c>
      <c r="C197" s="7">
        <f>_xll.ciqfunctions.udf.CIQ($B$1,"IQ_RD_EXP_FN","IQ_FQ-2")</f>
        <v>524</v>
      </c>
      <c r="D197" s="8">
        <f t="shared" si="6"/>
        <v>524</v>
      </c>
      <c r="E197" s="6" t="s">
        <v>36</v>
      </c>
    </row>
    <row r="198" spans="1:5" x14ac:dyDescent="0.4">
      <c r="A198" s="6" t="s">
        <v>35</v>
      </c>
      <c r="B198" s="6" t="s">
        <v>49</v>
      </c>
      <c r="C198" s="7">
        <f>_xll.ciqfunctions.udf.CIQ($B$1,"IQ_RD_EXP_FN","IQ_FQ-3")</f>
        <v>643.89200000000005</v>
      </c>
      <c r="D198" s="8">
        <f t="shared" si="6"/>
        <v>643.89200000000005</v>
      </c>
      <c r="E198" s="6" t="s">
        <v>36</v>
      </c>
    </row>
    <row r="199" spans="1:5" x14ac:dyDescent="0.4">
      <c r="A199" s="6" t="s">
        <v>35</v>
      </c>
      <c r="B199" s="6" t="s">
        <v>50</v>
      </c>
      <c r="C199" s="7">
        <f>_xll.ciqfunctions.udf.CIQ($B$1,"IQ_RD_EXP_FN","IQ_FQ-4")</f>
        <v>620.78899999999999</v>
      </c>
      <c r="D199" s="8">
        <f t="shared" si="6"/>
        <v>620.78899999999999</v>
      </c>
      <c r="E199" s="6" t="s">
        <v>36</v>
      </c>
    </row>
    <row r="200" spans="1:5" x14ac:dyDescent="0.4">
      <c r="A200" s="6" t="s">
        <v>35</v>
      </c>
      <c r="B200" s="6" t="s">
        <v>51</v>
      </c>
      <c r="C200" s="7">
        <f>_xll.ciqfunctions.udf.CIQ($B$1,"IQ_RD_EXP_FN","IQ_FQ-5")</f>
        <v>547.52800000000002</v>
      </c>
      <c r="D200" s="8">
        <f t="shared" si="6"/>
        <v>547.52800000000002</v>
      </c>
      <c r="E200" s="6" t="s">
        <v>36</v>
      </c>
    </row>
    <row r="201" spans="1:5" x14ac:dyDescent="0.4">
      <c r="A201" s="6" t="s">
        <v>35</v>
      </c>
      <c r="B201" s="6" t="s">
        <v>52</v>
      </c>
      <c r="C201" s="7">
        <f>_xll.ciqfunctions.udf.CIQ($B$1,"IQ_RD_EXP_FN","IQ_FQ-6")</f>
        <v>475.995</v>
      </c>
      <c r="D201" s="8">
        <f t="shared" si="6"/>
        <v>475.995</v>
      </c>
      <c r="E201" s="6" t="s">
        <v>36</v>
      </c>
    </row>
    <row r="202" spans="1:5" x14ac:dyDescent="0.4">
      <c r="A202" s="6" t="s">
        <v>35</v>
      </c>
      <c r="B202" s="6" t="s">
        <v>53</v>
      </c>
      <c r="C202" s="7">
        <f>_xll.ciqfunctions.udf.CIQ($B$1,"IQ_RD_EXP_FN","IQ_FQ-7")</f>
        <v>531.74</v>
      </c>
      <c r="D202" s="8">
        <f t="shared" si="6"/>
        <v>531.74</v>
      </c>
      <c r="E202" s="6" t="s">
        <v>36</v>
      </c>
    </row>
    <row r="203" spans="1:5" x14ac:dyDescent="0.4">
      <c r="A203" s="6" t="s">
        <v>37</v>
      </c>
      <c r="B203" s="6" t="s">
        <v>46</v>
      </c>
      <c r="C203" s="7">
        <f>ABS(_xll.ciqfunctions.udf.CIQ($B$1,"IQ_CAPEX","IQ_FQ-0"))</f>
        <v>404.82499999999999</v>
      </c>
      <c r="D203" s="8">
        <f t="shared" ref="D203:D234" si="7">C203</f>
        <v>404.82499999999999</v>
      </c>
      <c r="E203" s="6" t="s">
        <v>38</v>
      </c>
    </row>
    <row r="204" spans="1:5" x14ac:dyDescent="0.4">
      <c r="A204" s="6" t="s">
        <v>37</v>
      </c>
      <c r="B204" s="6" t="s">
        <v>47</v>
      </c>
      <c r="C204" s="7">
        <f>ABS(_xll.ciqfunctions.udf.CIQ($B$1,"IQ_CAPEX","IQ_FQ-1"))</f>
        <v>0</v>
      </c>
      <c r="D204" s="8">
        <f t="shared" si="7"/>
        <v>0</v>
      </c>
      <c r="E204" s="6" t="s">
        <v>38</v>
      </c>
    </row>
    <row r="205" spans="1:5" x14ac:dyDescent="0.4">
      <c r="A205" s="6" t="s">
        <v>37</v>
      </c>
      <c r="B205" s="6" t="s">
        <v>48</v>
      </c>
      <c r="C205" s="7">
        <f>ABS(_xll.ciqfunctions.udf.CIQ($B$1,"IQ_CAPEX","IQ_FQ-2"))</f>
        <v>0</v>
      </c>
      <c r="D205" s="8">
        <f t="shared" si="7"/>
        <v>0</v>
      </c>
      <c r="E205" s="6" t="s">
        <v>38</v>
      </c>
    </row>
    <row r="206" spans="1:5" x14ac:dyDescent="0.4">
      <c r="A206" s="6" t="s">
        <v>37</v>
      </c>
      <c r="B206" s="6" t="s">
        <v>49</v>
      </c>
      <c r="C206" s="7">
        <f>ABS(_xll.ciqfunctions.udf.CIQ($B$1,"IQ_CAPEX","IQ_FQ-3"))</f>
        <v>185.381</v>
      </c>
      <c r="D206" s="8">
        <f t="shared" si="7"/>
        <v>185.381</v>
      </c>
      <c r="E206" s="6" t="s">
        <v>38</v>
      </c>
    </row>
    <row r="207" spans="1:5" x14ac:dyDescent="0.4">
      <c r="A207" s="6" t="s">
        <v>37</v>
      </c>
      <c r="B207" s="6" t="s">
        <v>50</v>
      </c>
      <c r="C207" s="7">
        <f>ABS(_xll.ciqfunctions.udf.CIQ($B$1,"IQ_CAPEX","IQ_FQ-4"))</f>
        <v>174.33</v>
      </c>
      <c r="D207" s="8">
        <f t="shared" si="7"/>
        <v>174.33</v>
      </c>
      <c r="E207" s="6" t="s">
        <v>38</v>
      </c>
    </row>
    <row r="208" spans="1:5" x14ac:dyDescent="0.4">
      <c r="A208" s="6" t="s">
        <v>37</v>
      </c>
      <c r="B208" s="6" t="s">
        <v>51</v>
      </c>
      <c r="C208" s="7">
        <f>ABS(_xll.ciqfunctions.udf.CIQ($B$1,"IQ_CAPEX","IQ_FQ-5"))</f>
        <v>152.23400000000001</v>
      </c>
      <c r="D208" s="8">
        <f t="shared" si="7"/>
        <v>152.23400000000001</v>
      </c>
      <c r="E208" s="6" t="s">
        <v>38</v>
      </c>
    </row>
    <row r="209" spans="1:5" x14ac:dyDescent="0.4">
      <c r="A209" s="6" t="s">
        <v>37</v>
      </c>
      <c r="B209" s="6" t="s">
        <v>52</v>
      </c>
      <c r="C209" s="7">
        <f>ABS(_xll.ciqfunctions.udf.CIQ($B$1,"IQ_CAPEX","IQ_FQ-6"))</f>
        <v>154.53299999999999</v>
      </c>
      <c r="D209" s="8">
        <f t="shared" si="7"/>
        <v>154.53299999999999</v>
      </c>
      <c r="E209" s="6" t="s">
        <v>38</v>
      </c>
    </row>
    <row r="210" spans="1:5" x14ac:dyDescent="0.4">
      <c r="A210" s="6" t="s">
        <v>37</v>
      </c>
      <c r="B210" s="6" t="s">
        <v>53</v>
      </c>
      <c r="C210" s="7">
        <f>ABS(_xll.ciqfunctions.udf.CIQ($B$1,"IQ_CAPEX","IQ_FQ-7"))</f>
        <v>204.423</v>
      </c>
      <c r="D210" s="8">
        <f t="shared" si="7"/>
        <v>204.423</v>
      </c>
      <c r="E210" s="6" t="s">
        <v>38</v>
      </c>
    </row>
    <row r="211" spans="1:5" x14ac:dyDescent="0.4">
      <c r="A211" s="6" t="s">
        <v>39</v>
      </c>
      <c r="B211" s="6" t="s">
        <v>46</v>
      </c>
      <c r="C211" s="7">
        <f>ABS(_xll.ciqfunctions.udf.CIQ($B$1,"IQ_OPERATING_LEASE_PAYMENTS","IQ_FQ-0"))</f>
        <v>26.53</v>
      </c>
      <c r="D211" s="8">
        <f t="shared" si="7"/>
        <v>26.53</v>
      </c>
      <c r="E211" s="6" t="s">
        <v>40</v>
      </c>
    </row>
    <row r="212" spans="1:5" x14ac:dyDescent="0.4">
      <c r="A212" s="6" t="s">
        <v>39</v>
      </c>
      <c r="B212" s="6" t="s">
        <v>47</v>
      </c>
      <c r="C212" s="7">
        <f>ABS(_xll.ciqfunctions.udf.CIQ($B$1,"IQ_OPERATING_LEASE_PAYMENTS","IQ_FQ-1"))</f>
        <v>0</v>
      </c>
      <c r="D212" s="8">
        <f t="shared" si="7"/>
        <v>0</v>
      </c>
      <c r="E212" s="6" t="s">
        <v>40</v>
      </c>
    </row>
    <row r="213" spans="1:5" x14ac:dyDescent="0.4">
      <c r="A213" s="6" t="s">
        <v>39</v>
      </c>
      <c r="B213" s="6" t="s">
        <v>48</v>
      </c>
      <c r="C213" s="7">
        <f>ABS(_xll.ciqfunctions.udf.CIQ($B$1,"IQ_OPERATING_LEASE_PAYMENTS","IQ_FQ-2"))</f>
        <v>0</v>
      </c>
      <c r="D213" s="8">
        <f t="shared" si="7"/>
        <v>0</v>
      </c>
      <c r="E213" s="6" t="s">
        <v>40</v>
      </c>
    </row>
    <row r="214" spans="1:5" x14ac:dyDescent="0.4">
      <c r="A214" s="6" t="s">
        <v>39</v>
      </c>
      <c r="B214" s="6" t="s">
        <v>49</v>
      </c>
      <c r="C214" s="7">
        <f>ABS(_xll.ciqfunctions.udf.CIQ($B$1,"IQ_OPERATING_LEASE_PAYMENTS","IQ_FQ-3"))</f>
        <v>29.135000000000002</v>
      </c>
      <c r="D214" s="8">
        <f t="shared" si="7"/>
        <v>29.135000000000002</v>
      </c>
      <c r="E214" s="6" t="s">
        <v>40</v>
      </c>
    </row>
    <row r="215" spans="1:5" x14ac:dyDescent="0.4">
      <c r="A215" s="6" t="s">
        <v>39</v>
      </c>
      <c r="B215" s="6" t="s">
        <v>50</v>
      </c>
      <c r="C215" s="7">
        <f>ABS(_xll.ciqfunctions.udf.CIQ($B$1,"IQ_OPERATING_LEASE_PAYMENTS","IQ_FQ-4"))</f>
        <v>29.678000000000001</v>
      </c>
      <c r="D215" s="8">
        <f t="shared" si="7"/>
        <v>29.678000000000001</v>
      </c>
      <c r="E215" s="6" t="s">
        <v>40</v>
      </c>
    </row>
    <row r="216" spans="1:5" x14ac:dyDescent="0.4">
      <c r="A216" s="6" t="s">
        <v>39</v>
      </c>
      <c r="B216" s="6" t="s">
        <v>51</v>
      </c>
      <c r="C216" s="7">
        <f>ABS(_xll.ciqfunctions.udf.CIQ($B$1,"IQ_OPERATING_LEASE_PAYMENTS","IQ_FQ-5"))</f>
        <v>27.587</v>
      </c>
      <c r="D216" s="8">
        <f t="shared" si="7"/>
        <v>27.587</v>
      </c>
      <c r="E216" s="6" t="s">
        <v>40</v>
      </c>
    </row>
    <row r="217" spans="1:5" x14ac:dyDescent="0.4">
      <c r="A217" s="6" t="s">
        <v>39</v>
      </c>
      <c r="B217" s="6" t="s">
        <v>52</v>
      </c>
      <c r="C217" s="7">
        <f>ABS(_xll.ciqfunctions.udf.CIQ($B$1,"IQ_OPERATING_LEASE_PAYMENTS","IQ_FQ-6"))</f>
        <v>34.670999999999999</v>
      </c>
      <c r="D217" s="8">
        <f t="shared" si="7"/>
        <v>34.670999999999999</v>
      </c>
      <c r="E217" s="6" t="s">
        <v>40</v>
      </c>
    </row>
    <row r="218" spans="1:5" x14ac:dyDescent="0.4">
      <c r="A218" s="6" t="s">
        <v>39</v>
      </c>
      <c r="B218" s="6" t="s">
        <v>53</v>
      </c>
      <c r="C218" s="7">
        <f>ABS(_xll.ciqfunctions.udf.CIQ($B$1,"IQ_OPERATING_LEASE_PAYMENTS","IQ_FQ-7"))</f>
        <v>39.238999999999997</v>
      </c>
      <c r="D218" s="8">
        <f t="shared" si="7"/>
        <v>39.238999999999997</v>
      </c>
      <c r="E218" s="6" t="s">
        <v>40</v>
      </c>
    </row>
    <row r="219" spans="1:5" x14ac:dyDescent="0.4">
      <c r="A219" s="6" t="s">
        <v>41</v>
      </c>
      <c r="B219" s="6" t="s">
        <v>46</v>
      </c>
      <c r="C219" s="7">
        <f>_xll.ciqfunctions.udf.CIQ($B$1,"IQ_EBT_EXCL","IQ_FQ-0")</f>
        <v>818.18499999999995</v>
      </c>
      <c r="D219" s="8">
        <f t="shared" si="7"/>
        <v>818.18499999999995</v>
      </c>
      <c r="E219" s="6" t="s">
        <v>42</v>
      </c>
    </row>
    <row r="220" spans="1:5" x14ac:dyDescent="0.4">
      <c r="A220" s="6" t="s">
        <v>41</v>
      </c>
      <c r="B220" s="6" t="s">
        <v>47</v>
      </c>
      <c r="C220" s="7">
        <f>_xll.ciqfunctions.udf.CIQ($B$1,"IQ_EBT_EXCL","IQ_FQ-1")</f>
        <v>494.28500000000003</v>
      </c>
      <c r="D220" s="8">
        <f t="shared" si="7"/>
        <v>494.28500000000003</v>
      </c>
      <c r="E220" s="6" t="s">
        <v>42</v>
      </c>
    </row>
    <row r="221" spans="1:5" x14ac:dyDescent="0.4">
      <c r="A221" s="6" t="s">
        <v>41</v>
      </c>
      <c r="B221" s="6" t="s">
        <v>48</v>
      </c>
      <c r="C221" s="7">
        <f>_xll.ciqfunctions.udf.CIQ($B$1,"IQ_EBT_EXCL","IQ_FQ-2")</f>
        <v>622</v>
      </c>
      <c r="D221" s="8">
        <f t="shared" si="7"/>
        <v>622</v>
      </c>
      <c r="E221" s="6" t="s">
        <v>42</v>
      </c>
    </row>
    <row r="222" spans="1:5" x14ac:dyDescent="0.4">
      <c r="A222" s="6" t="s">
        <v>41</v>
      </c>
      <c r="B222" s="6" t="s">
        <v>49</v>
      </c>
      <c r="C222" s="7">
        <f>_xll.ciqfunctions.udf.CIQ($B$1,"IQ_EBT_EXCL","IQ_FQ-3")</f>
        <v>181.29400000000001</v>
      </c>
      <c r="D222" s="8">
        <f t="shared" si="7"/>
        <v>181.29400000000001</v>
      </c>
      <c r="E222" s="6" t="s">
        <v>42</v>
      </c>
    </row>
    <row r="223" spans="1:5" x14ac:dyDescent="0.4">
      <c r="A223" s="6" t="s">
        <v>41</v>
      </c>
      <c r="B223" s="6" t="s">
        <v>50</v>
      </c>
      <c r="C223" s="7">
        <f>_xll.ciqfunctions.udf.CIQ($B$1,"IQ_EBT_EXCL","IQ_FQ-4")</f>
        <v>516.99099999999999</v>
      </c>
      <c r="D223" s="8">
        <f t="shared" si="7"/>
        <v>516.99099999999999</v>
      </c>
      <c r="E223" s="6" t="s">
        <v>42</v>
      </c>
    </row>
    <row r="224" spans="1:5" x14ac:dyDescent="0.4">
      <c r="A224" s="6" t="s">
        <v>41</v>
      </c>
      <c r="B224" s="6" t="s">
        <v>51</v>
      </c>
      <c r="C224" s="7">
        <f>_xll.ciqfunctions.udf.CIQ($B$1,"IQ_EBT_EXCL","IQ_FQ-5")</f>
        <v>473.18599999999998</v>
      </c>
      <c r="D224" s="8">
        <f t="shared" si="7"/>
        <v>473.18599999999998</v>
      </c>
      <c r="E224" s="6" t="s">
        <v>42</v>
      </c>
    </row>
    <row r="225" spans="1:5" x14ac:dyDescent="0.4">
      <c r="A225" s="6" t="s">
        <v>41</v>
      </c>
      <c r="B225" s="6" t="s">
        <v>52</v>
      </c>
      <c r="C225" s="7">
        <f>_xll.ciqfunctions.udf.CIQ($B$1,"IQ_EBT_EXCL","IQ_FQ-6")</f>
        <v>312.995</v>
      </c>
      <c r="D225" s="8">
        <f t="shared" si="7"/>
        <v>312.995</v>
      </c>
      <c r="E225" s="6" t="s">
        <v>42</v>
      </c>
    </row>
    <row r="226" spans="1:5" x14ac:dyDescent="0.4">
      <c r="A226" s="6" t="s">
        <v>41</v>
      </c>
      <c r="B226" s="6" t="s">
        <v>53</v>
      </c>
      <c r="C226" s="7">
        <f>_xll.ciqfunctions.udf.CIQ($B$1,"IQ_EBT_EXCL","IQ_FQ-7")</f>
        <v>312.14400000000001</v>
      </c>
      <c r="D226" s="8">
        <f t="shared" si="7"/>
        <v>312.14400000000001</v>
      </c>
      <c r="E226" s="6" t="s">
        <v>42</v>
      </c>
    </row>
    <row r="227" spans="1:5" x14ac:dyDescent="0.4">
      <c r="A227" s="6" t="s">
        <v>43</v>
      </c>
      <c r="B227" s="6" t="s">
        <v>46</v>
      </c>
      <c r="C227" s="7">
        <f>_xll.ciqfunctions.udf.CIQ($B$1,"IQ_INC_TAX","IQ_FQ-0")</f>
        <v>170.215</v>
      </c>
      <c r="D227" s="8">
        <f t="shared" si="7"/>
        <v>170.215</v>
      </c>
      <c r="E227" s="6" t="s">
        <v>44</v>
      </c>
    </row>
    <row r="228" spans="1:5" x14ac:dyDescent="0.4">
      <c r="A228" s="6" t="s">
        <v>43</v>
      </c>
      <c r="B228" s="6" t="s">
        <v>47</v>
      </c>
      <c r="C228" s="7">
        <f>_xll.ciqfunctions.udf.CIQ($B$1,"IQ_INC_TAX","IQ_FQ-1")</f>
        <v>113.99299999999999</v>
      </c>
      <c r="D228" s="8">
        <f t="shared" si="7"/>
        <v>113.99299999999999</v>
      </c>
      <c r="E228" s="6" t="s">
        <v>44</v>
      </c>
    </row>
    <row r="229" spans="1:5" x14ac:dyDescent="0.4">
      <c r="A229" s="6" t="s">
        <v>43</v>
      </c>
      <c r="B229" s="6" t="s">
        <v>48</v>
      </c>
      <c r="C229" s="7">
        <f>_xll.ciqfunctions.udf.CIQ($B$1,"IQ_INC_TAX","IQ_FQ-2")</f>
        <v>84</v>
      </c>
      <c r="D229" s="8">
        <f t="shared" si="7"/>
        <v>84</v>
      </c>
      <c r="E229" s="6" t="s">
        <v>44</v>
      </c>
    </row>
    <row r="230" spans="1:5" x14ac:dyDescent="0.4">
      <c r="A230" s="6" t="s">
        <v>43</v>
      </c>
      <c r="B230" s="6" t="s">
        <v>49</v>
      </c>
      <c r="C230" s="7">
        <f>_xll.ciqfunctions.udf.CIQ($B$1,"IQ_INC_TAX","IQ_FQ-3")</f>
        <v>53.28</v>
      </c>
      <c r="D230" s="8">
        <f t="shared" si="7"/>
        <v>53.28</v>
      </c>
      <c r="E230" s="6" t="s">
        <v>44</v>
      </c>
    </row>
    <row r="231" spans="1:5" x14ac:dyDescent="0.4">
      <c r="A231" s="6" t="s">
        <v>43</v>
      </c>
      <c r="B231" s="6" t="s">
        <v>50</v>
      </c>
      <c r="C231" s="7">
        <f>_xll.ciqfunctions.udf.CIQ($B$1,"IQ_INC_TAX","IQ_FQ-4")</f>
        <v>-183.77199999999999</v>
      </c>
      <c r="D231" s="8">
        <f t="shared" si="7"/>
        <v>-183.77199999999999</v>
      </c>
      <c r="E231" s="6" t="s">
        <v>44</v>
      </c>
    </row>
    <row r="232" spans="1:5" x14ac:dyDescent="0.4">
      <c r="A232" s="6" t="s">
        <v>43</v>
      </c>
      <c r="B232" s="6" t="s">
        <v>51</v>
      </c>
      <c r="C232" s="7">
        <f>_xll.ciqfunctions.udf.CIQ($B$1,"IQ_INC_TAX","IQ_FQ-5")</f>
        <v>89.91</v>
      </c>
      <c r="D232" s="8">
        <f t="shared" si="7"/>
        <v>89.91</v>
      </c>
      <c r="E232" s="6" t="s">
        <v>44</v>
      </c>
    </row>
    <row r="233" spans="1:5" x14ac:dyDescent="0.4">
      <c r="A233" s="6" t="s">
        <v>43</v>
      </c>
      <c r="B233" s="6" t="s">
        <v>52</v>
      </c>
      <c r="C233" s="7">
        <f>_xll.ciqfunctions.udf.CIQ($B$1,"IQ_INC_TAX","IQ_FQ-6")</f>
        <v>59.5</v>
      </c>
      <c r="D233" s="8">
        <f t="shared" si="7"/>
        <v>59.5</v>
      </c>
      <c r="E233" s="6" t="s">
        <v>44</v>
      </c>
    </row>
    <row r="234" spans="1:5" x14ac:dyDescent="0.4">
      <c r="A234" s="6" t="s">
        <v>43</v>
      </c>
      <c r="B234" s="6" t="s">
        <v>53</v>
      </c>
      <c r="C234" s="7">
        <f>_xll.ciqfunctions.udf.CIQ($B$1,"IQ_INC_TAX","IQ_FQ-7")</f>
        <v>55.633000000000003</v>
      </c>
      <c r="D234" s="8">
        <f t="shared" si="7"/>
        <v>55.633000000000003</v>
      </c>
      <c r="E234" s="6" t="s">
        <v>44</v>
      </c>
    </row>
    <row r="235" spans="1:5" x14ac:dyDescent="0.4">
      <c r="A235" s="9" t="s">
        <v>54</v>
      </c>
      <c r="B235" s="10"/>
      <c r="C235" s="10"/>
      <c r="D235" s="10"/>
      <c r="E235" s="10"/>
    </row>
    <row r="236" spans="1:5" x14ac:dyDescent="0.4">
      <c r="A236" s="6" t="s">
        <v>55</v>
      </c>
      <c r="B236" s="6" t="s">
        <v>11</v>
      </c>
      <c r="C236" s="7">
        <f>_xll.ciqfunctions.udf.CIQ($B$1,"IQ_CASH_EQUIV","IQ_FY-0")</f>
        <v>4728.1239999999998</v>
      </c>
      <c r="D236" s="8">
        <f t="shared" ref="D236:D267" si="8">C236</f>
        <v>4728.1239999999998</v>
      </c>
      <c r="E236" s="6" t="s">
        <v>56</v>
      </c>
    </row>
    <row r="237" spans="1:5" x14ac:dyDescent="0.4">
      <c r="A237" s="6" t="s">
        <v>55</v>
      </c>
      <c r="B237" s="6" t="s">
        <v>13</v>
      </c>
      <c r="C237" s="7">
        <f>_xll.ciqfunctions.udf.CIQ($B$1,"IQ_CASH_EQUIV","IQ_FY-1")</f>
        <v>3559.8310000000001</v>
      </c>
      <c r="D237" s="8">
        <f t="shared" si="8"/>
        <v>3559.8310000000001</v>
      </c>
      <c r="E237" s="6" t="s">
        <v>56</v>
      </c>
    </row>
    <row r="238" spans="1:5" x14ac:dyDescent="0.4">
      <c r="A238" s="6" t="s">
        <v>55</v>
      </c>
      <c r="B238" s="6" t="s">
        <v>14</v>
      </c>
      <c r="C238" s="7">
        <f>_xll.ciqfunctions.udf.CIQ($B$1,"IQ_CASH_EQUIV","IQ_FY-2")</f>
        <v>4250.085</v>
      </c>
      <c r="D238" s="8">
        <f t="shared" si="8"/>
        <v>4250.085</v>
      </c>
      <c r="E238" s="6" t="s">
        <v>56</v>
      </c>
    </row>
    <row r="239" spans="1:5" x14ac:dyDescent="0.4">
      <c r="A239" s="6" t="s">
        <v>55</v>
      </c>
      <c r="B239" s="6" t="s">
        <v>15</v>
      </c>
      <c r="C239" s="7">
        <f>_xll.ciqfunctions.udf.CIQ($B$1,"IQ_CASH_EQUIV","IQ_FY-3")</f>
        <v>3930.2869999999998</v>
      </c>
      <c r="D239" s="8">
        <f t="shared" si="8"/>
        <v>3930.2869999999998</v>
      </c>
      <c r="E239" s="6" t="s">
        <v>56</v>
      </c>
    </row>
    <row r="240" spans="1:5" x14ac:dyDescent="0.4">
      <c r="A240" s="6" t="s">
        <v>55</v>
      </c>
      <c r="B240" s="6" t="s">
        <v>16</v>
      </c>
      <c r="C240" s="7">
        <f>_xll.ciqfunctions.udf.CIQ($B$1,"IQ_CASH_EQUIV","IQ_FY-4")</f>
        <v>3068.3850000000002</v>
      </c>
      <c r="D240" s="8">
        <f t="shared" si="8"/>
        <v>3068.3850000000002</v>
      </c>
      <c r="E240" s="6" t="s">
        <v>56</v>
      </c>
    </row>
    <row r="241" spans="1:5" x14ac:dyDescent="0.4">
      <c r="A241" s="6" t="s">
        <v>55</v>
      </c>
      <c r="B241" s="6" t="s">
        <v>17</v>
      </c>
      <c r="C241" s="7">
        <f>_xll.ciqfunctions.udf.CIQ($B$1,"IQ_CASH_EQUIV","IQ_FY-5")</f>
        <v>3550.99</v>
      </c>
      <c r="D241" s="8">
        <f t="shared" si="8"/>
        <v>3550.99</v>
      </c>
      <c r="E241" s="6" t="s">
        <v>56</v>
      </c>
    </row>
    <row r="242" spans="1:5" x14ac:dyDescent="0.4">
      <c r="A242" s="6" t="s">
        <v>55</v>
      </c>
      <c r="B242" s="6" t="s">
        <v>18</v>
      </c>
      <c r="C242" s="7">
        <f>_xll.ciqfunctions.udf.CIQ($B$1,"IQ_CASH_EQUIV","IQ_FY-6")</f>
        <v>2662.8539999999998</v>
      </c>
      <c r="D242" s="8">
        <f t="shared" si="8"/>
        <v>2662.8539999999998</v>
      </c>
      <c r="E242" s="6" t="s">
        <v>56</v>
      </c>
    </row>
    <row r="243" spans="1:5" x14ac:dyDescent="0.4">
      <c r="A243" s="6" t="s">
        <v>55</v>
      </c>
      <c r="B243" s="6" t="s">
        <v>19</v>
      </c>
      <c r="C243" s="7">
        <f>_xll.ciqfunctions.udf.CIQ($B$1,"IQ_CASH_EQUIV","IQ_FY-7")</f>
        <v>1848.0170000000001</v>
      </c>
      <c r="D243" s="8">
        <f t="shared" si="8"/>
        <v>1848.0170000000001</v>
      </c>
      <c r="E243" s="6" t="s">
        <v>56</v>
      </c>
    </row>
    <row r="244" spans="1:5" x14ac:dyDescent="0.4">
      <c r="A244" s="6" t="s">
        <v>55</v>
      </c>
      <c r="B244" s="6" t="s">
        <v>20</v>
      </c>
      <c r="C244" s="7">
        <f>_xll.ciqfunctions.udf.CIQ($B$1,"IQ_CASH_EQUIV","IQ_FY-8")</f>
        <v>2754.5990000000002</v>
      </c>
      <c r="D244" s="8">
        <f t="shared" si="8"/>
        <v>2754.5990000000002</v>
      </c>
      <c r="E244" s="6" t="s">
        <v>56</v>
      </c>
    </row>
    <row r="245" spans="1:5" x14ac:dyDescent="0.4">
      <c r="A245" s="6" t="s">
        <v>55</v>
      </c>
      <c r="B245" s="6" t="s">
        <v>21</v>
      </c>
      <c r="C245" s="7">
        <f>_xll.ciqfunctions.udf.CIQ($B$1,"IQ_CASH_EQUIV","IQ_FY-9")</f>
        <v>1926.88</v>
      </c>
      <c r="D245" s="8">
        <f t="shared" si="8"/>
        <v>1926.88</v>
      </c>
      <c r="E245" s="6" t="s">
        <v>56</v>
      </c>
    </row>
    <row r="246" spans="1:5" x14ac:dyDescent="0.4">
      <c r="A246" s="6" t="s">
        <v>55</v>
      </c>
      <c r="B246" s="6" t="s">
        <v>22</v>
      </c>
      <c r="C246" s="7">
        <f>_xll.ciqfunctions.udf.CIQ($B$1,"IQ_CASH_EQUIV","IQ_FY-10")</f>
        <v>2855.223</v>
      </c>
      <c r="D246" s="8">
        <f t="shared" si="8"/>
        <v>2855.223</v>
      </c>
      <c r="E246" s="6" t="s">
        <v>56</v>
      </c>
    </row>
    <row r="247" spans="1:5" x14ac:dyDescent="0.4">
      <c r="A247" s="6" t="s">
        <v>57</v>
      </c>
      <c r="B247" s="6" t="s">
        <v>11</v>
      </c>
      <c r="C247" s="7">
        <f>_xll.ciqfunctions.udf.CIQ($B$1,"IQ_TOTAL_EQUITY","IQ_FY-0")</f>
        <v>6659.9170000000004</v>
      </c>
      <c r="D247" s="8">
        <f t="shared" si="8"/>
        <v>6659.9170000000004</v>
      </c>
      <c r="E247" s="6" t="s">
        <v>58</v>
      </c>
    </row>
    <row r="248" spans="1:5" x14ac:dyDescent="0.4">
      <c r="A248" s="6" t="s">
        <v>57</v>
      </c>
      <c r="B248" s="6" t="s">
        <v>13</v>
      </c>
      <c r="C248" s="7">
        <f>_xll.ciqfunctions.udf.CIQ($B$1,"IQ_TOTAL_EQUITY","IQ_FY-1")</f>
        <v>6081.1869999999999</v>
      </c>
      <c r="D248" s="8">
        <f t="shared" si="8"/>
        <v>6081.1869999999999</v>
      </c>
      <c r="E248" s="6" t="s">
        <v>58</v>
      </c>
    </row>
    <row r="249" spans="1:5" x14ac:dyDescent="0.4">
      <c r="A249" s="6" t="s">
        <v>57</v>
      </c>
      <c r="B249" s="6" t="s">
        <v>14</v>
      </c>
      <c r="C249" s="7">
        <f>_xll.ciqfunctions.udf.CIQ($B$1,"IQ_TOTAL_EQUITY","IQ_FY-2")</f>
        <v>6047.0209999999997</v>
      </c>
      <c r="D249" s="8">
        <f t="shared" si="8"/>
        <v>6047.0209999999997</v>
      </c>
      <c r="E249" s="6" t="s">
        <v>58</v>
      </c>
    </row>
    <row r="250" spans="1:5" x14ac:dyDescent="0.4">
      <c r="A250" s="6" t="s">
        <v>57</v>
      </c>
      <c r="B250" s="6" t="s">
        <v>15</v>
      </c>
      <c r="C250" s="7">
        <f>_xll.ciqfunctions.udf.CIQ($B$1,"IQ_TOTAL_EQUITY","IQ_FY-3")</f>
        <v>5394.701</v>
      </c>
      <c r="D250" s="8">
        <f t="shared" si="8"/>
        <v>5394.701</v>
      </c>
      <c r="E250" s="6" t="s">
        <v>58</v>
      </c>
    </row>
    <row r="251" spans="1:5" x14ac:dyDescent="0.4">
      <c r="A251" s="6" t="s">
        <v>57</v>
      </c>
      <c r="B251" s="6" t="s">
        <v>16</v>
      </c>
      <c r="C251" s="7">
        <f>_xll.ciqfunctions.udf.CIQ($B$1,"IQ_TOTAL_EQUITY","IQ_FY-4")</f>
        <v>3610.5329999999999</v>
      </c>
      <c r="D251" s="8">
        <f t="shared" si="8"/>
        <v>3610.5329999999999</v>
      </c>
      <c r="E251" s="6" t="s">
        <v>58</v>
      </c>
    </row>
    <row r="252" spans="1:5" x14ac:dyDescent="0.4">
      <c r="A252" s="6" t="s">
        <v>57</v>
      </c>
      <c r="B252" s="6" t="s">
        <v>17</v>
      </c>
      <c r="C252" s="7">
        <f>_xll.ciqfunctions.udf.CIQ($B$1,"IQ_TOTAL_EQUITY","IQ_FY-5")</f>
        <v>4059.2950000000001</v>
      </c>
      <c r="D252" s="8">
        <f t="shared" si="8"/>
        <v>4059.2950000000001</v>
      </c>
      <c r="E252" s="6" t="s">
        <v>58</v>
      </c>
    </row>
    <row r="253" spans="1:5" x14ac:dyDescent="0.4">
      <c r="A253" s="6" t="s">
        <v>57</v>
      </c>
      <c r="B253" s="6" t="s">
        <v>18</v>
      </c>
      <c r="C253" s="7">
        <f>_xll.ciqfunctions.udf.CIQ($B$1,"IQ_TOTAL_EQUITY","IQ_FY-6")</f>
        <v>4097.0630000000001</v>
      </c>
      <c r="D253" s="8">
        <f t="shared" si="8"/>
        <v>4097.0630000000001</v>
      </c>
      <c r="E253" s="6" t="s">
        <v>58</v>
      </c>
    </row>
    <row r="254" spans="1:5" x14ac:dyDescent="0.4">
      <c r="A254" s="6" t="s">
        <v>57</v>
      </c>
      <c r="B254" s="6" t="s">
        <v>19</v>
      </c>
      <c r="C254" s="7">
        <f>_xll.ciqfunctions.udf.CIQ($B$1,"IQ_TOTAL_EQUITY","IQ_FY-7")</f>
        <v>4545.9880000000003</v>
      </c>
      <c r="D254" s="8">
        <f t="shared" si="8"/>
        <v>4545.9880000000003</v>
      </c>
      <c r="E254" s="6" t="s">
        <v>58</v>
      </c>
    </row>
    <row r="255" spans="1:5" x14ac:dyDescent="0.4">
      <c r="A255" s="6" t="s">
        <v>57</v>
      </c>
      <c r="B255" s="6" t="s">
        <v>20</v>
      </c>
      <c r="C255" s="7">
        <f>_xll.ciqfunctions.udf.CIQ($B$1,"IQ_TOTAL_EQUITY","IQ_FY-8")</f>
        <v>4095.2220000000002</v>
      </c>
      <c r="D255" s="8">
        <f t="shared" si="8"/>
        <v>4095.2220000000002</v>
      </c>
      <c r="E255" s="6" t="s">
        <v>58</v>
      </c>
    </row>
    <row r="256" spans="1:5" x14ac:dyDescent="0.4">
      <c r="A256" s="6" t="s">
        <v>57</v>
      </c>
      <c r="B256" s="6" t="s">
        <v>21</v>
      </c>
      <c r="C256" s="7">
        <f>_xll.ciqfunctions.udf.CIQ($B$1,"IQ_TOTAL_EQUITY","IQ_FY-9")</f>
        <v>3026.2489999999998</v>
      </c>
      <c r="D256" s="8">
        <f t="shared" si="8"/>
        <v>3026.2489999999998</v>
      </c>
      <c r="E256" s="6" t="s">
        <v>58</v>
      </c>
    </row>
    <row r="257" spans="1:5" x14ac:dyDescent="0.4">
      <c r="A257" s="6" t="s">
        <v>57</v>
      </c>
      <c r="B257" s="6" t="s">
        <v>22</v>
      </c>
      <c r="C257" s="7">
        <f>_xll.ciqfunctions.udf.CIQ($B$1,"IQ_TOTAL_EQUITY","IQ_FY-10")</f>
        <v>4106.1210000000001</v>
      </c>
      <c r="D257" s="8">
        <f t="shared" si="8"/>
        <v>4106.1210000000001</v>
      </c>
      <c r="E257" s="6" t="s">
        <v>58</v>
      </c>
    </row>
    <row r="258" spans="1:5" x14ac:dyDescent="0.4">
      <c r="A258" s="6" t="s">
        <v>59</v>
      </c>
      <c r="B258" s="6" t="s">
        <v>11</v>
      </c>
      <c r="C258" s="7">
        <f>_xll.ciqfunctions.udf.CIQ($B$1,"IQ_TOTAL_DEBT","IQ_FY-0")</f>
        <v>5732.9579999999996</v>
      </c>
      <c r="D258" s="8">
        <f t="shared" si="8"/>
        <v>5732.9579999999996</v>
      </c>
      <c r="E258" s="6" t="s">
        <v>60</v>
      </c>
    </row>
    <row r="259" spans="1:5" x14ac:dyDescent="0.4">
      <c r="A259" s="6" t="s">
        <v>59</v>
      </c>
      <c r="B259" s="6" t="s">
        <v>13</v>
      </c>
      <c r="C259" s="7">
        <f>_xll.ciqfunctions.udf.CIQ($B$1,"IQ_TOTAL_DEBT","IQ_FY-1")</f>
        <v>3961.6889999999999</v>
      </c>
      <c r="D259" s="8">
        <f t="shared" si="8"/>
        <v>3961.6889999999999</v>
      </c>
      <c r="E259" s="6" t="s">
        <v>60</v>
      </c>
    </row>
    <row r="260" spans="1:5" x14ac:dyDescent="0.4">
      <c r="A260" s="6" t="s">
        <v>59</v>
      </c>
      <c r="B260" s="6" t="s">
        <v>14</v>
      </c>
      <c r="C260" s="7">
        <f>_xll.ciqfunctions.udf.CIQ($B$1,"IQ_TOTAL_DEBT","IQ_FY-2")</f>
        <v>4359.3500000000004</v>
      </c>
      <c r="D260" s="8">
        <f t="shared" si="8"/>
        <v>4359.3500000000004</v>
      </c>
      <c r="E260" s="6" t="s">
        <v>60</v>
      </c>
    </row>
    <row r="261" spans="1:5" x14ac:dyDescent="0.4">
      <c r="A261" s="6" t="s">
        <v>59</v>
      </c>
      <c r="B261" s="6" t="s">
        <v>15</v>
      </c>
      <c r="C261" s="7">
        <f>_xll.ciqfunctions.udf.CIQ($B$1,"IQ_TOTAL_DEBT","IQ_FY-3")</f>
        <v>3829.2669999999998</v>
      </c>
      <c r="D261" s="8">
        <f t="shared" si="8"/>
        <v>3829.2669999999998</v>
      </c>
      <c r="E261" s="6" t="s">
        <v>60</v>
      </c>
    </row>
    <row r="262" spans="1:5" x14ac:dyDescent="0.4">
      <c r="A262" s="6" t="s">
        <v>59</v>
      </c>
      <c r="B262" s="6" t="s">
        <v>16</v>
      </c>
      <c r="C262" s="7">
        <f>_xll.ciqfunctions.udf.CIQ($B$1,"IQ_TOTAL_DEBT","IQ_FY-4")</f>
        <v>4464.7790000000005</v>
      </c>
      <c r="D262" s="8">
        <f t="shared" si="8"/>
        <v>4464.7790000000005</v>
      </c>
      <c r="E262" s="6" t="s">
        <v>60</v>
      </c>
    </row>
    <row r="263" spans="1:5" x14ac:dyDescent="0.4">
      <c r="A263" s="6" t="s">
        <v>59</v>
      </c>
      <c r="B263" s="6" t="s">
        <v>17</v>
      </c>
      <c r="C263" s="7">
        <f>_xll.ciqfunctions.udf.CIQ($B$1,"IQ_TOTAL_DEBT","IQ_FY-5")</f>
        <v>5298.3810000000003</v>
      </c>
      <c r="D263" s="8">
        <f t="shared" si="8"/>
        <v>5298.3810000000003</v>
      </c>
      <c r="E263" s="6" t="s">
        <v>60</v>
      </c>
    </row>
    <row r="264" spans="1:5" x14ac:dyDescent="0.4">
      <c r="A264" s="6" t="s">
        <v>59</v>
      </c>
      <c r="B264" s="6" t="s">
        <v>18</v>
      </c>
      <c r="C264" s="7">
        <f>_xll.ciqfunctions.udf.CIQ($B$1,"IQ_TOTAL_DEBT","IQ_FY-6")</f>
        <v>4379.8130000000001</v>
      </c>
      <c r="D264" s="8">
        <f t="shared" si="8"/>
        <v>4379.8130000000001</v>
      </c>
      <c r="E264" s="6" t="s">
        <v>60</v>
      </c>
    </row>
    <row r="265" spans="1:5" x14ac:dyDescent="0.4">
      <c r="A265" s="6" t="s">
        <v>59</v>
      </c>
      <c r="B265" s="6" t="s">
        <v>19</v>
      </c>
      <c r="C265" s="7">
        <f>_xll.ciqfunctions.udf.CIQ($B$1,"IQ_TOTAL_DEBT","IQ_FY-7")</f>
        <v>3815.4169999999999</v>
      </c>
      <c r="D265" s="8">
        <f t="shared" si="8"/>
        <v>3815.4169999999999</v>
      </c>
      <c r="E265" s="6" t="s">
        <v>60</v>
      </c>
    </row>
    <row r="266" spans="1:5" x14ac:dyDescent="0.4">
      <c r="A266" s="6" t="s">
        <v>59</v>
      </c>
      <c r="B266" s="6" t="s">
        <v>20</v>
      </c>
      <c r="C266" s="7">
        <f>_xll.ciqfunctions.udf.CIQ($B$1,"IQ_TOTAL_DEBT","IQ_FY-8")</f>
        <v>3036.6950000000002</v>
      </c>
      <c r="D266" s="8">
        <f t="shared" si="8"/>
        <v>3036.6950000000002</v>
      </c>
      <c r="E266" s="6" t="s">
        <v>60</v>
      </c>
    </row>
    <row r="267" spans="1:5" x14ac:dyDescent="0.4">
      <c r="A267" s="6" t="s">
        <v>59</v>
      </c>
      <c r="B267" s="6" t="s">
        <v>21</v>
      </c>
      <c r="C267" s="7">
        <f>_xll.ciqfunctions.udf.CIQ($B$1,"IQ_TOTAL_DEBT","IQ_FY-9")</f>
        <v>3250.9270000000001</v>
      </c>
      <c r="D267" s="8">
        <f t="shared" si="8"/>
        <v>3250.9270000000001</v>
      </c>
      <c r="E267" s="6" t="s">
        <v>60</v>
      </c>
    </row>
    <row r="268" spans="1:5" x14ac:dyDescent="0.4">
      <c r="A268" s="6" t="s">
        <v>59</v>
      </c>
      <c r="B268" s="6" t="s">
        <v>22</v>
      </c>
      <c r="C268" s="7">
        <f>_xll.ciqfunctions.udf.CIQ($B$1,"IQ_TOTAL_DEBT","IQ_FY-10")</f>
        <v>3054.1219999999998</v>
      </c>
      <c r="D268" s="8">
        <f t="shared" ref="D268:D299" si="9">C268</f>
        <v>3054.1219999999998</v>
      </c>
      <c r="E268" s="6" t="s">
        <v>60</v>
      </c>
    </row>
    <row r="269" spans="1:5" x14ac:dyDescent="0.4">
      <c r="A269" s="6" t="s">
        <v>61</v>
      </c>
      <c r="B269" s="6" t="s">
        <v>11</v>
      </c>
      <c r="C269" s="7">
        <f>_xll.ciqfunctions.udf.CIQ($B$1,"IQ_TOTAL_OUTSTANDING_FILING_DATE","IQ_FY-0")</f>
        <v>12404.659299999999</v>
      </c>
      <c r="D269" s="8">
        <f t="shared" si="9"/>
        <v>12404.659299999999</v>
      </c>
      <c r="E269" s="6" t="s">
        <v>62</v>
      </c>
    </row>
    <row r="270" spans="1:5" x14ac:dyDescent="0.4">
      <c r="A270" s="6" t="s">
        <v>61</v>
      </c>
      <c r="B270" s="6" t="s">
        <v>13</v>
      </c>
      <c r="C270" s="7">
        <f>_xll.ciqfunctions.udf.CIQ($B$1,"IQ_TOTAL_OUTSTANDING_FILING_DATE","IQ_FY-1")</f>
        <v>12404.659299999999</v>
      </c>
      <c r="D270" s="8">
        <f t="shared" si="9"/>
        <v>12404.659299999999</v>
      </c>
      <c r="E270" s="6" t="s">
        <v>62</v>
      </c>
    </row>
    <row r="271" spans="1:5" x14ac:dyDescent="0.4">
      <c r="A271" s="6" t="s">
        <v>61</v>
      </c>
      <c r="B271" s="6" t="s">
        <v>14</v>
      </c>
      <c r="C271" s="7">
        <f>_xll.ciqfunctions.udf.CIQ($B$1,"IQ_TOTAL_OUTSTANDING_FILING_DATE","IQ_FY-2")</f>
        <v>12128.130289999999</v>
      </c>
      <c r="D271" s="8">
        <f t="shared" si="9"/>
        <v>12128.130289999999</v>
      </c>
      <c r="E271" s="6" t="s">
        <v>62</v>
      </c>
    </row>
    <row r="272" spans="1:5" x14ac:dyDescent="0.4">
      <c r="A272" s="6" t="s">
        <v>61</v>
      </c>
      <c r="B272" s="6" t="s">
        <v>15</v>
      </c>
      <c r="C272" s="7">
        <f>_xll.ciqfunctions.udf.CIQ($B$1,"IQ_TOTAL_OUTSTANDING_FILING_DATE","IQ_FY-3")</f>
        <v>12041.705610000001</v>
      </c>
      <c r="D272" s="8">
        <f t="shared" si="9"/>
        <v>12041.705610000001</v>
      </c>
      <c r="E272" s="6" t="s">
        <v>62</v>
      </c>
    </row>
    <row r="273" spans="1:5" x14ac:dyDescent="0.4">
      <c r="A273" s="6" t="s">
        <v>61</v>
      </c>
      <c r="B273" s="6" t="s">
        <v>16</v>
      </c>
      <c r="C273" s="7">
        <f>_xll.ciqfunctions.udf.CIQ($B$1,"IQ_TOTAL_OUTSTANDING_FILING_DATE","IQ_FY-4")</f>
        <v>12041.705610000001</v>
      </c>
      <c r="D273" s="8">
        <f t="shared" si="9"/>
        <v>12041.705610000001</v>
      </c>
      <c r="E273" s="6" t="s">
        <v>62</v>
      </c>
    </row>
    <row r="274" spans="1:5" x14ac:dyDescent="0.4">
      <c r="A274" s="6" t="s">
        <v>61</v>
      </c>
      <c r="B274" s="6" t="s">
        <v>17</v>
      </c>
      <c r="C274" s="7">
        <f>_xll.ciqfunctions.udf.CIQ($B$1,"IQ_TOTAL_OUTSTANDING_FILING_DATE","IQ_FY-5")</f>
        <v>12014.79161</v>
      </c>
      <c r="D274" s="8">
        <f t="shared" si="9"/>
        <v>12014.79161</v>
      </c>
      <c r="E274" s="6" t="s">
        <v>62</v>
      </c>
    </row>
    <row r="275" spans="1:5" x14ac:dyDescent="0.4">
      <c r="A275" s="6" t="s">
        <v>61</v>
      </c>
      <c r="B275" s="6" t="s">
        <v>18</v>
      </c>
      <c r="C275" s="7">
        <f>_xll.ciqfunctions.udf.CIQ($B$1,"IQ_TOTAL_OUTSTANDING_FILING_DATE","IQ_FY-6")</f>
        <v>12014.79161</v>
      </c>
      <c r="D275" s="8">
        <f t="shared" si="9"/>
        <v>12014.79161</v>
      </c>
      <c r="E275" s="6" t="s">
        <v>62</v>
      </c>
    </row>
    <row r="276" spans="1:5" x14ac:dyDescent="0.4">
      <c r="A276" s="6" t="s">
        <v>61</v>
      </c>
      <c r="B276" s="6" t="s">
        <v>19</v>
      </c>
      <c r="C276" s="7">
        <f>_xll.ciqfunctions.udf.CIQ($B$1,"IQ_TOTAL_OUTSTANDING_FILING_DATE","IQ_FY-7")</f>
        <v>12014.79161</v>
      </c>
      <c r="D276" s="8">
        <f t="shared" si="9"/>
        <v>12014.79161</v>
      </c>
      <c r="E276" s="6" t="s">
        <v>62</v>
      </c>
    </row>
    <row r="277" spans="1:5" x14ac:dyDescent="0.4">
      <c r="A277" s="6" t="s">
        <v>61</v>
      </c>
      <c r="B277" s="6" t="s">
        <v>20</v>
      </c>
      <c r="C277" s="7">
        <f>_xll.ciqfunctions.udf.CIQ($B$1,"IQ_TOTAL_OUTSTANDING_FILING_DATE","IQ_FY-8")</f>
        <v>11108.65472</v>
      </c>
      <c r="D277" s="8">
        <f t="shared" si="9"/>
        <v>11108.65472</v>
      </c>
      <c r="E277" s="6" t="s">
        <v>62</v>
      </c>
    </row>
    <row r="278" spans="1:5" x14ac:dyDescent="0.4">
      <c r="A278" s="6" t="s">
        <v>61</v>
      </c>
      <c r="B278" s="6" t="s">
        <v>21</v>
      </c>
      <c r="C278" s="7">
        <f>_xll.ciqfunctions.udf.CIQ($B$1,"IQ_TOTAL_OUTSTANDING_FILING_DATE","IQ_FY-9")</f>
        <v>11108.65472</v>
      </c>
      <c r="D278" s="8">
        <f t="shared" si="9"/>
        <v>11108.65472</v>
      </c>
      <c r="E278" s="6" t="s">
        <v>62</v>
      </c>
    </row>
    <row r="279" spans="1:5" x14ac:dyDescent="0.4">
      <c r="A279" s="6" t="s">
        <v>61</v>
      </c>
      <c r="B279" s="6" t="s">
        <v>22</v>
      </c>
      <c r="C279" s="7">
        <f>_xll.ciqfunctions.udf.CIQ($B$1,"IQ_TOTAL_OUTSTANDING_FILING_DATE","IQ_FY-10")</f>
        <v>11108.65472</v>
      </c>
      <c r="D279" s="8">
        <f t="shared" si="9"/>
        <v>11108.65472</v>
      </c>
      <c r="E279" s="6" t="s">
        <v>62</v>
      </c>
    </row>
    <row r="280" spans="1:5" x14ac:dyDescent="0.4">
      <c r="A280" s="6" t="s">
        <v>63</v>
      </c>
      <c r="B280" s="6" t="s">
        <v>11</v>
      </c>
      <c r="C280" s="7">
        <f>_xll.ciqfunctions.udf.CIQ($B$1,"IQ_LT_INVEST","IQ_FY-0")</f>
        <v>1825.47</v>
      </c>
      <c r="D280" s="8">
        <f t="shared" si="9"/>
        <v>1825.47</v>
      </c>
      <c r="E280" s="6" t="s">
        <v>64</v>
      </c>
    </row>
    <row r="281" spans="1:5" x14ac:dyDescent="0.4">
      <c r="A281" s="6" t="s">
        <v>63</v>
      </c>
      <c r="B281" s="6" t="s">
        <v>13</v>
      </c>
      <c r="C281" s="7">
        <f>_xll.ciqfunctions.udf.CIQ($B$1,"IQ_LT_INVEST","IQ_FY-1")</f>
        <v>1768.442</v>
      </c>
      <c r="D281" s="8">
        <f t="shared" si="9"/>
        <v>1768.442</v>
      </c>
      <c r="E281" s="6" t="s">
        <v>64</v>
      </c>
    </row>
    <row r="282" spans="1:5" x14ac:dyDescent="0.4">
      <c r="A282" s="6" t="s">
        <v>63</v>
      </c>
      <c r="B282" s="6" t="s">
        <v>14</v>
      </c>
      <c r="C282" s="7">
        <f>_xll.ciqfunctions.udf.CIQ($B$1,"IQ_LT_INVEST","IQ_FY-2")</f>
        <v>1738.414</v>
      </c>
      <c r="D282" s="8">
        <f t="shared" si="9"/>
        <v>1738.414</v>
      </c>
      <c r="E282" s="6" t="s">
        <v>64</v>
      </c>
    </row>
    <row r="283" spans="1:5" x14ac:dyDescent="0.4">
      <c r="A283" s="6" t="s">
        <v>63</v>
      </c>
      <c r="B283" s="6" t="s">
        <v>15</v>
      </c>
      <c r="C283" s="7">
        <f>_xll.ciqfunctions.udf.CIQ($B$1,"IQ_LT_INVEST","IQ_FY-3")</f>
        <v>1508.527</v>
      </c>
      <c r="D283" s="8">
        <f t="shared" si="9"/>
        <v>1508.527</v>
      </c>
      <c r="E283" s="6" t="s">
        <v>64</v>
      </c>
    </row>
    <row r="284" spans="1:5" x14ac:dyDescent="0.4">
      <c r="A284" s="6" t="s">
        <v>63</v>
      </c>
      <c r="B284" s="6" t="s">
        <v>16</v>
      </c>
      <c r="C284" s="7">
        <f>_xll.ciqfunctions.udf.CIQ($B$1,"IQ_LT_INVEST","IQ_FY-4")</f>
        <v>955.26400000000001</v>
      </c>
      <c r="D284" s="8">
        <f t="shared" si="9"/>
        <v>955.26400000000001</v>
      </c>
      <c r="E284" s="6" t="s">
        <v>64</v>
      </c>
    </row>
    <row r="285" spans="1:5" x14ac:dyDescent="0.4">
      <c r="A285" s="6" t="s">
        <v>63</v>
      </c>
      <c r="B285" s="6" t="s">
        <v>17</v>
      </c>
      <c r="C285" s="7">
        <f>_xll.ciqfunctions.udf.CIQ($B$1,"IQ_LT_INVEST","IQ_FY-5")</f>
        <v>611.25</v>
      </c>
      <c r="D285" s="8">
        <f t="shared" si="9"/>
        <v>611.25</v>
      </c>
      <c r="E285" s="6" t="s">
        <v>64</v>
      </c>
    </row>
    <row r="286" spans="1:5" x14ac:dyDescent="0.4">
      <c r="A286" s="6" t="s">
        <v>63</v>
      </c>
      <c r="B286" s="6" t="s">
        <v>18</v>
      </c>
      <c r="C286" s="7">
        <f>_xll.ciqfunctions.udf.CIQ($B$1,"IQ_LT_INVEST","IQ_FY-6")</f>
        <v>599.91</v>
      </c>
      <c r="D286" s="8">
        <f t="shared" si="9"/>
        <v>599.91</v>
      </c>
      <c r="E286" s="6" t="s">
        <v>64</v>
      </c>
    </row>
    <row r="287" spans="1:5" x14ac:dyDescent="0.4">
      <c r="A287" s="6" t="s">
        <v>63</v>
      </c>
      <c r="B287" s="6" t="s">
        <v>19</v>
      </c>
      <c r="C287" s="7">
        <f>_xll.ciqfunctions.udf.CIQ($B$1,"IQ_LT_INVEST","IQ_FY-7")</f>
        <v>408.74299999999999</v>
      </c>
      <c r="D287" s="8">
        <f t="shared" si="9"/>
        <v>408.74299999999999</v>
      </c>
      <c r="E287" s="6" t="s">
        <v>64</v>
      </c>
    </row>
    <row r="288" spans="1:5" x14ac:dyDescent="0.4">
      <c r="A288" s="6" t="s">
        <v>63</v>
      </c>
      <c r="B288" s="6" t="s">
        <v>20</v>
      </c>
      <c r="C288" s="7">
        <f>_xll.ciqfunctions.udf.CIQ($B$1,"IQ_LT_INVEST","IQ_FY-8")</f>
        <v>288.46499999999997</v>
      </c>
      <c r="D288" s="8">
        <f t="shared" si="9"/>
        <v>288.46499999999997</v>
      </c>
      <c r="E288" s="6" t="s">
        <v>64</v>
      </c>
    </row>
    <row r="289" spans="1:5" x14ac:dyDescent="0.4">
      <c r="A289" s="6" t="s">
        <v>63</v>
      </c>
      <c r="B289" s="6" t="s">
        <v>21</v>
      </c>
      <c r="C289" s="7">
        <f>_xll.ciqfunctions.udf.CIQ($B$1,"IQ_LT_INVEST","IQ_FY-9")</f>
        <v>180.011</v>
      </c>
      <c r="D289" s="8">
        <f t="shared" si="9"/>
        <v>180.011</v>
      </c>
      <c r="E289" s="6" t="s">
        <v>64</v>
      </c>
    </row>
    <row r="290" spans="1:5" x14ac:dyDescent="0.4">
      <c r="A290" s="6" t="s">
        <v>63</v>
      </c>
      <c r="B290" s="6" t="s">
        <v>22</v>
      </c>
      <c r="C290" s="7">
        <f>_xll.ciqfunctions.udf.CIQ($B$1,"IQ_LT_INVEST","IQ_FY-10")</f>
        <v>119.119</v>
      </c>
      <c r="D290" s="8">
        <f t="shared" si="9"/>
        <v>119.119</v>
      </c>
      <c r="E290" s="6" t="s">
        <v>64</v>
      </c>
    </row>
    <row r="291" spans="1:5" x14ac:dyDescent="0.4">
      <c r="A291" s="6" t="s">
        <v>65</v>
      </c>
      <c r="B291" s="6" t="s">
        <v>11</v>
      </c>
      <c r="C291" s="7">
        <f>_xll.ciqfunctions.udf.CIQ($B$1,"IQ_MINORITY_INTEREST","IQ_FY-0")</f>
        <v>1138.2829999999999</v>
      </c>
      <c r="D291" s="8">
        <f t="shared" si="9"/>
        <v>1138.2829999999999</v>
      </c>
      <c r="E291" s="6" t="s">
        <v>66</v>
      </c>
    </row>
    <row r="292" spans="1:5" x14ac:dyDescent="0.4">
      <c r="A292" s="6" t="s">
        <v>65</v>
      </c>
      <c r="B292" s="6" t="s">
        <v>13</v>
      </c>
      <c r="C292" s="7">
        <f>_xll.ciqfunctions.udf.CIQ($B$1,"IQ_MINORITY_INTEREST","IQ_FY-1")</f>
        <v>1045.9469999999999</v>
      </c>
      <c r="D292" s="8">
        <f t="shared" si="9"/>
        <v>1045.9469999999999</v>
      </c>
      <c r="E292" s="6" t="s">
        <v>66</v>
      </c>
    </row>
    <row r="293" spans="1:5" x14ac:dyDescent="0.4">
      <c r="A293" s="6" t="s">
        <v>65</v>
      </c>
      <c r="B293" s="6" t="s">
        <v>14</v>
      </c>
      <c r="C293" s="7">
        <f>_xll.ciqfunctions.udf.CIQ($B$1,"IQ_MINORITY_INTEREST","IQ_FY-2")</f>
        <v>1006.784</v>
      </c>
      <c r="D293" s="8">
        <f t="shared" si="9"/>
        <v>1006.784</v>
      </c>
      <c r="E293" s="6" t="s">
        <v>66</v>
      </c>
    </row>
    <row r="294" spans="1:5" x14ac:dyDescent="0.4">
      <c r="A294" s="6" t="s">
        <v>65</v>
      </c>
      <c r="B294" s="6" t="s">
        <v>15</v>
      </c>
      <c r="C294" s="7">
        <f>_xll.ciqfunctions.udf.CIQ($B$1,"IQ_MINORITY_INTEREST","IQ_FY-3")</f>
        <v>951.41499999999996</v>
      </c>
      <c r="D294" s="8">
        <f t="shared" si="9"/>
        <v>951.41499999999996</v>
      </c>
      <c r="E294" s="6" t="s">
        <v>66</v>
      </c>
    </row>
    <row r="295" spans="1:5" x14ac:dyDescent="0.4">
      <c r="A295" s="6" t="s">
        <v>65</v>
      </c>
      <c r="B295" s="6" t="s">
        <v>16</v>
      </c>
      <c r="C295" s="7">
        <f>_xll.ciqfunctions.udf.CIQ($B$1,"IQ_MINORITY_INTEREST","IQ_FY-4")</f>
        <v>817.73500000000001</v>
      </c>
      <c r="D295" s="8">
        <f t="shared" si="9"/>
        <v>817.73500000000001</v>
      </c>
      <c r="E295" s="6" t="s">
        <v>66</v>
      </c>
    </row>
    <row r="296" spans="1:5" x14ac:dyDescent="0.4">
      <c r="A296" s="6" t="s">
        <v>65</v>
      </c>
      <c r="B296" s="6" t="s">
        <v>17</v>
      </c>
      <c r="C296" s="7">
        <f>_xll.ciqfunctions.udf.CIQ($B$1,"IQ_MINORITY_INTEREST","IQ_FY-5")</f>
        <v>1627.991</v>
      </c>
      <c r="D296" s="8">
        <f t="shared" si="9"/>
        <v>1627.991</v>
      </c>
      <c r="E296" s="6" t="s">
        <v>66</v>
      </c>
    </row>
    <row r="297" spans="1:5" x14ac:dyDescent="0.4">
      <c r="A297" s="6" t="s">
        <v>65</v>
      </c>
      <c r="B297" s="6" t="s">
        <v>18</v>
      </c>
      <c r="C297" s="7">
        <f>_xll.ciqfunctions.udf.CIQ($B$1,"IQ_MINORITY_INTEREST","IQ_FY-6")</f>
        <v>1466.848</v>
      </c>
      <c r="D297" s="8">
        <f t="shared" si="9"/>
        <v>1466.848</v>
      </c>
      <c r="E297" s="6" t="s">
        <v>66</v>
      </c>
    </row>
    <row r="298" spans="1:5" x14ac:dyDescent="0.4">
      <c r="A298" s="6" t="s">
        <v>65</v>
      </c>
      <c r="B298" s="6" t="s">
        <v>19</v>
      </c>
      <c r="C298" s="7">
        <f>_xll.ciqfunctions.udf.CIQ($B$1,"IQ_MINORITY_INTEREST","IQ_FY-7")</f>
        <v>1240.268</v>
      </c>
      <c r="D298" s="8">
        <f t="shared" si="9"/>
        <v>1240.268</v>
      </c>
      <c r="E298" s="6" t="s">
        <v>66</v>
      </c>
    </row>
    <row r="299" spans="1:5" x14ac:dyDescent="0.4">
      <c r="A299" s="6" t="s">
        <v>65</v>
      </c>
      <c r="B299" s="6" t="s">
        <v>20</v>
      </c>
      <c r="C299" s="7">
        <f>_xll.ciqfunctions.udf.CIQ($B$1,"IQ_MINORITY_INTEREST","IQ_FY-8")</f>
        <v>1084.521</v>
      </c>
      <c r="D299" s="8">
        <f t="shared" si="9"/>
        <v>1084.521</v>
      </c>
      <c r="E299" s="6" t="s">
        <v>66</v>
      </c>
    </row>
    <row r="300" spans="1:5" x14ac:dyDescent="0.4">
      <c r="A300" s="6" t="s">
        <v>65</v>
      </c>
      <c r="B300" s="6" t="s">
        <v>21</v>
      </c>
      <c r="C300" s="7">
        <f>_xll.ciqfunctions.udf.CIQ($B$1,"IQ_MINORITY_INTEREST","IQ_FY-9")</f>
        <v>238.94900000000001</v>
      </c>
      <c r="D300" s="8">
        <f t="shared" ref="D300:D331" si="10">C300</f>
        <v>238.94900000000001</v>
      </c>
      <c r="E300" s="6" t="s">
        <v>66</v>
      </c>
    </row>
    <row r="301" spans="1:5" x14ac:dyDescent="0.4">
      <c r="A301" s="6" t="s">
        <v>65</v>
      </c>
      <c r="B301" s="6" t="s">
        <v>22</v>
      </c>
      <c r="C301" s="7">
        <f>_xll.ciqfunctions.udf.CIQ($B$1,"IQ_MINORITY_INTEREST","IQ_FY-10")</f>
        <v>235.37799999999999</v>
      </c>
      <c r="D301" s="8">
        <f t="shared" si="10"/>
        <v>235.37799999999999</v>
      </c>
      <c r="E301" s="6" t="s">
        <v>66</v>
      </c>
    </row>
    <row r="302" spans="1:5" x14ac:dyDescent="0.4">
      <c r="A302" s="9" t="s">
        <v>67</v>
      </c>
      <c r="B302" s="10"/>
      <c r="C302" s="10"/>
      <c r="D302" s="10"/>
      <c r="E302" s="10"/>
    </row>
    <row r="303" spans="1:5" x14ac:dyDescent="0.4">
      <c r="A303" s="6" t="s">
        <v>55</v>
      </c>
      <c r="B303" s="6" t="s">
        <v>46</v>
      </c>
      <c r="C303" s="7">
        <f>_xll.ciqfunctions.udf.CIQ($B$1,"IQ_CASH_EQUIV","IQ_FQ-0")</f>
        <v>5221.41</v>
      </c>
      <c r="D303" s="8">
        <f t="shared" ref="D303:D308" si="11">C303</f>
        <v>5221.41</v>
      </c>
      <c r="E303" s="6" t="s">
        <v>68</v>
      </c>
    </row>
    <row r="304" spans="1:5" x14ac:dyDescent="0.4">
      <c r="A304" s="6" t="s">
        <v>57</v>
      </c>
      <c r="B304" s="6" t="s">
        <v>46</v>
      </c>
      <c r="C304" s="7">
        <f>_xll.ciqfunctions.udf.CIQ($B$1,"IQ_TOTAL_EQUITY","IQ_FQ-0")</f>
        <v>7846.0770000000002</v>
      </c>
      <c r="D304" s="8">
        <f t="shared" si="11"/>
        <v>7846.0770000000002</v>
      </c>
      <c r="E304" s="6" t="s">
        <v>69</v>
      </c>
    </row>
    <row r="305" spans="1:5" x14ac:dyDescent="0.4">
      <c r="A305" s="6" t="s">
        <v>59</v>
      </c>
      <c r="B305" s="6" t="s">
        <v>46</v>
      </c>
      <c r="C305" s="7">
        <f>_xll.ciqfunctions.udf.CIQ($B$1,"IQ_TOTAL_DEBT","IQ_FQ-0")</f>
        <v>5052.4679999999998</v>
      </c>
      <c r="D305" s="8">
        <f t="shared" si="11"/>
        <v>5052.4679999999998</v>
      </c>
      <c r="E305" s="6" t="s">
        <v>70</v>
      </c>
    </row>
    <row r="306" spans="1:5" x14ac:dyDescent="0.4">
      <c r="A306" s="6" t="s">
        <v>61</v>
      </c>
      <c r="B306" s="6" t="s">
        <v>46</v>
      </c>
      <c r="C306" s="7">
        <f>_xll.ciqfunctions.udf.CIQ($B$1,"IQ_TOTAL_OUTSTANDING_FILING_DATE","IQ_FQ-0")</f>
        <v>12404.659299999999</v>
      </c>
      <c r="D306" s="8">
        <f t="shared" si="11"/>
        <v>12404.659299999999</v>
      </c>
      <c r="E306" s="6" t="s">
        <v>71</v>
      </c>
    </row>
    <row r="307" spans="1:5" x14ac:dyDescent="0.4">
      <c r="A307" s="6" t="s">
        <v>63</v>
      </c>
      <c r="B307" s="6" t="s">
        <v>46</v>
      </c>
      <c r="C307" s="7">
        <f>_xll.ciqfunctions.udf.CIQ($B$1,"IQ_LT_INVEST","IQ_FQ-0")</f>
        <v>2210.8649999999998</v>
      </c>
      <c r="D307" s="8">
        <f t="shared" si="11"/>
        <v>2210.8649999999998</v>
      </c>
      <c r="E307" s="6" t="s">
        <v>72</v>
      </c>
    </row>
    <row r="308" spans="1:5" x14ac:dyDescent="0.4">
      <c r="A308" s="6" t="s">
        <v>65</v>
      </c>
      <c r="B308" s="6" t="s">
        <v>46</v>
      </c>
      <c r="C308" s="7">
        <f>_xll.ciqfunctions.udf.CIQ($B$1,"IQ_MINORITY_INTEREST","IQ_FQ-0")</f>
        <v>1321.864</v>
      </c>
      <c r="D308" s="8">
        <f t="shared" si="11"/>
        <v>1321.864</v>
      </c>
      <c r="E308" s="6" t="s">
        <v>73</v>
      </c>
    </row>
    <row r="309" spans="1:5" x14ac:dyDescent="0.4">
      <c r="A309" s="9" t="s">
        <v>74</v>
      </c>
      <c r="B309" s="10"/>
      <c r="C309" s="10"/>
      <c r="D309" s="10"/>
      <c r="E309" s="10"/>
    </row>
    <row r="310" spans="1:5" x14ac:dyDescent="0.4">
      <c r="A310" s="6" t="s">
        <v>75</v>
      </c>
      <c r="B310" s="6" t="s">
        <v>76</v>
      </c>
      <c r="C310" s="7">
        <f>_xll.ciqfunctions.udf.CIQ($B$1,"IQ_CLOSEPRICE")</f>
        <v>11.86</v>
      </c>
      <c r="D310" s="8">
        <f t="shared" ref="D310:D316" si="12">C310</f>
        <v>11.86</v>
      </c>
      <c r="E310" s="6" t="s">
        <v>77</v>
      </c>
    </row>
    <row r="311" spans="1:5" x14ac:dyDescent="0.4">
      <c r="A311" s="6" t="s">
        <v>78</v>
      </c>
      <c r="B311" s="6" t="s">
        <v>76</v>
      </c>
      <c r="C311" s="7">
        <f>_xll.ciqfunctions.udf.CIQ($B$1,"IQ_MARKETCAP")</f>
        <v>147119.25932000001</v>
      </c>
      <c r="D311" s="8">
        <f t="shared" si="12"/>
        <v>147119.25932000001</v>
      </c>
      <c r="E311" s="6" t="s">
        <v>79</v>
      </c>
    </row>
    <row r="312" spans="1:5" s="14" customFormat="1" x14ac:dyDescent="0.4">
      <c r="A312" s="11" t="s">
        <v>80</v>
      </c>
      <c r="B312" s="11" t="s">
        <v>76</v>
      </c>
      <c r="C312" s="12">
        <f>_xll.ciqfunctions.udf.CIQ($B$1,"IQ_CLOSEPRICE","","REPORTED")</f>
        <v>1.5134099999999999</v>
      </c>
      <c r="D312" s="13">
        <f t="shared" si="12"/>
        <v>1.5134099999999999</v>
      </c>
      <c r="E312" s="11" t="s">
        <v>81</v>
      </c>
    </row>
    <row r="313" spans="1:5" s="14" customFormat="1" x14ac:dyDescent="0.4">
      <c r="A313" s="11" t="s">
        <v>82</v>
      </c>
      <c r="B313" s="11" t="s">
        <v>76</v>
      </c>
      <c r="C313" s="12">
        <f>_xll.ciqfunctions.udf.CIQ($B$1, "IQ_MARKETCAP", , "REPORTED")</f>
        <v>18773.281230000001</v>
      </c>
      <c r="D313" s="13">
        <f t="shared" si="12"/>
        <v>18773.281230000001</v>
      </c>
      <c r="E313" s="11" t="s">
        <v>83</v>
      </c>
    </row>
    <row r="314" spans="1:5" x14ac:dyDescent="0.4">
      <c r="A314" s="6" t="s">
        <v>84</v>
      </c>
      <c r="B314" s="6" t="s">
        <v>76</v>
      </c>
      <c r="C314" s="7" t="str">
        <f>_xll.ciqfunctions.udf.CIQ($B$1,"IQ_FILING_CURRENCY")</f>
        <v>USD</v>
      </c>
      <c r="D314" s="8" t="str">
        <f t="shared" si="12"/>
        <v>USD</v>
      </c>
      <c r="E314" s="6" t="s">
        <v>85</v>
      </c>
    </row>
    <row r="315" spans="1:5" x14ac:dyDescent="0.4">
      <c r="A315" s="6" t="s">
        <v>86</v>
      </c>
      <c r="B315" s="6" t="s">
        <v>76</v>
      </c>
      <c r="C315" s="7" t="str">
        <f>_xll.ciqfunctions.udf.CIQ($B$1,"IQ_EXCHANGE")</f>
        <v>SEHK</v>
      </c>
      <c r="D315" s="8" t="str">
        <f t="shared" si="12"/>
        <v>SEHK</v>
      </c>
      <c r="E315" s="6" t="s">
        <v>87</v>
      </c>
    </row>
    <row r="316" spans="1:5" x14ac:dyDescent="0.4">
      <c r="A316" s="6" t="s">
        <v>88</v>
      </c>
      <c r="B316" s="6" t="s">
        <v>89</v>
      </c>
      <c r="C316" s="7">
        <f>_xll.ciqfunctions.udf.CIQ($B$1,"IQ_EFFECT_TAX_RATE","IQ_FY")/100</f>
        <v>1.2774000000000001E-2</v>
      </c>
      <c r="D316" s="8">
        <f t="shared" si="12"/>
        <v>1.2774000000000001E-2</v>
      </c>
      <c r="E316" s="6" t="s">
        <v>90</v>
      </c>
    </row>
    <row r="317" spans="1:5" x14ac:dyDescent="0.4">
      <c r="A317" s="9" t="s">
        <v>91</v>
      </c>
      <c r="B317" s="10"/>
      <c r="C317" s="10"/>
      <c r="D317" s="10"/>
      <c r="E317" s="10"/>
    </row>
    <row r="318" spans="1:5" x14ac:dyDescent="0.4">
      <c r="A318" s="6" t="s">
        <v>92</v>
      </c>
      <c r="B318" s="6" t="s">
        <v>76</v>
      </c>
      <c r="C318" s="7">
        <f>_xll.ciqfunctions.udf.CIQ($B$1,"IQ_OPTIONS_END_OS")</f>
        <v>0</v>
      </c>
      <c r="D318" s="8">
        <f>C318</f>
        <v>0</v>
      </c>
      <c r="E318" s="6" t="s">
        <v>93</v>
      </c>
    </row>
    <row r="319" spans="1:5" x14ac:dyDescent="0.4">
      <c r="A319" s="6" t="s">
        <v>94</v>
      </c>
      <c r="B319" s="6" t="s">
        <v>76</v>
      </c>
      <c r="C319" s="7">
        <f>_xll.ciqfunctions.udf.CIQ($B$1,"IQ_OPTIONS_STRIKE_PRICE_OS")</f>
        <v>0</v>
      </c>
      <c r="D319" s="8">
        <f>C319</f>
        <v>0</v>
      </c>
      <c r="E319" s="6" t="s">
        <v>95</v>
      </c>
    </row>
    <row r="320" spans="1:5" x14ac:dyDescent="0.4">
      <c r="A320" s="6" t="s">
        <v>96</v>
      </c>
      <c r="B320" s="6" t="s">
        <v>76</v>
      </c>
      <c r="C320" s="7" t="str">
        <f>_xll.ciqfunctions.udf.CIQ($B$1,"IQ_OPTIONS_AVG_LIFE")</f>
        <v>(Invalid Formula Name)</v>
      </c>
      <c r="D320" s="8" t="str">
        <f>C320</f>
        <v>(Invalid Formula Name)</v>
      </c>
      <c r="E320" s="6" t="s">
        <v>97</v>
      </c>
    </row>
    <row r="321" spans="1:5" x14ac:dyDescent="0.4">
      <c r="A321" s="9" t="s">
        <v>98</v>
      </c>
      <c r="B321" s="10"/>
      <c r="C321" s="10"/>
      <c r="D321" s="10"/>
      <c r="E321" s="10"/>
    </row>
    <row r="322" spans="1:5" x14ac:dyDescent="0.4">
      <c r="A322" s="6" t="s">
        <v>99</v>
      </c>
      <c r="B322" s="6" t="s">
        <v>76</v>
      </c>
      <c r="C322" s="7">
        <f>_xll.ciqfunctions.udf.CIQ($B$1,"IQ_OL_COMM_CY")</f>
        <v>0</v>
      </c>
      <c r="D322" s="8">
        <f t="shared" ref="D322:D327" si="13">C322</f>
        <v>0</v>
      </c>
      <c r="E322" s="6" t="s">
        <v>100</v>
      </c>
    </row>
    <row r="323" spans="1:5" x14ac:dyDescent="0.4">
      <c r="A323" s="6" t="s">
        <v>101</v>
      </c>
      <c r="B323" s="6" t="s">
        <v>76</v>
      </c>
      <c r="C323" s="7">
        <f>_xll.ciqfunctions.udf.CIQ($B$1,"IQ_OL_COMM_CY1")</f>
        <v>0</v>
      </c>
      <c r="D323" s="8">
        <f t="shared" si="13"/>
        <v>0</v>
      </c>
      <c r="E323" s="6" t="s">
        <v>102</v>
      </c>
    </row>
    <row r="324" spans="1:5" x14ac:dyDescent="0.4">
      <c r="A324" s="6" t="s">
        <v>103</v>
      </c>
      <c r="B324" s="6" t="s">
        <v>76</v>
      </c>
      <c r="C324" s="7">
        <f>_xll.ciqfunctions.udf.CIQ($B$1,"IQ_OL_COMM_CY2")</f>
        <v>0</v>
      </c>
      <c r="D324" s="8">
        <f t="shared" si="13"/>
        <v>0</v>
      </c>
      <c r="E324" s="6" t="s">
        <v>104</v>
      </c>
    </row>
    <row r="325" spans="1:5" x14ac:dyDescent="0.4">
      <c r="A325" s="6" t="s">
        <v>105</v>
      </c>
      <c r="B325" s="6" t="s">
        <v>76</v>
      </c>
      <c r="C325" s="7">
        <f>_xll.ciqfunctions.udf.CIQ($B$1,"IQ_OL_COMM_CY3")</f>
        <v>0</v>
      </c>
      <c r="D325" s="8">
        <f t="shared" si="13"/>
        <v>0</v>
      </c>
      <c r="E325" s="6" t="s">
        <v>106</v>
      </c>
    </row>
    <row r="326" spans="1:5" x14ac:dyDescent="0.4">
      <c r="A326" s="6" t="s">
        <v>107</v>
      </c>
      <c r="B326" s="6" t="s">
        <v>76</v>
      </c>
      <c r="C326" s="7">
        <f>_xll.ciqfunctions.udf.CIQ($B$1,"IQ_OL_COMM_CY4")</f>
        <v>0</v>
      </c>
      <c r="D326" s="8">
        <f t="shared" si="13"/>
        <v>0</v>
      </c>
      <c r="E326" s="6" t="s">
        <v>108</v>
      </c>
    </row>
    <row r="327" spans="1:5" x14ac:dyDescent="0.4">
      <c r="A327" s="6" t="s">
        <v>109</v>
      </c>
      <c r="B327" s="6" t="s">
        <v>76</v>
      </c>
      <c r="C327" s="7">
        <f>_xll.ciqfunctions.udf.CIQ($B$1,"IQ_OL_COMM_NEXT_FIVE")</f>
        <v>0</v>
      </c>
      <c r="D327" s="8">
        <f t="shared" si="13"/>
        <v>0</v>
      </c>
      <c r="E327" s="6" t="s">
        <v>110</v>
      </c>
    </row>
    <row r="328" spans="1:5" x14ac:dyDescent="0.4">
      <c r="A328" s="9" t="s">
        <v>111</v>
      </c>
      <c r="B328" s="10"/>
      <c r="C328" s="10"/>
      <c r="D328" s="10"/>
      <c r="E328" s="10"/>
    </row>
    <row r="329" spans="1:5" x14ac:dyDescent="0.4">
      <c r="A329" s="6" t="s">
        <v>112</v>
      </c>
      <c r="B329" s="6" t="s">
        <v>11</v>
      </c>
      <c r="C329" s="7">
        <f>_xll.ciqfunctions.udf.CIQ($B$1,"IQ_PERIODDATE","IQ_FY-0")</f>
        <v>45747</v>
      </c>
      <c r="D329" s="8">
        <f>C329</f>
        <v>45747</v>
      </c>
      <c r="E329" s="6" t="s">
        <v>113</v>
      </c>
    </row>
    <row r="330" spans="1:5" x14ac:dyDescent="0.4">
      <c r="A330" s="6" t="s">
        <v>114</v>
      </c>
      <c r="B330" s="6" t="s">
        <v>46</v>
      </c>
      <c r="C330" s="7">
        <f>_xll.ciqfunctions.udf.CIQ($B$1,"IQ_PERIODDATE","IQ_FQ-0")</f>
        <v>46022</v>
      </c>
      <c r="D330" s="8">
        <f>C330</f>
        <v>46022</v>
      </c>
      <c r="E330" s="6" t="s">
        <v>115</v>
      </c>
    </row>
  </sheetData>
  <mergeCells count="8">
    <mergeCell ref="A328:E328"/>
    <mergeCell ref="A302:E302"/>
    <mergeCell ref="A235:E235"/>
    <mergeCell ref="A138:E138"/>
    <mergeCell ref="A5:E5"/>
    <mergeCell ref="A309:E309"/>
    <mergeCell ref="A321:E321"/>
    <mergeCell ref="A317:E317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9"/>
  <sheetViews>
    <sheetView workbookViewId="0"/>
  </sheetViews>
  <sheetFormatPr defaultRowHeight="14.1" x14ac:dyDescent="0.4"/>
  <sheetData>
    <row r="1" spans="1:4" x14ac:dyDescent="0.4">
      <c r="A1" t="s">
        <v>116</v>
      </c>
      <c r="B1" t="s">
        <v>117</v>
      </c>
      <c r="C1" t="s">
        <v>118</v>
      </c>
      <c r="D1" t="s">
        <v>119</v>
      </c>
    </row>
    <row r="2" spans="1:4" x14ac:dyDescent="0.4">
      <c r="A2">
        <v>6</v>
      </c>
      <c r="B2" t="s">
        <v>10</v>
      </c>
      <c r="C2" t="s">
        <v>11</v>
      </c>
      <c r="D2" t="s">
        <v>120</v>
      </c>
    </row>
    <row r="3" spans="1:4" x14ac:dyDescent="0.4">
      <c r="A3">
        <v>7</v>
      </c>
      <c r="B3" t="s">
        <v>10</v>
      </c>
      <c r="C3" t="s">
        <v>13</v>
      </c>
      <c r="D3" t="s">
        <v>120</v>
      </c>
    </row>
    <row r="4" spans="1:4" x14ac:dyDescent="0.4">
      <c r="A4">
        <v>8</v>
      </c>
      <c r="B4" t="s">
        <v>10</v>
      </c>
      <c r="C4" t="s">
        <v>14</v>
      </c>
      <c r="D4" t="s">
        <v>120</v>
      </c>
    </row>
    <row r="5" spans="1:4" x14ac:dyDescent="0.4">
      <c r="A5">
        <v>9</v>
      </c>
      <c r="B5" t="s">
        <v>10</v>
      </c>
      <c r="C5" t="s">
        <v>15</v>
      </c>
      <c r="D5" t="s">
        <v>120</v>
      </c>
    </row>
    <row r="6" spans="1:4" x14ac:dyDescent="0.4">
      <c r="A6">
        <v>10</v>
      </c>
      <c r="B6" t="s">
        <v>10</v>
      </c>
      <c r="C6" t="s">
        <v>16</v>
      </c>
      <c r="D6" t="s">
        <v>120</v>
      </c>
    </row>
    <row r="7" spans="1:4" x14ac:dyDescent="0.4">
      <c r="A7">
        <v>11</v>
      </c>
      <c r="B7" t="s">
        <v>10</v>
      </c>
      <c r="C7" t="s">
        <v>17</v>
      </c>
      <c r="D7" t="s">
        <v>120</v>
      </c>
    </row>
    <row r="8" spans="1:4" x14ac:dyDescent="0.4">
      <c r="A8">
        <v>12</v>
      </c>
      <c r="B8" t="s">
        <v>10</v>
      </c>
      <c r="C8" t="s">
        <v>18</v>
      </c>
      <c r="D8" t="s">
        <v>120</v>
      </c>
    </row>
    <row r="9" spans="1:4" x14ac:dyDescent="0.4">
      <c r="A9">
        <v>13</v>
      </c>
      <c r="B9" t="s">
        <v>10</v>
      </c>
      <c r="C9" t="s">
        <v>19</v>
      </c>
      <c r="D9" t="s">
        <v>120</v>
      </c>
    </row>
    <row r="10" spans="1:4" x14ac:dyDescent="0.4">
      <c r="A10">
        <v>14</v>
      </c>
      <c r="B10" t="s">
        <v>10</v>
      </c>
      <c r="C10" t="s">
        <v>20</v>
      </c>
      <c r="D10" t="s">
        <v>120</v>
      </c>
    </row>
    <row r="11" spans="1:4" x14ac:dyDescent="0.4">
      <c r="A11">
        <v>15</v>
      </c>
      <c r="B11" t="s">
        <v>10</v>
      </c>
      <c r="C11" t="s">
        <v>21</v>
      </c>
      <c r="D11" t="s">
        <v>120</v>
      </c>
    </row>
    <row r="12" spans="1:4" x14ac:dyDescent="0.4">
      <c r="A12">
        <v>16</v>
      </c>
      <c r="B12" t="s">
        <v>10</v>
      </c>
      <c r="C12" t="s">
        <v>22</v>
      </c>
      <c r="D12" t="s">
        <v>120</v>
      </c>
    </row>
    <row r="13" spans="1:4" x14ac:dyDescent="0.4">
      <c r="A13">
        <v>17</v>
      </c>
      <c r="B13" t="s">
        <v>23</v>
      </c>
      <c r="C13" t="s">
        <v>11</v>
      </c>
      <c r="D13" t="s">
        <v>121</v>
      </c>
    </row>
    <row r="14" spans="1:4" x14ac:dyDescent="0.4">
      <c r="A14">
        <v>18</v>
      </c>
      <c r="B14" t="s">
        <v>23</v>
      </c>
      <c r="C14" t="s">
        <v>13</v>
      </c>
      <c r="D14" t="s">
        <v>121</v>
      </c>
    </row>
    <row r="15" spans="1:4" x14ac:dyDescent="0.4">
      <c r="A15">
        <v>19</v>
      </c>
      <c r="B15" t="s">
        <v>23</v>
      </c>
      <c r="C15" t="s">
        <v>14</v>
      </c>
      <c r="D15" t="s">
        <v>121</v>
      </c>
    </row>
    <row r="16" spans="1:4" x14ac:dyDescent="0.4">
      <c r="A16">
        <v>20</v>
      </c>
      <c r="B16" t="s">
        <v>23</v>
      </c>
      <c r="C16" t="s">
        <v>15</v>
      </c>
      <c r="D16" t="s">
        <v>121</v>
      </c>
    </row>
    <row r="17" spans="1:4" x14ac:dyDescent="0.4">
      <c r="A17">
        <v>21</v>
      </c>
      <c r="B17" t="s">
        <v>23</v>
      </c>
      <c r="C17" t="s">
        <v>16</v>
      </c>
      <c r="D17" t="s">
        <v>121</v>
      </c>
    </row>
    <row r="18" spans="1:4" x14ac:dyDescent="0.4">
      <c r="A18">
        <v>22</v>
      </c>
      <c r="B18" t="s">
        <v>23</v>
      </c>
      <c r="C18" t="s">
        <v>17</v>
      </c>
      <c r="D18" t="s">
        <v>121</v>
      </c>
    </row>
    <row r="19" spans="1:4" x14ac:dyDescent="0.4">
      <c r="A19">
        <v>23</v>
      </c>
      <c r="B19" t="s">
        <v>23</v>
      </c>
      <c r="C19" t="s">
        <v>18</v>
      </c>
      <c r="D19" t="s">
        <v>121</v>
      </c>
    </row>
    <row r="20" spans="1:4" x14ac:dyDescent="0.4">
      <c r="A20">
        <v>24</v>
      </c>
      <c r="B20" t="s">
        <v>23</v>
      </c>
      <c r="C20" t="s">
        <v>19</v>
      </c>
      <c r="D20" t="s">
        <v>121</v>
      </c>
    </row>
    <row r="21" spans="1:4" x14ac:dyDescent="0.4">
      <c r="A21">
        <v>25</v>
      </c>
      <c r="B21" t="s">
        <v>23</v>
      </c>
      <c r="C21" t="s">
        <v>20</v>
      </c>
      <c r="D21" t="s">
        <v>121</v>
      </c>
    </row>
    <row r="22" spans="1:4" x14ac:dyDescent="0.4">
      <c r="A22">
        <v>26</v>
      </c>
      <c r="B22" t="s">
        <v>23</v>
      </c>
      <c r="C22" t="s">
        <v>21</v>
      </c>
      <c r="D22" t="s">
        <v>121</v>
      </c>
    </row>
    <row r="23" spans="1:4" x14ac:dyDescent="0.4">
      <c r="A23">
        <v>27</v>
      </c>
      <c r="B23" t="s">
        <v>23</v>
      </c>
      <c r="C23" t="s">
        <v>22</v>
      </c>
      <c r="D23" t="s">
        <v>121</v>
      </c>
    </row>
    <row r="24" spans="1:4" x14ac:dyDescent="0.4">
      <c r="A24">
        <v>28</v>
      </c>
      <c r="B24" t="s">
        <v>25</v>
      </c>
      <c r="C24" t="s">
        <v>11</v>
      </c>
      <c r="D24" t="s">
        <v>122</v>
      </c>
    </row>
    <row r="25" spans="1:4" x14ac:dyDescent="0.4">
      <c r="A25">
        <v>29</v>
      </c>
      <c r="B25" t="s">
        <v>25</v>
      </c>
      <c r="C25" t="s">
        <v>13</v>
      </c>
      <c r="D25" t="s">
        <v>122</v>
      </c>
    </row>
    <row r="26" spans="1:4" x14ac:dyDescent="0.4">
      <c r="A26">
        <v>30</v>
      </c>
      <c r="B26" t="s">
        <v>25</v>
      </c>
      <c r="C26" t="s">
        <v>14</v>
      </c>
      <c r="D26" t="s">
        <v>122</v>
      </c>
    </row>
    <row r="27" spans="1:4" x14ac:dyDescent="0.4">
      <c r="A27">
        <v>31</v>
      </c>
      <c r="B27" t="s">
        <v>25</v>
      </c>
      <c r="C27" t="s">
        <v>15</v>
      </c>
      <c r="D27" t="s">
        <v>122</v>
      </c>
    </row>
    <row r="28" spans="1:4" x14ac:dyDescent="0.4">
      <c r="A28">
        <v>32</v>
      </c>
      <c r="B28" t="s">
        <v>25</v>
      </c>
      <c r="C28" t="s">
        <v>16</v>
      </c>
      <c r="D28" t="s">
        <v>122</v>
      </c>
    </row>
    <row r="29" spans="1:4" x14ac:dyDescent="0.4">
      <c r="A29">
        <v>33</v>
      </c>
      <c r="B29" t="s">
        <v>25</v>
      </c>
      <c r="C29" t="s">
        <v>17</v>
      </c>
      <c r="D29" t="s">
        <v>122</v>
      </c>
    </row>
    <row r="30" spans="1:4" x14ac:dyDescent="0.4">
      <c r="A30">
        <v>34</v>
      </c>
      <c r="B30" t="s">
        <v>25</v>
      </c>
      <c r="C30" t="s">
        <v>18</v>
      </c>
      <c r="D30" t="s">
        <v>122</v>
      </c>
    </row>
    <row r="31" spans="1:4" x14ac:dyDescent="0.4">
      <c r="A31">
        <v>35</v>
      </c>
      <c r="B31" t="s">
        <v>25</v>
      </c>
      <c r="C31" t="s">
        <v>19</v>
      </c>
      <c r="D31" t="s">
        <v>122</v>
      </c>
    </row>
    <row r="32" spans="1:4" x14ac:dyDescent="0.4">
      <c r="A32">
        <v>36</v>
      </c>
      <c r="B32" t="s">
        <v>25</v>
      </c>
      <c r="C32" t="s">
        <v>20</v>
      </c>
      <c r="D32" t="s">
        <v>122</v>
      </c>
    </row>
    <row r="33" spans="1:4" x14ac:dyDescent="0.4">
      <c r="A33">
        <v>37</v>
      </c>
      <c r="B33" t="s">
        <v>25</v>
      </c>
      <c r="C33" t="s">
        <v>21</v>
      </c>
      <c r="D33" t="s">
        <v>122</v>
      </c>
    </row>
    <row r="34" spans="1:4" x14ac:dyDescent="0.4">
      <c r="A34">
        <v>38</v>
      </c>
      <c r="B34" t="s">
        <v>25</v>
      </c>
      <c r="C34" t="s">
        <v>22</v>
      </c>
      <c r="D34" t="s">
        <v>122</v>
      </c>
    </row>
    <row r="35" spans="1:4" x14ac:dyDescent="0.4">
      <c r="A35">
        <v>39</v>
      </c>
      <c r="B35" t="s">
        <v>27</v>
      </c>
      <c r="C35" t="s">
        <v>11</v>
      </c>
      <c r="D35" t="s">
        <v>123</v>
      </c>
    </row>
    <row r="36" spans="1:4" x14ac:dyDescent="0.4">
      <c r="A36">
        <v>40</v>
      </c>
      <c r="B36" t="s">
        <v>27</v>
      </c>
      <c r="C36" t="s">
        <v>13</v>
      </c>
      <c r="D36" t="s">
        <v>123</v>
      </c>
    </row>
    <row r="37" spans="1:4" x14ac:dyDescent="0.4">
      <c r="A37">
        <v>41</v>
      </c>
      <c r="B37" t="s">
        <v>27</v>
      </c>
      <c r="C37" t="s">
        <v>14</v>
      </c>
      <c r="D37" t="s">
        <v>123</v>
      </c>
    </row>
    <row r="38" spans="1:4" x14ac:dyDescent="0.4">
      <c r="A38">
        <v>42</v>
      </c>
      <c r="B38" t="s">
        <v>27</v>
      </c>
      <c r="C38" t="s">
        <v>15</v>
      </c>
      <c r="D38" t="s">
        <v>123</v>
      </c>
    </row>
    <row r="39" spans="1:4" x14ac:dyDescent="0.4">
      <c r="A39">
        <v>43</v>
      </c>
      <c r="B39" t="s">
        <v>27</v>
      </c>
      <c r="C39" t="s">
        <v>16</v>
      </c>
      <c r="D39" t="s">
        <v>123</v>
      </c>
    </row>
    <row r="40" spans="1:4" x14ac:dyDescent="0.4">
      <c r="A40">
        <v>44</v>
      </c>
      <c r="B40" t="s">
        <v>27</v>
      </c>
      <c r="C40" t="s">
        <v>17</v>
      </c>
      <c r="D40" t="s">
        <v>123</v>
      </c>
    </row>
    <row r="41" spans="1:4" x14ac:dyDescent="0.4">
      <c r="A41">
        <v>45</v>
      </c>
      <c r="B41" t="s">
        <v>27</v>
      </c>
      <c r="C41" t="s">
        <v>18</v>
      </c>
      <c r="D41" t="s">
        <v>123</v>
      </c>
    </row>
    <row r="42" spans="1:4" x14ac:dyDescent="0.4">
      <c r="A42">
        <v>46</v>
      </c>
      <c r="B42" t="s">
        <v>27</v>
      </c>
      <c r="C42" t="s">
        <v>19</v>
      </c>
      <c r="D42" t="s">
        <v>123</v>
      </c>
    </row>
    <row r="43" spans="1:4" x14ac:dyDescent="0.4">
      <c r="A43">
        <v>47</v>
      </c>
      <c r="B43" t="s">
        <v>27</v>
      </c>
      <c r="C43" t="s">
        <v>20</v>
      </c>
      <c r="D43" t="s">
        <v>123</v>
      </c>
    </row>
    <row r="44" spans="1:4" x14ac:dyDescent="0.4">
      <c r="A44">
        <v>48</v>
      </c>
      <c r="B44" t="s">
        <v>27</v>
      </c>
      <c r="C44" t="s">
        <v>21</v>
      </c>
      <c r="D44" t="s">
        <v>123</v>
      </c>
    </row>
    <row r="45" spans="1:4" x14ac:dyDescent="0.4">
      <c r="A45">
        <v>49</v>
      </c>
      <c r="B45" t="s">
        <v>27</v>
      </c>
      <c r="C45" t="s">
        <v>22</v>
      </c>
      <c r="D45" t="s">
        <v>123</v>
      </c>
    </row>
    <row r="46" spans="1:4" x14ac:dyDescent="0.4">
      <c r="A46">
        <v>50</v>
      </c>
      <c r="B46" t="s">
        <v>29</v>
      </c>
      <c r="C46" t="s">
        <v>11</v>
      </c>
      <c r="D46" t="s">
        <v>124</v>
      </c>
    </row>
    <row r="47" spans="1:4" x14ac:dyDescent="0.4">
      <c r="A47">
        <v>51</v>
      </c>
      <c r="B47" t="s">
        <v>29</v>
      </c>
      <c r="C47" t="s">
        <v>13</v>
      </c>
      <c r="D47" t="s">
        <v>124</v>
      </c>
    </row>
    <row r="48" spans="1:4" x14ac:dyDescent="0.4">
      <c r="A48">
        <v>52</v>
      </c>
      <c r="B48" t="s">
        <v>29</v>
      </c>
      <c r="C48" t="s">
        <v>14</v>
      </c>
      <c r="D48" t="s">
        <v>124</v>
      </c>
    </row>
    <row r="49" spans="1:4" x14ac:dyDescent="0.4">
      <c r="A49">
        <v>53</v>
      </c>
      <c r="B49" t="s">
        <v>29</v>
      </c>
      <c r="C49" t="s">
        <v>15</v>
      </c>
      <c r="D49" t="s">
        <v>124</v>
      </c>
    </row>
    <row r="50" spans="1:4" x14ac:dyDescent="0.4">
      <c r="A50">
        <v>54</v>
      </c>
      <c r="B50" t="s">
        <v>29</v>
      </c>
      <c r="C50" t="s">
        <v>16</v>
      </c>
      <c r="D50" t="s">
        <v>124</v>
      </c>
    </row>
    <row r="51" spans="1:4" x14ac:dyDescent="0.4">
      <c r="A51">
        <v>55</v>
      </c>
      <c r="B51" t="s">
        <v>29</v>
      </c>
      <c r="C51" t="s">
        <v>17</v>
      </c>
      <c r="D51" t="s">
        <v>124</v>
      </c>
    </row>
    <row r="52" spans="1:4" x14ac:dyDescent="0.4">
      <c r="A52">
        <v>56</v>
      </c>
      <c r="B52" t="s">
        <v>29</v>
      </c>
      <c r="C52" t="s">
        <v>18</v>
      </c>
      <c r="D52" t="s">
        <v>124</v>
      </c>
    </row>
    <row r="53" spans="1:4" x14ac:dyDescent="0.4">
      <c r="A53">
        <v>57</v>
      </c>
      <c r="B53" t="s">
        <v>29</v>
      </c>
      <c r="C53" t="s">
        <v>19</v>
      </c>
      <c r="D53" t="s">
        <v>124</v>
      </c>
    </row>
    <row r="54" spans="1:4" x14ac:dyDescent="0.4">
      <c r="A54">
        <v>58</v>
      </c>
      <c r="B54" t="s">
        <v>29</v>
      </c>
      <c r="C54" t="s">
        <v>20</v>
      </c>
      <c r="D54" t="s">
        <v>124</v>
      </c>
    </row>
    <row r="55" spans="1:4" x14ac:dyDescent="0.4">
      <c r="A55">
        <v>59</v>
      </c>
      <c r="B55" t="s">
        <v>29</v>
      </c>
      <c r="C55" t="s">
        <v>21</v>
      </c>
      <c r="D55" t="s">
        <v>124</v>
      </c>
    </row>
    <row r="56" spans="1:4" x14ac:dyDescent="0.4">
      <c r="A56">
        <v>60</v>
      </c>
      <c r="B56" t="s">
        <v>29</v>
      </c>
      <c r="C56" t="s">
        <v>22</v>
      </c>
      <c r="D56" t="s">
        <v>124</v>
      </c>
    </row>
    <row r="57" spans="1:4" x14ac:dyDescent="0.4">
      <c r="A57">
        <v>61</v>
      </c>
      <c r="B57" t="s">
        <v>31</v>
      </c>
      <c r="C57" t="s">
        <v>11</v>
      </c>
      <c r="D57" t="s">
        <v>125</v>
      </c>
    </row>
    <row r="58" spans="1:4" x14ac:dyDescent="0.4">
      <c r="A58">
        <v>62</v>
      </c>
      <c r="B58" t="s">
        <v>31</v>
      </c>
      <c r="C58" t="s">
        <v>13</v>
      </c>
      <c r="D58" t="s">
        <v>125</v>
      </c>
    </row>
    <row r="59" spans="1:4" x14ac:dyDescent="0.4">
      <c r="A59">
        <v>63</v>
      </c>
      <c r="B59" t="s">
        <v>31</v>
      </c>
      <c r="C59" t="s">
        <v>14</v>
      </c>
      <c r="D59" t="s">
        <v>125</v>
      </c>
    </row>
    <row r="60" spans="1:4" x14ac:dyDescent="0.4">
      <c r="A60">
        <v>64</v>
      </c>
      <c r="B60" t="s">
        <v>31</v>
      </c>
      <c r="C60" t="s">
        <v>15</v>
      </c>
      <c r="D60" t="s">
        <v>125</v>
      </c>
    </row>
    <row r="61" spans="1:4" x14ac:dyDescent="0.4">
      <c r="A61">
        <v>65</v>
      </c>
      <c r="B61" t="s">
        <v>31</v>
      </c>
      <c r="C61" t="s">
        <v>16</v>
      </c>
      <c r="D61" t="s">
        <v>125</v>
      </c>
    </row>
    <row r="62" spans="1:4" x14ac:dyDescent="0.4">
      <c r="A62">
        <v>66</v>
      </c>
      <c r="B62" t="s">
        <v>31</v>
      </c>
      <c r="C62" t="s">
        <v>17</v>
      </c>
      <c r="D62" t="s">
        <v>125</v>
      </c>
    </row>
    <row r="63" spans="1:4" x14ac:dyDescent="0.4">
      <c r="A63">
        <v>67</v>
      </c>
      <c r="B63" t="s">
        <v>31</v>
      </c>
      <c r="C63" t="s">
        <v>18</v>
      </c>
      <c r="D63" t="s">
        <v>125</v>
      </c>
    </row>
    <row r="64" spans="1:4" x14ac:dyDescent="0.4">
      <c r="A64">
        <v>68</v>
      </c>
      <c r="B64" t="s">
        <v>31</v>
      </c>
      <c r="C64" t="s">
        <v>19</v>
      </c>
      <c r="D64" t="s">
        <v>125</v>
      </c>
    </row>
    <row r="65" spans="1:4" x14ac:dyDescent="0.4">
      <c r="A65">
        <v>69</v>
      </c>
      <c r="B65" t="s">
        <v>31</v>
      </c>
      <c r="C65" t="s">
        <v>20</v>
      </c>
      <c r="D65" t="s">
        <v>125</v>
      </c>
    </row>
    <row r="66" spans="1:4" x14ac:dyDescent="0.4">
      <c r="A66">
        <v>70</v>
      </c>
      <c r="B66" t="s">
        <v>31</v>
      </c>
      <c r="C66" t="s">
        <v>21</v>
      </c>
      <c r="D66" t="s">
        <v>125</v>
      </c>
    </row>
    <row r="67" spans="1:4" x14ac:dyDescent="0.4">
      <c r="A67">
        <v>71</v>
      </c>
      <c r="B67" t="s">
        <v>31</v>
      </c>
      <c r="C67" t="s">
        <v>22</v>
      </c>
      <c r="D67" t="s">
        <v>125</v>
      </c>
    </row>
    <row r="68" spans="1:4" x14ac:dyDescent="0.4">
      <c r="A68">
        <v>72</v>
      </c>
      <c r="B68" t="s">
        <v>33</v>
      </c>
      <c r="C68" t="s">
        <v>11</v>
      </c>
      <c r="D68" t="s">
        <v>126</v>
      </c>
    </row>
    <row r="69" spans="1:4" x14ac:dyDescent="0.4">
      <c r="A69">
        <v>73</v>
      </c>
      <c r="B69" t="s">
        <v>33</v>
      </c>
      <c r="C69" t="s">
        <v>13</v>
      </c>
      <c r="D69" t="s">
        <v>126</v>
      </c>
    </row>
    <row r="70" spans="1:4" x14ac:dyDescent="0.4">
      <c r="A70">
        <v>74</v>
      </c>
      <c r="B70" t="s">
        <v>33</v>
      </c>
      <c r="C70" t="s">
        <v>14</v>
      </c>
      <c r="D70" t="s">
        <v>126</v>
      </c>
    </row>
    <row r="71" spans="1:4" x14ac:dyDescent="0.4">
      <c r="A71">
        <v>75</v>
      </c>
      <c r="B71" t="s">
        <v>33</v>
      </c>
      <c r="C71" t="s">
        <v>15</v>
      </c>
      <c r="D71" t="s">
        <v>126</v>
      </c>
    </row>
    <row r="72" spans="1:4" x14ac:dyDescent="0.4">
      <c r="A72">
        <v>76</v>
      </c>
      <c r="B72" t="s">
        <v>33</v>
      </c>
      <c r="C72" t="s">
        <v>16</v>
      </c>
      <c r="D72" t="s">
        <v>126</v>
      </c>
    </row>
    <row r="73" spans="1:4" x14ac:dyDescent="0.4">
      <c r="A73">
        <v>77</v>
      </c>
      <c r="B73" t="s">
        <v>33</v>
      </c>
      <c r="C73" t="s">
        <v>17</v>
      </c>
      <c r="D73" t="s">
        <v>126</v>
      </c>
    </row>
    <row r="74" spans="1:4" x14ac:dyDescent="0.4">
      <c r="A74">
        <v>78</v>
      </c>
      <c r="B74" t="s">
        <v>33</v>
      </c>
      <c r="C74" t="s">
        <v>18</v>
      </c>
      <c r="D74" t="s">
        <v>126</v>
      </c>
    </row>
    <row r="75" spans="1:4" x14ac:dyDescent="0.4">
      <c r="A75">
        <v>79</v>
      </c>
      <c r="B75" t="s">
        <v>33</v>
      </c>
      <c r="C75" t="s">
        <v>19</v>
      </c>
      <c r="D75" t="s">
        <v>126</v>
      </c>
    </row>
    <row r="76" spans="1:4" x14ac:dyDescent="0.4">
      <c r="A76">
        <v>80</v>
      </c>
      <c r="B76" t="s">
        <v>33</v>
      </c>
      <c r="C76" t="s">
        <v>20</v>
      </c>
      <c r="D76" t="s">
        <v>126</v>
      </c>
    </row>
    <row r="77" spans="1:4" x14ac:dyDescent="0.4">
      <c r="A77">
        <v>81</v>
      </c>
      <c r="B77" t="s">
        <v>33</v>
      </c>
      <c r="C77" t="s">
        <v>21</v>
      </c>
      <c r="D77" t="s">
        <v>126</v>
      </c>
    </row>
    <row r="78" spans="1:4" x14ac:dyDescent="0.4">
      <c r="A78">
        <v>82</v>
      </c>
      <c r="B78" t="s">
        <v>33</v>
      </c>
      <c r="C78" t="s">
        <v>22</v>
      </c>
      <c r="D78" t="s">
        <v>126</v>
      </c>
    </row>
    <row r="79" spans="1:4" x14ac:dyDescent="0.4">
      <c r="A79">
        <v>83</v>
      </c>
      <c r="B79" t="s">
        <v>35</v>
      </c>
      <c r="C79" t="s">
        <v>11</v>
      </c>
      <c r="D79" t="s">
        <v>127</v>
      </c>
    </row>
    <row r="80" spans="1:4" x14ac:dyDescent="0.4">
      <c r="A80">
        <v>84</v>
      </c>
      <c r="B80" t="s">
        <v>35</v>
      </c>
      <c r="C80" t="s">
        <v>13</v>
      </c>
      <c r="D80" t="s">
        <v>127</v>
      </c>
    </row>
    <row r="81" spans="1:4" x14ac:dyDescent="0.4">
      <c r="A81">
        <v>85</v>
      </c>
      <c r="B81" t="s">
        <v>35</v>
      </c>
      <c r="C81" t="s">
        <v>14</v>
      </c>
      <c r="D81" t="s">
        <v>127</v>
      </c>
    </row>
    <row r="82" spans="1:4" x14ac:dyDescent="0.4">
      <c r="A82">
        <v>86</v>
      </c>
      <c r="B82" t="s">
        <v>35</v>
      </c>
      <c r="C82" t="s">
        <v>15</v>
      </c>
      <c r="D82" t="s">
        <v>127</v>
      </c>
    </row>
    <row r="83" spans="1:4" x14ac:dyDescent="0.4">
      <c r="A83">
        <v>87</v>
      </c>
      <c r="B83" t="s">
        <v>35</v>
      </c>
      <c r="C83" t="s">
        <v>16</v>
      </c>
      <c r="D83" t="s">
        <v>127</v>
      </c>
    </row>
    <row r="84" spans="1:4" x14ac:dyDescent="0.4">
      <c r="A84">
        <v>88</v>
      </c>
      <c r="B84" t="s">
        <v>35</v>
      </c>
      <c r="C84" t="s">
        <v>17</v>
      </c>
      <c r="D84" t="s">
        <v>127</v>
      </c>
    </row>
    <row r="85" spans="1:4" x14ac:dyDescent="0.4">
      <c r="A85">
        <v>89</v>
      </c>
      <c r="B85" t="s">
        <v>35</v>
      </c>
      <c r="C85" t="s">
        <v>18</v>
      </c>
      <c r="D85" t="s">
        <v>127</v>
      </c>
    </row>
    <row r="86" spans="1:4" x14ac:dyDescent="0.4">
      <c r="A86">
        <v>90</v>
      </c>
      <c r="B86" t="s">
        <v>35</v>
      </c>
      <c r="C86" t="s">
        <v>19</v>
      </c>
      <c r="D86" t="s">
        <v>127</v>
      </c>
    </row>
    <row r="87" spans="1:4" x14ac:dyDescent="0.4">
      <c r="A87">
        <v>91</v>
      </c>
      <c r="B87" t="s">
        <v>35</v>
      </c>
      <c r="C87" t="s">
        <v>20</v>
      </c>
      <c r="D87" t="s">
        <v>127</v>
      </c>
    </row>
    <row r="88" spans="1:4" x14ac:dyDescent="0.4">
      <c r="A88">
        <v>92</v>
      </c>
      <c r="B88" t="s">
        <v>35</v>
      </c>
      <c r="C88" t="s">
        <v>21</v>
      </c>
      <c r="D88" t="s">
        <v>127</v>
      </c>
    </row>
    <row r="89" spans="1:4" x14ac:dyDescent="0.4">
      <c r="A89">
        <v>93</v>
      </c>
      <c r="B89" t="s">
        <v>35</v>
      </c>
      <c r="C89" t="s">
        <v>22</v>
      </c>
      <c r="D89" t="s">
        <v>127</v>
      </c>
    </row>
    <row r="90" spans="1:4" x14ac:dyDescent="0.4">
      <c r="A90">
        <v>94</v>
      </c>
      <c r="B90" t="s">
        <v>37</v>
      </c>
      <c r="C90" t="s">
        <v>11</v>
      </c>
      <c r="D90" t="s">
        <v>128</v>
      </c>
    </row>
    <row r="91" spans="1:4" x14ac:dyDescent="0.4">
      <c r="A91">
        <v>95</v>
      </c>
      <c r="B91" t="s">
        <v>37</v>
      </c>
      <c r="C91" t="s">
        <v>13</v>
      </c>
      <c r="D91" t="s">
        <v>128</v>
      </c>
    </row>
    <row r="92" spans="1:4" x14ac:dyDescent="0.4">
      <c r="A92">
        <v>96</v>
      </c>
      <c r="B92" t="s">
        <v>37</v>
      </c>
      <c r="C92" t="s">
        <v>14</v>
      </c>
      <c r="D92" t="s">
        <v>128</v>
      </c>
    </row>
    <row r="93" spans="1:4" x14ac:dyDescent="0.4">
      <c r="A93">
        <v>97</v>
      </c>
      <c r="B93" t="s">
        <v>37</v>
      </c>
      <c r="C93" t="s">
        <v>15</v>
      </c>
      <c r="D93" t="s">
        <v>128</v>
      </c>
    </row>
    <row r="94" spans="1:4" x14ac:dyDescent="0.4">
      <c r="A94">
        <v>98</v>
      </c>
      <c r="B94" t="s">
        <v>37</v>
      </c>
      <c r="C94" t="s">
        <v>16</v>
      </c>
      <c r="D94" t="s">
        <v>128</v>
      </c>
    </row>
    <row r="95" spans="1:4" x14ac:dyDescent="0.4">
      <c r="A95">
        <v>99</v>
      </c>
      <c r="B95" t="s">
        <v>37</v>
      </c>
      <c r="C95" t="s">
        <v>17</v>
      </c>
      <c r="D95" t="s">
        <v>128</v>
      </c>
    </row>
    <row r="96" spans="1:4" x14ac:dyDescent="0.4">
      <c r="A96">
        <v>100</v>
      </c>
      <c r="B96" t="s">
        <v>37</v>
      </c>
      <c r="C96" t="s">
        <v>18</v>
      </c>
      <c r="D96" t="s">
        <v>128</v>
      </c>
    </row>
    <row r="97" spans="1:4" x14ac:dyDescent="0.4">
      <c r="A97">
        <v>101</v>
      </c>
      <c r="B97" t="s">
        <v>37</v>
      </c>
      <c r="C97" t="s">
        <v>19</v>
      </c>
      <c r="D97" t="s">
        <v>128</v>
      </c>
    </row>
    <row r="98" spans="1:4" x14ac:dyDescent="0.4">
      <c r="A98">
        <v>102</v>
      </c>
      <c r="B98" t="s">
        <v>37</v>
      </c>
      <c r="C98" t="s">
        <v>20</v>
      </c>
      <c r="D98" t="s">
        <v>128</v>
      </c>
    </row>
    <row r="99" spans="1:4" x14ac:dyDescent="0.4">
      <c r="A99">
        <v>103</v>
      </c>
      <c r="B99" t="s">
        <v>37</v>
      </c>
      <c r="C99" t="s">
        <v>21</v>
      </c>
      <c r="D99" t="s">
        <v>128</v>
      </c>
    </row>
    <row r="100" spans="1:4" x14ac:dyDescent="0.4">
      <c r="A100">
        <v>104</v>
      </c>
      <c r="B100" t="s">
        <v>37</v>
      </c>
      <c r="C100" t="s">
        <v>22</v>
      </c>
      <c r="D100" t="s">
        <v>128</v>
      </c>
    </row>
    <row r="101" spans="1:4" x14ac:dyDescent="0.4">
      <c r="A101">
        <v>105</v>
      </c>
      <c r="B101" t="s">
        <v>39</v>
      </c>
      <c r="C101" t="s">
        <v>11</v>
      </c>
      <c r="D101" t="s">
        <v>129</v>
      </c>
    </row>
    <row r="102" spans="1:4" x14ac:dyDescent="0.4">
      <c r="A102">
        <v>106</v>
      </c>
      <c r="B102" t="s">
        <v>39</v>
      </c>
      <c r="C102" t="s">
        <v>13</v>
      </c>
      <c r="D102" t="s">
        <v>129</v>
      </c>
    </row>
    <row r="103" spans="1:4" x14ac:dyDescent="0.4">
      <c r="A103">
        <v>107</v>
      </c>
      <c r="B103" t="s">
        <v>39</v>
      </c>
      <c r="C103" t="s">
        <v>14</v>
      </c>
      <c r="D103" t="s">
        <v>129</v>
      </c>
    </row>
    <row r="104" spans="1:4" x14ac:dyDescent="0.4">
      <c r="A104">
        <v>108</v>
      </c>
      <c r="B104" t="s">
        <v>39</v>
      </c>
      <c r="C104" t="s">
        <v>15</v>
      </c>
      <c r="D104" t="s">
        <v>129</v>
      </c>
    </row>
    <row r="105" spans="1:4" x14ac:dyDescent="0.4">
      <c r="A105">
        <v>109</v>
      </c>
      <c r="B105" t="s">
        <v>39</v>
      </c>
      <c r="C105" t="s">
        <v>16</v>
      </c>
      <c r="D105" t="s">
        <v>129</v>
      </c>
    </row>
    <row r="106" spans="1:4" x14ac:dyDescent="0.4">
      <c r="A106">
        <v>110</v>
      </c>
      <c r="B106" t="s">
        <v>39</v>
      </c>
      <c r="C106" t="s">
        <v>17</v>
      </c>
      <c r="D106" t="s">
        <v>129</v>
      </c>
    </row>
    <row r="107" spans="1:4" x14ac:dyDescent="0.4">
      <c r="A107">
        <v>111</v>
      </c>
      <c r="B107" t="s">
        <v>39</v>
      </c>
      <c r="C107" t="s">
        <v>18</v>
      </c>
      <c r="D107" t="s">
        <v>129</v>
      </c>
    </row>
    <row r="108" spans="1:4" x14ac:dyDescent="0.4">
      <c r="A108">
        <v>112</v>
      </c>
      <c r="B108" t="s">
        <v>39</v>
      </c>
      <c r="C108" t="s">
        <v>19</v>
      </c>
      <c r="D108" t="s">
        <v>129</v>
      </c>
    </row>
    <row r="109" spans="1:4" x14ac:dyDescent="0.4">
      <c r="A109">
        <v>113</v>
      </c>
      <c r="B109" t="s">
        <v>39</v>
      </c>
      <c r="C109" t="s">
        <v>20</v>
      </c>
      <c r="D109" t="s">
        <v>129</v>
      </c>
    </row>
    <row r="110" spans="1:4" x14ac:dyDescent="0.4">
      <c r="A110">
        <v>114</v>
      </c>
      <c r="B110" t="s">
        <v>39</v>
      </c>
      <c r="C110" t="s">
        <v>21</v>
      </c>
      <c r="D110" t="s">
        <v>129</v>
      </c>
    </row>
    <row r="111" spans="1:4" x14ac:dyDescent="0.4">
      <c r="A111">
        <v>115</v>
      </c>
      <c r="B111" t="s">
        <v>39</v>
      </c>
      <c r="C111" t="s">
        <v>22</v>
      </c>
      <c r="D111" t="s">
        <v>129</v>
      </c>
    </row>
    <row r="112" spans="1:4" x14ac:dyDescent="0.4">
      <c r="A112">
        <v>116</v>
      </c>
      <c r="B112" t="s">
        <v>41</v>
      </c>
      <c r="C112" t="s">
        <v>11</v>
      </c>
      <c r="D112" t="s">
        <v>130</v>
      </c>
    </row>
    <row r="113" spans="1:4" x14ac:dyDescent="0.4">
      <c r="A113">
        <v>117</v>
      </c>
      <c r="B113" t="s">
        <v>41</v>
      </c>
      <c r="C113" t="s">
        <v>13</v>
      </c>
      <c r="D113" t="s">
        <v>130</v>
      </c>
    </row>
    <row r="114" spans="1:4" x14ac:dyDescent="0.4">
      <c r="A114">
        <v>118</v>
      </c>
      <c r="B114" t="s">
        <v>41</v>
      </c>
      <c r="C114" t="s">
        <v>14</v>
      </c>
      <c r="D114" t="s">
        <v>130</v>
      </c>
    </row>
    <row r="115" spans="1:4" x14ac:dyDescent="0.4">
      <c r="A115">
        <v>119</v>
      </c>
      <c r="B115" t="s">
        <v>41</v>
      </c>
      <c r="C115" t="s">
        <v>15</v>
      </c>
      <c r="D115" t="s">
        <v>130</v>
      </c>
    </row>
    <row r="116" spans="1:4" x14ac:dyDescent="0.4">
      <c r="A116">
        <v>120</v>
      </c>
      <c r="B116" t="s">
        <v>41</v>
      </c>
      <c r="C116" t="s">
        <v>16</v>
      </c>
      <c r="D116" t="s">
        <v>130</v>
      </c>
    </row>
    <row r="117" spans="1:4" x14ac:dyDescent="0.4">
      <c r="A117">
        <v>121</v>
      </c>
      <c r="B117" t="s">
        <v>41</v>
      </c>
      <c r="C117" t="s">
        <v>17</v>
      </c>
      <c r="D117" t="s">
        <v>130</v>
      </c>
    </row>
    <row r="118" spans="1:4" x14ac:dyDescent="0.4">
      <c r="A118">
        <v>122</v>
      </c>
      <c r="B118" t="s">
        <v>41</v>
      </c>
      <c r="C118" t="s">
        <v>18</v>
      </c>
      <c r="D118" t="s">
        <v>130</v>
      </c>
    </row>
    <row r="119" spans="1:4" x14ac:dyDescent="0.4">
      <c r="A119">
        <v>123</v>
      </c>
      <c r="B119" t="s">
        <v>41</v>
      </c>
      <c r="C119" t="s">
        <v>19</v>
      </c>
      <c r="D119" t="s">
        <v>130</v>
      </c>
    </row>
    <row r="120" spans="1:4" x14ac:dyDescent="0.4">
      <c r="A120">
        <v>124</v>
      </c>
      <c r="B120" t="s">
        <v>41</v>
      </c>
      <c r="C120" t="s">
        <v>20</v>
      </c>
      <c r="D120" t="s">
        <v>130</v>
      </c>
    </row>
    <row r="121" spans="1:4" x14ac:dyDescent="0.4">
      <c r="A121">
        <v>125</v>
      </c>
      <c r="B121" t="s">
        <v>41</v>
      </c>
      <c r="C121" t="s">
        <v>21</v>
      </c>
      <c r="D121" t="s">
        <v>130</v>
      </c>
    </row>
    <row r="122" spans="1:4" x14ac:dyDescent="0.4">
      <c r="A122">
        <v>126</v>
      </c>
      <c r="B122" t="s">
        <v>41</v>
      </c>
      <c r="C122" t="s">
        <v>22</v>
      </c>
      <c r="D122" t="s">
        <v>130</v>
      </c>
    </row>
    <row r="123" spans="1:4" x14ac:dyDescent="0.4">
      <c r="A123">
        <v>127</v>
      </c>
      <c r="B123" t="s">
        <v>43</v>
      </c>
      <c r="C123" t="s">
        <v>11</v>
      </c>
      <c r="D123" t="s">
        <v>131</v>
      </c>
    </row>
    <row r="124" spans="1:4" x14ac:dyDescent="0.4">
      <c r="A124">
        <v>128</v>
      </c>
      <c r="B124" t="s">
        <v>43</v>
      </c>
      <c r="C124" t="s">
        <v>13</v>
      </c>
      <c r="D124" t="s">
        <v>131</v>
      </c>
    </row>
    <row r="125" spans="1:4" x14ac:dyDescent="0.4">
      <c r="A125">
        <v>129</v>
      </c>
      <c r="B125" t="s">
        <v>43</v>
      </c>
      <c r="C125" t="s">
        <v>14</v>
      </c>
      <c r="D125" t="s">
        <v>131</v>
      </c>
    </row>
    <row r="126" spans="1:4" x14ac:dyDescent="0.4">
      <c r="A126">
        <v>130</v>
      </c>
      <c r="B126" t="s">
        <v>43</v>
      </c>
      <c r="C126" t="s">
        <v>15</v>
      </c>
      <c r="D126" t="s">
        <v>131</v>
      </c>
    </row>
    <row r="127" spans="1:4" x14ac:dyDescent="0.4">
      <c r="A127">
        <v>131</v>
      </c>
      <c r="B127" t="s">
        <v>43</v>
      </c>
      <c r="C127" t="s">
        <v>16</v>
      </c>
      <c r="D127" t="s">
        <v>131</v>
      </c>
    </row>
    <row r="128" spans="1:4" x14ac:dyDescent="0.4">
      <c r="A128">
        <v>132</v>
      </c>
      <c r="B128" t="s">
        <v>43</v>
      </c>
      <c r="C128" t="s">
        <v>17</v>
      </c>
      <c r="D128" t="s">
        <v>131</v>
      </c>
    </row>
    <row r="129" spans="1:4" x14ac:dyDescent="0.4">
      <c r="A129">
        <v>133</v>
      </c>
      <c r="B129" t="s">
        <v>43</v>
      </c>
      <c r="C129" t="s">
        <v>18</v>
      </c>
      <c r="D129" t="s">
        <v>131</v>
      </c>
    </row>
    <row r="130" spans="1:4" x14ac:dyDescent="0.4">
      <c r="A130">
        <v>134</v>
      </c>
      <c r="B130" t="s">
        <v>43</v>
      </c>
      <c r="C130" t="s">
        <v>19</v>
      </c>
      <c r="D130" t="s">
        <v>131</v>
      </c>
    </row>
    <row r="131" spans="1:4" x14ac:dyDescent="0.4">
      <c r="A131">
        <v>135</v>
      </c>
      <c r="B131" t="s">
        <v>43</v>
      </c>
      <c r="C131" t="s">
        <v>20</v>
      </c>
      <c r="D131" t="s">
        <v>131</v>
      </c>
    </row>
    <row r="132" spans="1:4" x14ac:dyDescent="0.4">
      <c r="A132">
        <v>136</v>
      </c>
      <c r="B132" t="s">
        <v>43</v>
      </c>
      <c r="C132" t="s">
        <v>21</v>
      </c>
      <c r="D132" t="s">
        <v>131</v>
      </c>
    </row>
    <row r="133" spans="1:4" x14ac:dyDescent="0.4">
      <c r="A133">
        <v>137</v>
      </c>
      <c r="B133" t="s">
        <v>43</v>
      </c>
      <c r="C133" t="s">
        <v>22</v>
      </c>
      <c r="D133" t="s">
        <v>131</v>
      </c>
    </row>
    <row r="134" spans="1:4" x14ac:dyDescent="0.4">
      <c r="A134">
        <v>139</v>
      </c>
      <c r="B134" t="s">
        <v>10</v>
      </c>
      <c r="C134" t="s">
        <v>46</v>
      </c>
      <c r="D134" t="s">
        <v>120</v>
      </c>
    </row>
    <row r="135" spans="1:4" x14ac:dyDescent="0.4">
      <c r="A135">
        <v>140</v>
      </c>
      <c r="B135" t="s">
        <v>10</v>
      </c>
      <c r="C135" t="s">
        <v>47</v>
      </c>
      <c r="D135" t="s">
        <v>120</v>
      </c>
    </row>
    <row r="136" spans="1:4" x14ac:dyDescent="0.4">
      <c r="A136">
        <v>141</v>
      </c>
      <c r="B136" t="s">
        <v>10</v>
      </c>
      <c r="C136" t="s">
        <v>48</v>
      </c>
      <c r="D136" t="s">
        <v>120</v>
      </c>
    </row>
    <row r="137" spans="1:4" x14ac:dyDescent="0.4">
      <c r="A137">
        <v>142</v>
      </c>
      <c r="B137" t="s">
        <v>10</v>
      </c>
      <c r="C137" t="s">
        <v>49</v>
      </c>
      <c r="D137" t="s">
        <v>120</v>
      </c>
    </row>
    <row r="138" spans="1:4" x14ac:dyDescent="0.4">
      <c r="A138">
        <v>143</v>
      </c>
      <c r="B138" t="s">
        <v>10</v>
      </c>
      <c r="C138" t="s">
        <v>50</v>
      </c>
      <c r="D138" t="s">
        <v>120</v>
      </c>
    </row>
    <row r="139" spans="1:4" x14ac:dyDescent="0.4">
      <c r="A139">
        <v>144</v>
      </c>
      <c r="B139" t="s">
        <v>10</v>
      </c>
      <c r="C139" t="s">
        <v>51</v>
      </c>
      <c r="D139" t="s">
        <v>120</v>
      </c>
    </row>
    <row r="140" spans="1:4" x14ac:dyDescent="0.4">
      <c r="A140">
        <v>145</v>
      </c>
      <c r="B140" t="s">
        <v>10</v>
      </c>
      <c r="C140" t="s">
        <v>52</v>
      </c>
      <c r="D140" t="s">
        <v>120</v>
      </c>
    </row>
    <row r="141" spans="1:4" x14ac:dyDescent="0.4">
      <c r="A141">
        <v>146</v>
      </c>
      <c r="B141" t="s">
        <v>10</v>
      </c>
      <c r="C141" t="s">
        <v>53</v>
      </c>
      <c r="D141" t="s">
        <v>120</v>
      </c>
    </row>
    <row r="142" spans="1:4" x14ac:dyDescent="0.4">
      <c r="A142">
        <v>147</v>
      </c>
      <c r="B142" t="s">
        <v>23</v>
      </c>
      <c r="C142" t="s">
        <v>46</v>
      </c>
      <c r="D142" t="s">
        <v>121</v>
      </c>
    </row>
    <row r="143" spans="1:4" x14ac:dyDescent="0.4">
      <c r="A143">
        <v>148</v>
      </c>
      <c r="B143" t="s">
        <v>23</v>
      </c>
      <c r="C143" t="s">
        <v>47</v>
      </c>
      <c r="D143" t="s">
        <v>121</v>
      </c>
    </row>
    <row r="144" spans="1:4" x14ac:dyDescent="0.4">
      <c r="A144">
        <v>149</v>
      </c>
      <c r="B144" t="s">
        <v>23</v>
      </c>
      <c r="C144" t="s">
        <v>48</v>
      </c>
      <c r="D144" t="s">
        <v>121</v>
      </c>
    </row>
    <row r="145" spans="1:4" x14ac:dyDescent="0.4">
      <c r="A145">
        <v>150</v>
      </c>
      <c r="B145" t="s">
        <v>23</v>
      </c>
      <c r="C145" t="s">
        <v>49</v>
      </c>
      <c r="D145" t="s">
        <v>121</v>
      </c>
    </row>
    <row r="146" spans="1:4" x14ac:dyDescent="0.4">
      <c r="A146">
        <v>151</v>
      </c>
      <c r="B146" t="s">
        <v>23</v>
      </c>
      <c r="C146" t="s">
        <v>50</v>
      </c>
      <c r="D146" t="s">
        <v>121</v>
      </c>
    </row>
    <row r="147" spans="1:4" x14ac:dyDescent="0.4">
      <c r="A147">
        <v>152</v>
      </c>
      <c r="B147" t="s">
        <v>23</v>
      </c>
      <c r="C147" t="s">
        <v>51</v>
      </c>
      <c r="D147" t="s">
        <v>121</v>
      </c>
    </row>
    <row r="148" spans="1:4" x14ac:dyDescent="0.4">
      <c r="A148">
        <v>153</v>
      </c>
      <c r="B148" t="s">
        <v>23</v>
      </c>
      <c r="C148" t="s">
        <v>52</v>
      </c>
      <c r="D148" t="s">
        <v>121</v>
      </c>
    </row>
    <row r="149" spans="1:4" x14ac:dyDescent="0.4">
      <c r="A149">
        <v>154</v>
      </c>
      <c r="B149" t="s">
        <v>23</v>
      </c>
      <c r="C149" t="s">
        <v>53</v>
      </c>
      <c r="D149" t="s">
        <v>121</v>
      </c>
    </row>
    <row r="150" spans="1:4" x14ac:dyDescent="0.4">
      <c r="A150">
        <v>155</v>
      </c>
      <c r="B150" t="s">
        <v>25</v>
      </c>
      <c r="C150" t="s">
        <v>46</v>
      </c>
      <c r="D150" t="s">
        <v>122</v>
      </c>
    </row>
    <row r="151" spans="1:4" x14ac:dyDescent="0.4">
      <c r="A151">
        <v>156</v>
      </c>
      <c r="B151" t="s">
        <v>25</v>
      </c>
      <c r="C151" t="s">
        <v>47</v>
      </c>
      <c r="D151" t="s">
        <v>122</v>
      </c>
    </row>
    <row r="152" spans="1:4" x14ac:dyDescent="0.4">
      <c r="A152">
        <v>157</v>
      </c>
      <c r="B152" t="s">
        <v>25</v>
      </c>
      <c r="C152" t="s">
        <v>48</v>
      </c>
      <c r="D152" t="s">
        <v>122</v>
      </c>
    </row>
    <row r="153" spans="1:4" x14ac:dyDescent="0.4">
      <c r="A153">
        <v>158</v>
      </c>
      <c r="B153" t="s">
        <v>25</v>
      </c>
      <c r="C153" t="s">
        <v>49</v>
      </c>
      <c r="D153" t="s">
        <v>122</v>
      </c>
    </row>
    <row r="154" spans="1:4" x14ac:dyDescent="0.4">
      <c r="A154">
        <v>159</v>
      </c>
      <c r="B154" t="s">
        <v>25</v>
      </c>
      <c r="C154" t="s">
        <v>50</v>
      </c>
      <c r="D154" t="s">
        <v>122</v>
      </c>
    </row>
    <row r="155" spans="1:4" x14ac:dyDescent="0.4">
      <c r="A155">
        <v>160</v>
      </c>
      <c r="B155" t="s">
        <v>25</v>
      </c>
      <c r="C155" t="s">
        <v>51</v>
      </c>
      <c r="D155" t="s">
        <v>122</v>
      </c>
    </row>
    <row r="156" spans="1:4" x14ac:dyDescent="0.4">
      <c r="A156">
        <v>161</v>
      </c>
      <c r="B156" t="s">
        <v>25</v>
      </c>
      <c r="C156" t="s">
        <v>52</v>
      </c>
      <c r="D156" t="s">
        <v>122</v>
      </c>
    </row>
    <row r="157" spans="1:4" x14ac:dyDescent="0.4">
      <c r="A157">
        <v>162</v>
      </c>
      <c r="B157" t="s">
        <v>25</v>
      </c>
      <c r="C157" t="s">
        <v>53</v>
      </c>
      <c r="D157" t="s">
        <v>122</v>
      </c>
    </row>
    <row r="158" spans="1:4" x14ac:dyDescent="0.4">
      <c r="A158">
        <v>163</v>
      </c>
      <c r="B158" t="s">
        <v>27</v>
      </c>
      <c r="C158" t="s">
        <v>46</v>
      </c>
      <c r="D158" t="s">
        <v>123</v>
      </c>
    </row>
    <row r="159" spans="1:4" x14ac:dyDescent="0.4">
      <c r="A159">
        <v>164</v>
      </c>
      <c r="B159" t="s">
        <v>27</v>
      </c>
      <c r="C159" t="s">
        <v>47</v>
      </c>
      <c r="D159" t="s">
        <v>123</v>
      </c>
    </row>
    <row r="160" spans="1:4" x14ac:dyDescent="0.4">
      <c r="A160">
        <v>165</v>
      </c>
      <c r="B160" t="s">
        <v>27</v>
      </c>
      <c r="C160" t="s">
        <v>48</v>
      </c>
      <c r="D160" t="s">
        <v>123</v>
      </c>
    </row>
    <row r="161" spans="1:4" x14ac:dyDescent="0.4">
      <c r="A161">
        <v>166</v>
      </c>
      <c r="B161" t="s">
        <v>27</v>
      </c>
      <c r="C161" t="s">
        <v>49</v>
      </c>
      <c r="D161" t="s">
        <v>123</v>
      </c>
    </row>
    <row r="162" spans="1:4" x14ac:dyDescent="0.4">
      <c r="A162">
        <v>167</v>
      </c>
      <c r="B162" t="s">
        <v>27</v>
      </c>
      <c r="C162" t="s">
        <v>50</v>
      </c>
      <c r="D162" t="s">
        <v>123</v>
      </c>
    </row>
    <row r="163" spans="1:4" x14ac:dyDescent="0.4">
      <c r="A163">
        <v>168</v>
      </c>
      <c r="B163" t="s">
        <v>27</v>
      </c>
      <c r="C163" t="s">
        <v>51</v>
      </c>
      <c r="D163" t="s">
        <v>123</v>
      </c>
    </row>
    <row r="164" spans="1:4" x14ac:dyDescent="0.4">
      <c r="A164">
        <v>169</v>
      </c>
      <c r="B164" t="s">
        <v>27</v>
      </c>
      <c r="C164" t="s">
        <v>52</v>
      </c>
      <c r="D164" t="s">
        <v>123</v>
      </c>
    </row>
    <row r="165" spans="1:4" x14ac:dyDescent="0.4">
      <c r="A165">
        <v>170</v>
      </c>
      <c r="B165" t="s">
        <v>27</v>
      </c>
      <c r="C165" t="s">
        <v>53</v>
      </c>
      <c r="D165" t="s">
        <v>123</v>
      </c>
    </row>
    <row r="166" spans="1:4" x14ac:dyDescent="0.4">
      <c r="A166">
        <v>171</v>
      </c>
      <c r="B166" t="s">
        <v>29</v>
      </c>
      <c r="C166" t="s">
        <v>46</v>
      </c>
      <c r="D166" t="s">
        <v>124</v>
      </c>
    </row>
    <row r="167" spans="1:4" x14ac:dyDescent="0.4">
      <c r="A167">
        <v>172</v>
      </c>
      <c r="B167" t="s">
        <v>29</v>
      </c>
      <c r="C167" t="s">
        <v>47</v>
      </c>
      <c r="D167" t="s">
        <v>124</v>
      </c>
    </row>
    <row r="168" spans="1:4" x14ac:dyDescent="0.4">
      <c r="A168">
        <v>173</v>
      </c>
      <c r="B168" t="s">
        <v>29</v>
      </c>
      <c r="C168" t="s">
        <v>48</v>
      </c>
      <c r="D168" t="s">
        <v>124</v>
      </c>
    </row>
    <row r="169" spans="1:4" x14ac:dyDescent="0.4">
      <c r="A169">
        <v>174</v>
      </c>
      <c r="B169" t="s">
        <v>29</v>
      </c>
      <c r="C169" t="s">
        <v>49</v>
      </c>
      <c r="D169" t="s">
        <v>124</v>
      </c>
    </row>
    <row r="170" spans="1:4" x14ac:dyDescent="0.4">
      <c r="A170">
        <v>175</v>
      </c>
      <c r="B170" t="s">
        <v>29</v>
      </c>
      <c r="C170" t="s">
        <v>50</v>
      </c>
      <c r="D170" t="s">
        <v>124</v>
      </c>
    </row>
    <row r="171" spans="1:4" x14ac:dyDescent="0.4">
      <c r="A171">
        <v>176</v>
      </c>
      <c r="B171" t="s">
        <v>29</v>
      </c>
      <c r="C171" t="s">
        <v>51</v>
      </c>
      <c r="D171" t="s">
        <v>124</v>
      </c>
    </row>
    <row r="172" spans="1:4" x14ac:dyDescent="0.4">
      <c r="A172">
        <v>177</v>
      </c>
      <c r="B172" t="s">
        <v>29</v>
      </c>
      <c r="C172" t="s">
        <v>52</v>
      </c>
      <c r="D172" t="s">
        <v>124</v>
      </c>
    </row>
    <row r="173" spans="1:4" x14ac:dyDescent="0.4">
      <c r="A173">
        <v>178</v>
      </c>
      <c r="B173" t="s">
        <v>29</v>
      </c>
      <c r="C173" t="s">
        <v>53</v>
      </c>
      <c r="D173" t="s">
        <v>124</v>
      </c>
    </row>
    <row r="174" spans="1:4" x14ac:dyDescent="0.4">
      <c r="A174">
        <v>179</v>
      </c>
      <c r="B174" t="s">
        <v>31</v>
      </c>
      <c r="C174" t="s">
        <v>46</v>
      </c>
      <c r="D174" t="s">
        <v>125</v>
      </c>
    </row>
    <row r="175" spans="1:4" x14ac:dyDescent="0.4">
      <c r="A175">
        <v>180</v>
      </c>
      <c r="B175" t="s">
        <v>31</v>
      </c>
      <c r="C175" t="s">
        <v>47</v>
      </c>
      <c r="D175" t="s">
        <v>125</v>
      </c>
    </row>
    <row r="176" spans="1:4" x14ac:dyDescent="0.4">
      <c r="A176">
        <v>181</v>
      </c>
      <c r="B176" t="s">
        <v>31</v>
      </c>
      <c r="C176" t="s">
        <v>48</v>
      </c>
      <c r="D176" t="s">
        <v>125</v>
      </c>
    </row>
    <row r="177" spans="1:4" x14ac:dyDescent="0.4">
      <c r="A177">
        <v>182</v>
      </c>
      <c r="B177" t="s">
        <v>31</v>
      </c>
      <c r="C177" t="s">
        <v>49</v>
      </c>
      <c r="D177" t="s">
        <v>125</v>
      </c>
    </row>
    <row r="178" spans="1:4" x14ac:dyDescent="0.4">
      <c r="A178">
        <v>183</v>
      </c>
      <c r="B178" t="s">
        <v>31</v>
      </c>
      <c r="C178" t="s">
        <v>50</v>
      </c>
      <c r="D178" t="s">
        <v>125</v>
      </c>
    </row>
    <row r="179" spans="1:4" x14ac:dyDescent="0.4">
      <c r="A179">
        <v>184</v>
      </c>
      <c r="B179" t="s">
        <v>31</v>
      </c>
      <c r="C179" t="s">
        <v>51</v>
      </c>
      <c r="D179" t="s">
        <v>125</v>
      </c>
    </row>
    <row r="180" spans="1:4" x14ac:dyDescent="0.4">
      <c r="A180">
        <v>185</v>
      </c>
      <c r="B180" t="s">
        <v>31</v>
      </c>
      <c r="C180" t="s">
        <v>52</v>
      </c>
      <c r="D180" t="s">
        <v>125</v>
      </c>
    </row>
    <row r="181" spans="1:4" x14ac:dyDescent="0.4">
      <c r="A181">
        <v>186</v>
      </c>
      <c r="B181" t="s">
        <v>31</v>
      </c>
      <c r="C181" t="s">
        <v>53</v>
      </c>
      <c r="D181" t="s">
        <v>125</v>
      </c>
    </row>
    <row r="182" spans="1:4" x14ac:dyDescent="0.4">
      <c r="A182">
        <v>187</v>
      </c>
      <c r="B182" t="s">
        <v>33</v>
      </c>
      <c r="C182" t="s">
        <v>46</v>
      </c>
      <c r="D182" t="s">
        <v>126</v>
      </c>
    </row>
    <row r="183" spans="1:4" x14ac:dyDescent="0.4">
      <c r="A183">
        <v>188</v>
      </c>
      <c r="B183" t="s">
        <v>33</v>
      </c>
      <c r="C183" t="s">
        <v>47</v>
      </c>
      <c r="D183" t="s">
        <v>126</v>
      </c>
    </row>
    <row r="184" spans="1:4" x14ac:dyDescent="0.4">
      <c r="A184">
        <v>189</v>
      </c>
      <c r="B184" t="s">
        <v>33</v>
      </c>
      <c r="C184" t="s">
        <v>48</v>
      </c>
      <c r="D184" t="s">
        <v>126</v>
      </c>
    </row>
    <row r="185" spans="1:4" x14ac:dyDescent="0.4">
      <c r="A185">
        <v>190</v>
      </c>
      <c r="B185" t="s">
        <v>33</v>
      </c>
      <c r="C185" t="s">
        <v>49</v>
      </c>
      <c r="D185" t="s">
        <v>126</v>
      </c>
    </row>
    <row r="186" spans="1:4" x14ac:dyDescent="0.4">
      <c r="A186">
        <v>191</v>
      </c>
      <c r="B186" t="s">
        <v>33</v>
      </c>
      <c r="C186" t="s">
        <v>50</v>
      </c>
      <c r="D186" t="s">
        <v>126</v>
      </c>
    </row>
    <row r="187" spans="1:4" x14ac:dyDescent="0.4">
      <c r="A187">
        <v>192</v>
      </c>
      <c r="B187" t="s">
        <v>33</v>
      </c>
      <c r="C187" t="s">
        <v>51</v>
      </c>
      <c r="D187" t="s">
        <v>126</v>
      </c>
    </row>
    <row r="188" spans="1:4" x14ac:dyDescent="0.4">
      <c r="A188">
        <v>193</v>
      </c>
      <c r="B188" t="s">
        <v>33</v>
      </c>
      <c r="C188" t="s">
        <v>52</v>
      </c>
      <c r="D188" t="s">
        <v>126</v>
      </c>
    </row>
    <row r="189" spans="1:4" x14ac:dyDescent="0.4">
      <c r="A189">
        <v>194</v>
      </c>
      <c r="B189" t="s">
        <v>33</v>
      </c>
      <c r="C189" t="s">
        <v>53</v>
      </c>
      <c r="D189" t="s">
        <v>126</v>
      </c>
    </row>
    <row r="190" spans="1:4" x14ac:dyDescent="0.4">
      <c r="A190">
        <v>195</v>
      </c>
      <c r="B190" t="s">
        <v>35</v>
      </c>
      <c r="C190" t="s">
        <v>46</v>
      </c>
      <c r="D190" t="s">
        <v>127</v>
      </c>
    </row>
    <row r="191" spans="1:4" x14ac:dyDescent="0.4">
      <c r="A191">
        <v>196</v>
      </c>
      <c r="B191" t="s">
        <v>35</v>
      </c>
      <c r="C191" t="s">
        <v>47</v>
      </c>
      <c r="D191" t="s">
        <v>127</v>
      </c>
    </row>
    <row r="192" spans="1:4" x14ac:dyDescent="0.4">
      <c r="A192">
        <v>197</v>
      </c>
      <c r="B192" t="s">
        <v>35</v>
      </c>
      <c r="C192" t="s">
        <v>48</v>
      </c>
      <c r="D192" t="s">
        <v>127</v>
      </c>
    </row>
    <row r="193" spans="1:4" x14ac:dyDescent="0.4">
      <c r="A193">
        <v>198</v>
      </c>
      <c r="B193" t="s">
        <v>35</v>
      </c>
      <c r="C193" t="s">
        <v>49</v>
      </c>
      <c r="D193" t="s">
        <v>127</v>
      </c>
    </row>
    <row r="194" spans="1:4" x14ac:dyDescent="0.4">
      <c r="A194">
        <v>199</v>
      </c>
      <c r="B194" t="s">
        <v>35</v>
      </c>
      <c r="C194" t="s">
        <v>50</v>
      </c>
      <c r="D194" t="s">
        <v>127</v>
      </c>
    </row>
    <row r="195" spans="1:4" x14ac:dyDescent="0.4">
      <c r="A195">
        <v>200</v>
      </c>
      <c r="B195" t="s">
        <v>35</v>
      </c>
      <c r="C195" t="s">
        <v>51</v>
      </c>
      <c r="D195" t="s">
        <v>127</v>
      </c>
    </row>
    <row r="196" spans="1:4" x14ac:dyDescent="0.4">
      <c r="A196">
        <v>201</v>
      </c>
      <c r="B196" t="s">
        <v>35</v>
      </c>
      <c r="C196" t="s">
        <v>52</v>
      </c>
      <c r="D196" t="s">
        <v>127</v>
      </c>
    </row>
    <row r="197" spans="1:4" x14ac:dyDescent="0.4">
      <c r="A197">
        <v>202</v>
      </c>
      <c r="B197" t="s">
        <v>35</v>
      </c>
      <c r="C197" t="s">
        <v>53</v>
      </c>
      <c r="D197" t="s">
        <v>127</v>
      </c>
    </row>
    <row r="198" spans="1:4" x14ac:dyDescent="0.4">
      <c r="A198">
        <v>203</v>
      </c>
      <c r="B198" t="s">
        <v>37</v>
      </c>
      <c r="C198" t="s">
        <v>46</v>
      </c>
      <c r="D198" t="s">
        <v>128</v>
      </c>
    </row>
    <row r="199" spans="1:4" x14ac:dyDescent="0.4">
      <c r="A199">
        <v>204</v>
      </c>
      <c r="B199" t="s">
        <v>37</v>
      </c>
      <c r="C199" t="s">
        <v>47</v>
      </c>
      <c r="D199" t="s">
        <v>128</v>
      </c>
    </row>
    <row r="200" spans="1:4" x14ac:dyDescent="0.4">
      <c r="A200">
        <v>205</v>
      </c>
      <c r="B200" t="s">
        <v>37</v>
      </c>
      <c r="C200" t="s">
        <v>48</v>
      </c>
      <c r="D200" t="s">
        <v>128</v>
      </c>
    </row>
    <row r="201" spans="1:4" x14ac:dyDescent="0.4">
      <c r="A201">
        <v>206</v>
      </c>
      <c r="B201" t="s">
        <v>37</v>
      </c>
      <c r="C201" t="s">
        <v>49</v>
      </c>
      <c r="D201" t="s">
        <v>128</v>
      </c>
    </row>
    <row r="202" spans="1:4" x14ac:dyDescent="0.4">
      <c r="A202">
        <v>207</v>
      </c>
      <c r="B202" t="s">
        <v>37</v>
      </c>
      <c r="C202" t="s">
        <v>50</v>
      </c>
      <c r="D202" t="s">
        <v>128</v>
      </c>
    </row>
    <row r="203" spans="1:4" x14ac:dyDescent="0.4">
      <c r="A203">
        <v>208</v>
      </c>
      <c r="B203" t="s">
        <v>37</v>
      </c>
      <c r="C203" t="s">
        <v>51</v>
      </c>
      <c r="D203" t="s">
        <v>128</v>
      </c>
    </row>
    <row r="204" spans="1:4" x14ac:dyDescent="0.4">
      <c r="A204">
        <v>209</v>
      </c>
      <c r="B204" t="s">
        <v>37</v>
      </c>
      <c r="C204" t="s">
        <v>52</v>
      </c>
      <c r="D204" t="s">
        <v>128</v>
      </c>
    </row>
    <row r="205" spans="1:4" x14ac:dyDescent="0.4">
      <c r="A205">
        <v>210</v>
      </c>
      <c r="B205" t="s">
        <v>37</v>
      </c>
      <c r="C205" t="s">
        <v>53</v>
      </c>
      <c r="D205" t="s">
        <v>128</v>
      </c>
    </row>
    <row r="206" spans="1:4" x14ac:dyDescent="0.4">
      <c r="A206">
        <v>211</v>
      </c>
      <c r="B206" t="s">
        <v>39</v>
      </c>
      <c r="C206" t="s">
        <v>46</v>
      </c>
      <c r="D206" t="s">
        <v>129</v>
      </c>
    </row>
    <row r="207" spans="1:4" x14ac:dyDescent="0.4">
      <c r="A207">
        <v>212</v>
      </c>
      <c r="B207" t="s">
        <v>39</v>
      </c>
      <c r="C207" t="s">
        <v>47</v>
      </c>
      <c r="D207" t="s">
        <v>129</v>
      </c>
    </row>
    <row r="208" spans="1:4" x14ac:dyDescent="0.4">
      <c r="A208">
        <v>213</v>
      </c>
      <c r="B208" t="s">
        <v>39</v>
      </c>
      <c r="C208" t="s">
        <v>48</v>
      </c>
      <c r="D208" t="s">
        <v>129</v>
      </c>
    </row>
    <row r="209" spans="1:4" x14ac:dyDescent="0.4">
      <c r="A209">
        <v>214</v>
      </c>
      <c r="B209" t="s">
        <v>39</v>
      </c>
      <c r="C209" t="s">
        <v>49</v>
      </c>
      <c r="D209" t="s">
        <v>129</v>
      </c>
    </row>
    <row r="210" spans="1:4" x14ac:dyDescent="0.4">
      <c r="A210">
        <v>215</v>
      </c>
      <c r="B210" t="s">
        <v>39</v>
      </c>
      <c r="C210" t="s">
        <v>50</v>
      </c>
      <c r="D210" t="s">
        <v>129</v>
      </c>
    </row>
    <row r="211" spans="1:4" x14ac:dyDescent="0.4">
      <c r="A211">
        <v>216</v>
      </c>
      <c r="B211" t="s">
        <v>39</v>
      </c>
      <c r="C211" t="s">
        <v>51</v>
      </c>
      <c r="D211" t="s">
        <v>129</v>
      </c>
    </row>
    <row r="212" spans="1:4" x14ac:dyDescent="0.4">
      <c r="A212">
        <v>217</v>
      </c>
      <c r="B212" t="s">
        <v>39</v>
      </c>
      <c r="C212" t="s">
        <v>52</v>
      </c>
      <c r="D212" t="s">
        <v>129</v>
      </c>
    </row>
    <row r="213" spans="1:4" x14ac:dyDescent="0.4">
      <c r="A213">
        <v>218</v>
      </c>
      <c r="B213" t="s">
        <v>39</v>
      </c>
      <c r="C213" t="s">
        <v>53</v>
      </c>
      <c r="D213" t="s">
        <v>129</v>
      </c>
    </row>
    <row r="214" spans="1:4" x14ac:dyDescent="0.4">
      <c r="A214">
        <v>219</v>
      </c>
      <c r="B214" t="s">
        <v>41</v>
      </c>
      <c r="C214" t="s">
        <v>46</v>
      </c>
      <c r="D214" t="s">
        <v>130</v>
      </c>
    </row>
    <row r="215" spans="1:4" x14ac:dyDescent="0.4">
      <c r="A215">
        <v>220</v>
      </c>
      <c r="B215" t="s">
        <v>41</v>
      </c>
      <c r="C215" t="s">
        <v>47</v>
      </c>
      <c r="D215" t="s">
        <v>130</v>
      </c>
    </row>
    <row r="216" spans="1:4" x14ac:dyDescent="0.4">
      <c r="A216">
        <v>221</v>
      </c>
      <c r="B216" t="s">
        <v>41</v>
      </c>
      <c r="C216" t="s">
        <v>48</v>
      </c>
      <c r="D216" t="s">
        <v>130</v>
      </c>
    </row>
    <row r="217" spans="1:4" x14ac:dyDescent="0.4">
      <c r="A217">
        <v>222</v>
      </c>
      <c r="B217" t="s">
        <v>41</v>
      </c>
      <c r="C217" t="s">
        <v>49</v>
      </c>
      <c r="D217" t="s">
        <v>130</v>
      </c>
    </row>
    <row r="218" spans="1:4" x14ac:dyDescent="0.4">
      <c r="A218">
        <v>223</v>
      </c>
      <c r="B218" t="s">
        <v>41</v>
      </c>
      <c r="C218" t="s">
        <v>50</v>
      </c>
      <c r="D218" t="s">
        <v>130</v>
      </c>
    </row>
    <row r="219" spans="1:4" x14ac:dyDescent="0.4">
      <c r="A219">
        <v>224</v>
      </c>
      <c r="B219" t="s">
        <v>41</v>
      </c>
      <c r="C219" t="s">
        <v>51</v>
      </c>
      <c r="D219" t="s">
        <v>130</v>
      </c>
    </row>
    <row r="220" spans="1:4" x14ac:dyDescent="0.4">
      <c r="A220">
        <v>225</v>
      </c>
      <c r="B220" t="s">
        <v>41</v>
      </c>
      <c r="C220" t="s">
        <v>52</v>
      </c>
      <c r="D220" t="s">
        <v>130</v>
      </c>
    </row>
    <row r="221" spans="1:4" x14ac:dyDescent="0.4">
      <c r="A221">
        <v>226</v>
      </c>
      <c r="B221" t="s">
        <v>41</v>
      </c>
      <c r="C221" t="s">
        <v>53</v>
      </c>
      <c r="D221" t="s">
        <v>130</v>
      </c>
    </row>
    <row r="222" spans="1:4" x14ac:dyDescent="0.4">
      <c r="A222">
        <v>227</v>
      </c>
      <c r="B222" t="s">
        <v>43</v>
      </c>
      <c r="C222" t="s">
        <v>46</v>
      </c>
      <c r="D222" t="s">
        <v>131</v>
      </c>
    </row>
    <row r="223" spans="1:4" x14ac:dyDescent="0.4">
      <c r="A223">
        <v>228</v>
      </c>
      <c r="B223" t="s">
        <v>43</v>
      </c>
      <c r="C223" t="s">
        <v>47</v>
      </c>
      <c r="D223" t="s">
        <v>131</v>
      </c>
    </row>
    <row r="224" spans="1:4" x14ac:dyDescent="0.4">
      <c r="A224">
        <v>229</v>
      </c>
      <c r="B224" t="s">
        <v>43</v>
      </c>
      <c r="C224" t="s">
        <v>48</v>
      </c>
      <c r="D224" t="s">
        <v>131</v>
      </c>
    </row>
    <row r="225" spans="1:4" x14ac:dyDescent="0.4">
      <c r="A225">
        <v>230</v>
      </c>
      <c r="B225" t="s">
        <v>43</v>
      </c>
      <c r="C225" t="s">
        <v>49</v>
      </c>
      <c r="D225" t="s">
        <v>131</v>
      </c>
    </row>
    <row r="226" spans="1:4" x14ac:dyDescent="0.4">
      <c r="A226">
        <v>231</v>
      </c>
      <c r="B226" t="s">
        <v>43</v>
      </c>
      <c r="C226" t="s">
        <v>50</v>
      </c>
      <c r="D226" t="s">
        <v>131</v>
      </c>
    </row>
    <row r="227" spans="1:4" x14ac:dyDescent="0.4">
      <c r="A227">
        <v>232</v>
      </c>
      <c r="B227" t="s">
        <v>43</v>
      </c>
      <c r="C227" t="s">
        <v>51</v>
      </c>
      <c r="D227" t="s">
        <v>131</v>
      </c>
    </row>
    <row r="228" spans="1:4" x14ac:dyDescent="0.4">
      <c r="A228">
        <v>233</v>
      </c>
      <c r="B228" t="s">
        <v>43</v>
      </c>
      <c r="C228" t="s">
        <v>52</v>
      </c>
      <c r="D228" t="s">
        <v>131</v>
      </c>
    </row>
    <row r="229" spans="1:4" x14ac:dyDescent="0.4">
      <c r="A229">
        <v>234</v>
      </c>
      <c r="B229" t="s">
        <v>43</v>
      </c>
      <c r="C229" t="s">
        <v>53</v>
      </c>
      <c r="D229" t="s">
        <v>131</v>
      </c>
    </row>
    <row r="230" spans="1:4" x14ac:dyDescent="0.4">
      <c r="A230">
        <v>236</v>
      </c>
      <c r="B230" t="s">
        <v>55</v>
      </c>
      <c r="C230" t="s">
        <v>11</v>
      </c>
      <c r="D230" t="s">
        <v>132</v>
      </c>
    </row>
    <row r="231" spans="1:4" x14ac:dyDescent="0.4">
      <c r="A231">
        <v>237</v>
      </c>
      <c r="B231" t="s">
        <v>55</v>
      </c>
      <c r="C231" t="s">
        <v>13</v>
      </c>
      <c r="D231" t="s">
        <v>132</v>
      </c>
    </row>
    <row r="232" spans="1:4" x14ac:dyDescent="0.4">
      <c r="A232">
        <v>238</v>
      </c>
      <c r="B232" t="s">
        <v>55</v>
      </c>
      <c r="C232" t="s">
        <v>14</v>
      </c>
      <c r="D232" t="s">
        <v>132</v>
      </c>
    </row>
    <row r="233" spans="1:4" x14ac:dyDescent="0.4">
      <c r="A233">
        <v>239</v>
      </c>
      <c r="B233" t="s">
        <v>55</v>
      </c>
      <c r="C233" t="s">
        <v>15</v>
      </c>
      <c r="D233" t="s">
        <v>132</v>
      </c>
    </row>
    <row r="234" spans="1:4" x14ac:dyDescent="0.4">
      <c r="A234">
        <v>240</v>
      </c>
      <c r="B234" t="s">
        <v>55</v>
      </c>
      <c r="C234" t="s">
        <v>16</v>
      </c>
      <c r="D234" t="s">
        <v>132</v>
      </c>
    </row>
    <row r="235" spans="1:4" x14ac:dyDescent="0.4">
      <c r="A235">
        <v>241</v>
      </c>
      <c r="B235" t="s">
        <v>55</v>
      </c>
      <c r="C235" t="s">
        <v>17</v>
      </c>
      <c r="D235" t="s">
        <v>132</v>
      </c>
    </row>
    <row r="236" spans="1:4" x14ac:dyDescent="0.4">
      <c r="A236">
        <v>242</v>
      </c>
      <c r="B236" t="s">
        <v>55</v>
      </c>
      <c r="C236" t="s">
        <v>18</v>
      </c>
      <c r="D236" t="s">
        <v>132</v>
      </c>
    </row>
    <row r="237" spans="1:4" x14ac:dyDescent="0.4">
      <c r="A237">
        <v>243</v>
      </c>
      <c r="B237" t="s">
        <v>55</v>
      </c>
      <c r="C237" t="s">
        <v>19</v>
      </c>
      <c r="D237" t="s">
        <v>132</v>
      </c>
    </row>
    <row r="238" spans="1:4" x14ac:dyDescent="0.4">
      <c r="A238">
        <v>244</v>
      </c>
      <c r="B238" t="s">
        <v>55</v>
      </c>
      <c r="C238" t="s">
        <v>20</v>
      </c>
      <c r="D238" t="s">
        <v>132</v>
      </c>
    </row>
    <row r="239" spans="1:4" x14ac:dyDescent="0.4">
      <c r="A239">
        <v>245</v>
      </c>
      <c r="B239" t="s">
        <v>55</v>
      </c>
      <c r="C239" t="s">
        <v>21</v>
      </c>
      <c r="D239" t="s">
        <v>132</v>
      </c>
    </row>
    <row r="240" spans="1:4" x14ac:dyDescent="0.4">
      <c r="A240">
        <v>246</v>
      </c>
      <c r="B240" t="s">
        <v>55</v>
      </c>
      <c r="C240" t="s">
        <v>22</v>
      </c>
      <c r="D240" t="s">
        <v>132</v>
      </c>
    </row>
    <row r="241" spans="1:4" x14ac:dyDescent="0.4">
      <c r="A241">
        <v>247</v>
      </c>
      <c r="B241" t="s">
        <v>57</v>
      </c>
      <c r="C241" t="s">
        <v>11</v>
      </c>
      <c r="D241" t="s">
        <v>133</v>
      </c>
    </row>
    <row r="242" spans="1:4" x14ac:dyDescent="0.4">
      <c r="A242">
        <v>248</v>
      </c>
      <c r="B242" t="s">
        <v>57</v>
      </c>
      <c r="C242" t="s">
        <v>13</v>
      </c>
      <c r="D242" t="s">
        <v>133</v>
      </c>
    </row>
    <row r="243" spans="1:4" x14ac:dyDescent="0.4">
      <c r="A243">
        <v>249</v>
      </c>
      <c r="B243" t="s">
        <v>57</v>
      </c>
      <c r="C243" t="s">
        <v>14</v>
      </c>
      <c r="D243" t="s">
        <v>133</v>
      </c>
    </row>
    <row r="244" spans="1:4" x14ac:dyDescent="0.4">
      <c r="A244">
        <v>250</v>
      </c>
      <c r="B244" t="s">
        <v>57</v>
      </c>
      <c r="C244" t="s">
        <v>15</v>
      </c>
      <c r="D244" t="s">
        <v>133</v>
      </c>
    </row>
    <row r="245" spans="1:4" x14ac:dyDescent="0.4">
      <c r="A245">
        <v>251</v>
      </c>
      <c r="B245" t="s">
        <v>57</v>
      </c>
      <c r="C245" t="s">
        <v>16</v>
      </c>
      <c r="D245" t="s">
        <v>133</v>
      </c>
    </row>
    <row r="246" spans="1:4" x14ac:dyDescent="0.4">
      <c r="A246">
        <v>252</v>
      </c>
      <c r="B246" t="s">
        <v>57</v>
      </c>
      <c r="C246" t="s">
        <v>17</v>
      </c>
      <c r="D246" t="s">
        <v>133</v>
      </c>
    </row>
    <row r="247" spans="1:4" x14ac:dyDescent="0.4">
      <c r="A247">
        <v>253</v>
      </c>
      <c r="B247" t="s">
        <v>57</v>
      </c>
      <c r="C247" t="s">
        <v>18</v>
      </c>
      <c r="D247" t="s">
        <v>133</v>
      </c>
    </row>
    <row r="248" spans="1:4" x14ac:dyDescent="0.4">
      <c r="A248">
        <v>254</v>
      </c>
      <c r="B248" t="s">
        <v>57</v>
      </c>
      <c r="C248" t="s">
        <v>19</v>
      </c>
      <c r="D248" t="s">
        <v>133</v>
      </c>
    </row>
    <row r="249" spans="1:4" x14ac:dyDescent="0.4">
      <c r="A249">
        <v>255</v>
      </c>
      <c r="B249" t="s">
        <v>57</v>
      </c>
      <c r="C249" t="s">
        <v>20</v>
      </c>
      <c r="D249" t="s">
        <v>133</v>
      </c>
    </row>
    <row r="250" spans="1:4" x14ac:dyDescent="0.4">
      <c r="A250">
        <v>256</v>
      </c>
      <c r="B250" t="s">
        <v>57</v>
      </c>
      <c r="C250" t="s">
        <v>21</v>
      </c>
      <c r="D250" t="s">
        <v>133</v>
      </c>
    </row>
    <row r="251" spans="1:4" x14ac:dyDescent="0.4">
      <c r="A251">
        <v>257</v>
      </c>
      <c r="B251" t="s">
        <v>57</v>
      </c>
      <c r="C251" t="s">
        <v>22</v>
      </c>
      <c r="D251" t="s">
        <v>133</v>
      </c>
    </row>
    <row r="252" spans="1:4" x14ac:dyDescent="0.4">
      <c r="A252">
        <v>258</v>
      </c>
      <c r="B252" t="s">
        <v>59</v>
      </c>
      <c r="C252" t="s">
        <v>11</v>
      </c>
      <c r="D252" t="s">
        <v>134</v>
      </c>
    </row>
    <row r="253" spans="1:4" x14ac:dyDescent="0.4">
      <c r="A253">
        <v>259</v>
      </c>
      <c r="B253" t="s">
        <v>59</v>
      </c>
      <c r="C253" t="s">
        <v>13</v>
      </c>
      <c r="D253" t="s">
        <v>134</v>
      </c>
    </row>
    <row r="254" spans="1:4" x14ac:dyDescent="0.4">
      <c r="A254">
        <v>260</v>
      </c>
      <c r="B254" t="s">
        <v>59</v>
      </c>
      <c r="C254" t="s">
        <v>14</v>
      </c>
      <c r="D254" t="s">
        <v>134</v>
      </c>
    </row>
    <row r="255" spans="1:4" x14ac:dyDescent="0.4">
      <c r="A255">
        <v>261</v>
      </c>
      <c r="B255" t="s">
        <v>59</v>
      </c>
      <c r="C255" t="s">
        <v>15</v>
      </c>
      <c r="D255" t="s">
        <v>134</v>
      </c>
    </row>
    <row r="256" spans="1:4" x14ac:dyDescent="0.4">
      <c r="A256">
        <v>262</v>
      </c>
      <c r="B256" t="s">
        <v>59</v>
      </c>
      <c r="C256" t="s">
        <v>16</v>
      </c>
      <c r="D256" t="s">
        <v>134</v>
      </c>
    </row>
    <row r="257" spans="1:4" x14ac:dyDescent="0.4">
      <c r="A257">
        <v>263</v>
      </c>
      <c r="B257" t="s">
        <v>59</v>
      </c>
      <c r="C257" t="s">
        <v>17</v>
      </c>
      <c r="D257" t="s">
        <v>134</v>
      </c>
    </row>
    <row r="258" spans="1:4" x14ac:dyDescent="0.4">
      <c r="A258">
        <v>264</v>
      </c>
      <c r="B258" t="s">
        <v>59</v>
      </c>
      <c r="C258" t="s">
        <v>18</v>
      </c>
      <c r="D258" t="s">
        <v>134</v>
      </c>
    </row>
    <row r="259" spans="1:4" x14ac:dyDescent="0.4">
      <c r="A259">
        <v>265</v>
      </c>
      <c r="B259" t="s">
        <v>59</v>
      </c>
      <c r="C259" t="s">
        <v>19</v>
      </c>
      <c r="D259" t="s">
        <v>134</v>
      </c>
    </row>
    <row r="260" spans="1:4" x14ac:dyDescent="0.4">
      <c r="A260">
        <v>266</v>
      </c>
      <c r="B260" t="s">
        <v>59</v>
      </c>
      <c r="C260" t="s">
        <v>20</v>
      </c>
      <c r="D260" t="s">
        <v>134</v>
      </c>
    </row>
    <row r="261" spans="1:4" x14ac:dyDescent="0.4">
      <c r="A261">
        <v>267</v>
      </c>
      <c r="B261" t="s">
        <v>59</v>
      </c>
      <c r="C261" t="s">
        <v>21</v>
      </c>
      <c r="D261" t="s">
        <v>134</v>
      </c>
    </row>
    <row r="262" spans="1:4" x14ac:dyDescent="0.4">
      <c r="A262">
        <v>268</v>
      </c>
      <c r="B262" t="s">
        <v>59</v>
      </c>
      <c r="C262" t="s">
        <v>22</v>
      </c>
      <c r="D262" t="s">
        <v>134</v>
      </c>
    </row>
    <row r="263" spans="1:4" x14ac:dyDescent="0.4">
      <c r="A263">
        <v>269</v>
      </c>
      <c r="B263" t="s">
        <v>61</v>
      </c>
      <c r="C263" t="s">
        <v>11</v>
      </c>
      <c r="D263" t="s">
        <v>135</v>
      </c>
    </row>
    <row r="264" spans="1:4" x14ac:dyDescent="0.4">
      <c r="A264">
        <v>270</v>
      </c>
      <c r="B264" t="s">
        <v>61</v>
      </c>
      <c r="C264" t="s">
        <v>13</v>
      </c>
      <c r="D264" t="s">
        <v>135</v>
      </c>
    </row>
    <row r="265" spans="1:4" x14ac:dyDescent="0.4">
      <c r="A265">
        <v>271</v>
      </c>
      <c r="B265" t="s">
        <v>61</v>
      </c>
      <c r="C265" t="s">
        <v>14</v>
      </c>
      <c r="D265" t="s">
        <v>135</v>
      </c>
    </row>
    <row r="266" spans="1:4" x14ac:dyDescent="0.4">
      <c r="A266">
        <v>272</v>
      </c>
      <c r="B266" t="s">
        <v>61</v>
      </c>
      <c r="C266" t="s">
        <v>15</v>
      </c>
      <c r="D266" t="s">
        <v>135</v>
      </c>
    </row>
    <row r="267" spans="1:4" x14ac:dyDescent="0.4">
      <c r="A267">
        <v>273</v>
      </c>
      <c r="B267" t="s">
        <v>61</v>
      </c>
      <c r="C267" t="s">
        <v>16</v>
      </c>
      <c r="D267" t="s">
        <v>135</v>
      </c>
    </row>
    <row r="268" spans="1:4" x14ac:dyDescent="0.4">
      <c r="A268">
        <v>274</v>
      </c>
      <c r="B268" t="s">
        <v>61</v>
      </c>
      <c r="C268" t="s">
        <v>17</v>
      </c>
      <c r="D268" t="s">
        <v>135</v>
      </c>
    </row>
    <row r="269" spans="1:4" x14ac:dyDescent="0.4">
      <c r="A269">
        <v>275</v>
      </c>
      <c r="B269" t="s">
        <v>61</v>
      </c>
      <c r="C269" t="s">
        <v>18</v>
      </c>
      <c r="D269" t="s">
        <v>135</v>
      </c>
    </row>
    <row r="270" spans="1:4" x14ac:dyDescent="0.4">
      <c r="A270">
        <v>276</v>
      </c>
      <c r="B270" t="s">
        <v>61</v>
      </c>
      <c r="C270" t="s">
        <v>19</v>
      </c>
      <c r="D270" t="s">
        <v>135</v>
      </c>
    </row>
    <row r="271" spans="1:4" x14ac:dyDescent="0.4">
      <c r="A271">
        <v>277</v>
      </c>
      <c r="B271" t="s">
        <v>61</v>
      </c>
      <c r="C271" t="s">
        <v>20</v>
      </c>
      <c r="D271" t="s">
        <v>135</v>
      </c>
    </row>
    <row r="272" spans="1:4" x14ac:dyDescent="0.4">
      <c r="A272">
        <v>278</v>
      </c>
      <c r="B272" t="s">
        <v>61</v>
      </c>
      <c r="C272" t="s">
        <v>21</v>
      </c>
      <c r="D272" t="s">
        <v>135</v>
      </c>
    </row>
    <row r="273" spans="1:4" x14ac:dyDescent="0.4">
      <c r="A273">
        <v>279</v>
      </c>
      <c r="B273" t="s">
        <v>61</v>
      </c>
      <c r="C273" t="s">
        <v>22</v>
      </c>
      <c r="D273" t="s">
        <v>135</v>
      </c>
    </row>
    <row r="274" spans="1:4" x14ac:dyDescent="0.4">
      <c r="A274">
        <v>280</v>
      </c>
      <c r="B274" t="s">
        <v>63</v>
      </c>
      <c r="C274" t="s">
        <v>11</v>
      </c>
      <c r="D274" t="s">
        <v>136</v>
      </c>
    </row>
    <row r="275" spans="1:4" x14ac:dyDescent="0.4">
      <c r="A275">
        <v>281</v>
      </c>
      <c r="B275" t="s">
        <v>63</v>
      </c>
      <c r="C275" t="s">
        <v>13</v>
      </c>
      <c r="D275" t="s">
        <v>136</v>
      </c>
    </row>
    <row r="276" spans="1:4" x14ac:dyDescent="0.4">
      <c r="A276">
        <v>282</v>
      </c>
      <c r="B276" t="s">
        <v>63</v>
      </c>
      <c r="C276" t="s">
        <v>14</v>
      </c>
      <c r="D276" t="s">
        <v>136</v>
      </c>
    </row>
    <row r="277" spans="1:4" x14ac:dyDescent="0.4">
      <c r="A277">
        <v>283</v>
      </c>
      <c r="B277" t="s">
        <v>63</v>
      </c>
      <c r="C277" t="s">
        <v>15</v>
      </c>
      <c r="D277" t="s">
        <v>136</v>
      </c>
    </row>
    <row r="278" spans="1:4" x14ac:dyDescent="0.4">
      <c r="A278">
        <v>284</v>
      </c>
      <c r="B278" t="s">
        <v>63</v>
      </c>
      <c r="C278" t="s">
        <v>16</v>
      </c>
      <c r="D278" t="s">
        <v>136</v>
      </c>
    </row>
    <row r="279" spans="1:4" x14ac:dyDescent="0.4">
      <c r="A279">
        <v>285</v>
      </c>
      <c r="B279" t="s">
        <v>63</v>
      </c>
      <c r="C279" t="s">
        <v>17</v>
      </c>
      <c r="D279" t="s">
        <v>136</v>
      </c>
    </row>
    <row r="280" spans="1:4" x14ac:dyDescent="0.4">
      <c r="A280">
        <v>286</v>
      </c>
      <c r="B280" t="s">
        <v>63</v>
      </c>
      <c r="C280" t="s">
        <v>18</v>
      </c>
      <c r="D280" t="s">
        <v>136</v>
      </c>
    </row>
    <row r="281" spans="1:4" x14ac:dyDescent="0.4">
      <c r="A281">
        <v>287</v>
      </c>
      <c r="B281" t="s">
        <v>63</v>
      </c>
      <c r="C281" t="s">
        <v>19</v>
      </c>
      <c r="D281" t="s">
        <v>136</v>
      </c>
    </row>
    <row r="282" spans="1:4" x14ac:dyDescent="0.4">
      <c r="A282">
        <v>288</v>
      </c>
      <c r="B282" t="s">
        <v>63</v>
      </c>
      <c r="C282" t="s">
        <v>20</v>
      </c>
      <c r="D282" t="s">
        <v>136</v>
      </c>
    </row>
    <row r="283" spans="1:4" x14ac:dyDescent="0.4">
      <c r="A283">
        <v>289</v>
      </c>
      <c r="B283" t="s">
        <v>63</v>
      </c>
      <c r="C283" t="s">
        <v>21</v>
      </c>
      <c r="D283" t="s">
        <v>136</v>
      </c>
    </row>
    <row r="284" spans="1:4" x14ac:dyDescent="0.4">
      <c r="A284">
        <v>290</v>
      </c>
      <c r="B284" t="s">
        <v>63</v>
      </c>
      <c r="C284" t="s">
        <v>22</v>
      </c>
      <c r="D284" t="s">
        <v>136</v>
      </c>
    </row>
    <row r="285" spans="1:4" x14ac:dyDescent="0.4">
      <c r="A285">
        <v>291</v>
      </c>
      <c r="B285" t="s">
        <v>65</v>
      </c>
      <c r="C285" t="s">
        <v>11</v>
      </c>
      <c r="D285" t="s">
        <v>137</v>
      </c>
    </row>
    <row r="286" spans="1:4" x14ac:dyDescent="0.4">
      <c r="A286">
        <v>292</v>
      </c>
      <c r="B286" t="s">
        <v>65</v>
      </c>
      <c r="C286" t="s">
        <v>13</v>
      </c>
      <c r="D286" t="s">
        <v>137</v>
      </c>
    </row>
    <row r="287" spans="1:4" x14ac:dyDescent="0.4">
      <c r="A287">
        <v>293</v>
      </c>
      <c r="B287" t="s">
        <v>65</v>
      </c>
      <c r="C287" t="s">
        <v>14</v>
      </c>
      <c r="D287" t="s">
        <v>137</v>
      </c>
    </row>
    <row r="288" spans="1:4" x14ac:dyDescent="0.4">
      <c r="A288">
        <v>294</v>
      </c>
      <c r="B288" t="s">
        <v>65</v>
      </c>
      <c r="C288" t="s">
        <v>15</v>
      </c>
      <c r="D288" t="s">
        <v>137</v>
      </c>
    </row>
    <row r="289" spans="1:4" x14ac:dyDescent="0.4">
      <c r="A289">
        <v>295</v>
      </c>
      <c r="B289" t="s">
        <v>65</v>
      </c>
      <c r="C289" t="s">
        <v>16</v>
      </c>
      <c r="D289" t="s">
        <v>137</v>
      </c>
    </row>
    <row r="290" spans="1:4" x14ac:dyDescent="0.4">
      <c r="A290">
        <v>296</v>
      </c>
      <c r="B290" t="s">
        <v>65</v>
      </c>
      <c r="C290" t="s">
        <v>17</v>
      </c>
      <c r="D290" t="s">
        <v>137</v>
      </c>
    </row>
    <row r="291" spans="1:4" x14ac:dyDescent="0.4">
      <c r="A291">
        <v>297</v>
      </c>
      <c r="B291" t="s">
        <v>65</v>
      </c>
      <c r="C291" t="s">
        <v>18</v>
      </c>
      <c r="D291" t="s">
        <v>137</v>
      </c>
    </row>
    <row r="292" spans="1:4" x14ac:dyDescent="0.4">
      <c r="A292">
        <v>298</v>
      </c>
      <c r="B292" t="s">
        <v>65</v>
      </c>
      <c r="C292" t="s">
        <v>19</v>
      </c>
      <c r="D292" t="s">
        <v>137</v>
      </c>
    </row>
    <row r="293" spans="1:4" x14ac:dyDescent="0.4">
      <c r="A293">
        <v>299</v>
      </c>
      <c r="B293" t="s">
        <v>65</v>
      </c>
      <c r="C293" t="s">
        <v>20</v>
      </c>
      <c r="D293" t="s">
        <v>137</v>
      </c>
    </row>
    <row r="294" spans="1:4" x14ac:dyDescent="0.4">
      <c r="A294">
        <v>300</v>
      </c>
      <c r="B294" t="s">
        <v>65</v>
      </c>
      <c r="C294" t="s">
        <v>21</v>
      </c>
      <c r="D294" t="s">
        <v>137</v>
      </c>
    </row>
    <row r="295" spans="1:4" x14ac:dyDescent="0.4">
      <c r="A295">
        <v>301</v>
      </c>
      <c r="B295" t="s">
        <v>65</v>
      </c>
      <c r="C295" t="s">
        <v>22</v>
      </c>
      <c r="D295" t="s">
        <v>137</v>
      </c>
    </row>
    <row r="296" spans="1:4" x14ac:dyDescent="0.4">
      <c r="A296">
        <v>303</v>
      </c>
      <c r="B296" t="s">
        <v>55</v>
      </c>
      <c r="C296" t="s">
        <v>46</v>
      </c>
      <c r="D296" t="s">
        <v>132</v>
      </c>
    </row>
    <row r="297" spans="1:4" x14ac:dyDescent="0.4">
      <c r="A297">
        <v>304</v>
      </c>
      <c r="B297" t="s">
        <v>57</v>
      </c>
      <c r="C297" t="s">
        <v>46</v>
      </c>
      <c r="D297" t="s">
        <v>133</v>
      </c>
    </row>
    <row r="298" spans="1:4" x14ac:dyDescent="0.4">
      <c r="A298">
        <v>305</v>
      </c>
      <c r="B298" t="s">
        <v>59</v>
      </c>
      <c r="C298" t="s">
        <v>46</v>
      </c>
      <c r="D298" t="s">
        <v>134</v>
      </c>
    </row>
    <row r="299" spans="1:4" x14ac:dyDescent="0.4">
      <c r="A299">
        <v>306</v>
      </c>
      <c r="B299" t="s">
        <v>61</v>
      </c>
      <c r="C299" t="s">
        <v>46</v>
      </c>
      <c r="D299" t="s">
        <v>135</v>
      </c>
    </row>
    <row r="300" spans="1:4" x14ac:dyDescent="0.4">
      <c r="A300">
        <v>307</v>
      </c>
      <c r="B300" t="s">
        <v>63</v>
      </c>
      <c r="C300" t="s">
        <v>46</v>
      </c>
      <c r="D300" t="s">
        <v>136</v>
      </c>
    </row>
    <row r="301" spans="1:4" x14ac:dyDescent="0.4">
      <c r="A301">
        <v>308</v>
      </c>
      <c r="B301" t="s">
        <v>65</v>
      </c>
      <c r="C301" t="s">
        <v>46</v>
      </c>
      <c r="D301" t="s">
        <v>137</v>
      </c>
    </row>
    <row r="302" spans="1:4" x14ac:dyDescent="0.4">
      <c r="A302">
        <v>310</v>
      </c>
      <c r="B302" t="s">
        <v>75</v>
      </c>
      <c r="C302" t="s">
        <v>76</v>
      </c>
      <c r="D302" t="s">
        <v>138</v>
      </c>
    </row>
    <row r="303" spans="1:4" x14ac:dyDescent="0.4">
      <c r="A303">
        <v>311</v>
      </c>
      <c r="B303" t="s">
        <v>78</v>
      </c>
      <c r="C303" t="s">
        <v>76</v>
      </c>
      <c r="D303" t="s">
        <v>139</v>
      </c>
    </row>
    <row r="304" spans="1:4" x14ac:dyDescent="0.4">
      <c r="A304">
        <v>312</v>
      </c>
      <c r="B304" t="s">
        <v>80</v>
      </c>
      <c r="C304" t="s">
        <v>76</v>
      </c>
      <c r="D304" t="s">
        <v>138</v>
      </c>
    </row>
    <row r="305" spans="1:4" x14ac:dyDescent="0.4">
      <c r="A305">
        <v>313</v>
      </c>
      <c r="B305" t="s">
        <v>82</v>
      </c>
      <c r="C305" t="s">
        <v>76</v>
      </c>
      <c r="D305" t="s">
        <v>139</v>
      </c>
    </row>
    <row r="306" spans="1:4" x14ac:dyDescent="0.4">
      <c r="A306">
        <v>314</v>
      </c>
      <c r="B306" t="s">
        <v>84</v>
      </c>
      <c r="C306" t="s">
        <v>76</v>
      </c>
      <c r="D306" t="s">
        <v>140</v>
      </c>
    </row>
    <row r="307" spans="1:4" x14ac:dyDescent="0.4">
      <c r="A307">
        <v>315</v>
      </c>
      <c r="B307" t="s">
        <v>86</v>
      </c>
      <c r="C307" t="s">
        <v>76</v>
      </c>
      <c r="D307" t="s">
        <v>141</v>
      </c>
    </row>
    <row r="308" spans="1:4" x14ac:dyDescent="0.4">
      <c r="A308">
        <v>316</v>
      </c>
      <c r="B308" t="s">
        <v>88</v>
      </c>
      <c r="C308" t="s">
        <v>89</v>
      </c>
      <c r="D308" t="s">
        <v>142</v>
      </c>
    </row>
    <row r="309" spans="1:4" x14ac:dyDescent="0.4">
      <c r="A309">
        <v>318</v>
      </c>
      <c r="B309" t="s">
        <v>92</v>
      </c>
      <c r="C309" t="s">
        <v>76</v>
      </c>
      <c r="D309" t="s">
        <v>143</v>
      </c>
    </row>
    <row r="310" spans="1:4" x14ac:dyDescent="0.4">
      <c r="A310">
        <v>319</v>
      </c>
      <c r="B310" t="s">
        <v>94</v>
      </c>
      <c r="C310" t="s">
        <v>76</v>
      </c>
      <c r="D310" t="s">
        <v>144</v>
      </c>
    </row>
    <row r="311" spans="1:4" x14ac:dyDescent="0.4">
      <c r="A311">
        <v>320</v>
      </c>
      <c r="B311" t="s">
        <v>96</v>
      </c>
      <c r="C311" t="s">
        <v>76</v>
      </c>
      <c r="D311" t="s">
        <v>145</v>
      </c>
    </row>
    <row r="312" spans="1:4" x14ac:dyDescent="0.4">
      <c r="A312">
        <v>322</v>
      </c>
      <c r="B312" t="s">
        <v>99</v>
      </c>
      <c r="C312" t="s">
        <v>76</v>
      </c>
      <c r="D312" t="s">
        <v>146</v>
      </c>
    </row>
    <row r="313" spans="1:4" x14ac:dyDescent="0.4">
      <c r="A313">
        <v>323</v>
      </c>
      <c r="B313" t="s">
        <v>101</v>
      </c>
      <c r="C313" t="s">
        <v>76</v>
      </c>
      <c r="D313" t="s">
        <v>147</v>
      </c>
    </row>
    <row r="314" spans="1:4" x14ac:dyDescent="0.4">
      <c r="A314">
        <v>324</v>
      </c>
      <c r="B314" t="s">
        <v>103</v>
      </c>
      <c r="C314" t="s">
        <v>76</v>
      </c>
      <c r="D314" t="s">
        <v>148</v>
      </c>
    </row>
    <row r="315" spans="1:4" x14ac:dyDescent="0.4">
      <c r="A315">
        <v>325</v>
      </c>
      <c r="B315" t="s">
        <v>105</v>
      </c>
      <c r="C315" t="s">
        <v>76</v>
      </c>
      <c r="D315" t="s">
        <v>149</v>
      </c>
    </row>
    <row r="316" spans="1:4" x14ac:dyDescent="0.4">
      <c r="A316">
        <v>326</v>
      </c>
      <c r="B316" t="s">
        <v>107</v>
      </c>
      <c r="C316" t="s">
        <v>76</v>
      </c>
      <c r="D316" t="s">
        <v>150</v>
      </c>
    </row>
    <row r="317" spans="1:4" x14ac:dyDescent="0.4">
      <c r="A317">
        <v>327</v>
      </c>
      <c r="B317" t="s">
        <v>109</v>
      </c>
      <c r="C317" t="s">
        <v>76</v>
      </c>
      <c r="D317" t="s">
        <v>151</v>
      </c>
    </row>
    <row r="318" spans="1:4" x14ac:dyDescent="0.4">
      <c r="A318">
        <v>329</v>
      </c>
      <c r="B318" t="s">
        <v>112</v>
      </c>
      <c r="C318" t="s">
        <v>11</v>
      </c>
      <c r="D318" t="s">
        <v>152</v>
      </c>
    </row>
    <row r="319" spans="1:4" x14ac:dyDescent="0.4">
      <c r="A319">
        <v>330</v>
      </c>
      <c r="B319" t="s">
        <v>114</v>
      </c>
      <c r="C319" t="s">
        <v>46</v>
      </c>
      <c r="D319" t="s">
        <v>152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2026-04-30T07:05:34Z</dcterms:created>
  <dcterms:modified xsi:type="dcterms:W3CDTF">2026-04-30T07:17:05Z</dcterms:modified>
</cp:coreProperties>
</file>