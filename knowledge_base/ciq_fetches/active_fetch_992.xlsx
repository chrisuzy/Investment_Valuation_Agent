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13_ncr:1_{508A13D6-BDA6-4CED-9633-E3CC306AD7B2}" xr6:coauthVersionLast="47" xr6:coauthVersionMax="47" xr10:uidLastSave="{00000000-0000-0000-0000-000000000000}"/>
  <bookViews>
    <workbookView xWindow="-96" yWindow="-96" windowWidth="19392" windowHeight="11472" firstSheet="1" activeTab="1" xr2:uid="{00000000-000D-0000-FFFF-FFFF00000000}"/>
  </bookViews>
  <sheets>
    <sheet name="_CIQHiddenCacheSheet" sheetId="6" state="veryHidden" r:id="rId1"/>
    <sheet name="CIQ_Data" sheetId="1" r:id="rId2"/>
    <sheet name="_RowMap" sheetId="2" r:id="rId3"/>
  </sheets>
  <definedNames>
    <definedName name="CIQWBGuid" hidden="1">"440cc56e-de24-4a89-b70e-89c8d6435c7b"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8" i="1" l="1"/>
  <c r="C219" i="1"/>
  <c r="C191" i="1"/>
  <c r="C162" i="1"/>
  <c r="C121" i="1"/>
  <c r="C93" i="1"/>
  <c r="C65" i="1"/>
  <c r="C25" i="1"/>
  <c r="C15" i="1"/>
  <c r="C112" i="1"/>
  <c r="C113" i="1"/>
  <c r="C74" i="1"/>
  <c r="C173" i="1"/>
  <c r="C75" i="1"/>
  <c r="C230" i="1"/>
  <c r="C175" i="1"/>
  <c r="C77" i="1"/>
  <c r="C163" i="1"/>
  <c r="C38" i="1"/>
  <c r="C195" i="1"/>
  <c r="C251" i="1"/>
  <c r="C220" i="1"/>
  <c r="C192" i="1"/>
  <c r="C151" i="1"/>
  <c r="C122" i="1"/>
  <c r="C94" i="1"/>
  <c r="C54" i="1"/>
  <c r="C26" i="1"/>
  <c r="C255" i="1"/>
  <c r="C114" i="1"/>
  <c r="C236" i="1"/>
  <c r="C14" i="1"/>
  <c r="C83" i="1"/>
  <c r="C240" i="1"/>
  <c r="C46" i="1"/>
  <c r="C144" i="1"/>
  <c r="C252" i="1"/>
  <c r="C221" i="1"/>
  <c r="C193" i="1"/>
  <c r="C152" i="1"/>
  <c r="C123" i="1"/>
  <c r="C95" i="1"/>
  <c r="C55" i="1"/>
  <c r="C27" i="1"/>
  <c r="C212" i="1"/>
  <c r="C58" i="1"/>
  <c r="C108" i="1"/>
  <c r="C53" i="1"/>
  <c r="C208" i="1"/>
  <c r="C42" i="1"/>
  <c r="C111" i="1"/>
  <c r="C169" i="1"/>
  <c r="C44" i="1"/>
  <c r="C73" i="1"/>
  <c r="C241" i="1"/>
  <c r="C253" i="1"/>
  <c r="C222" i="1"/>
  <c r="C182" i="1"/>
  <c r="C153" i="1"/>
  <c r="C124" i="1"/>
  <c r="C84" i="1"/>
  <c r="C56" i="1"/>
  <c r="C28" i="1"/>
  <c r="C184" i="1"/>
  <c r="C86" i="1"/>
  <c r="C18" i="1"/>
  <c r="C178" i="1"/>
  <c r="C13" i="1"/>
  <c r="C180" i="1"/>
  <c r="C209" i="1"/>
  <c r="C140" i="1"/>
  <c r="C17" i="1"/>
  <c r="C171" i="1"/>
  <c r="C7" i="1"/>
  <c r="C203" i="1"/>
  <c r="C204" i="1"/>
  <c r="C235" i="1"/>
  <c r="C69" i="1"/>
  <c r="C126" i="1"/>
  <c r="C70" i="1"/>
  <c r="C225" i="1"/>
  <c r="C254" i="1"/>
  <c r="C223" i="1"/>
  <c r="C183" i="1"/>
  <c r="C154" i="1"/>
  <c r="C125" i="1"/>
  <c r="C85" i="1"/>
  <c r="C57" i="1"/>
  <c r="C29" i="1"/>
  <c r="C155" i="1"/>
  <c r="C109" i="1"/>
  <c r="C139" i="1"/>
  <c r="C238" i="1"/>
  <c r="C142" i="1"/>
  <c r="C102" i="1"/>
  <c r="C103" i="1"/>
  <c r="C47" i="1"/>
  <c r="C202" i="1"/>
  <c r="C133" i="1"/>
  <c r="C104" i="1"/>
  <c r="C76" i="1"/>
  <c r="C36" i="1"/>
  <c r="C8" i="1"/>
  <c r="C231" i="1"/>
  <c r="C66" i="1"/>
  <c r="C40" i="1"/>
  <c r="C97" i="1"/>
  <c r="C41" i="1"/>
  <c r="C16" i="1"/>
  <c r="C257" i="1"/>
  <c r="C213" i="1"/>
  <c r="C185" i="1"/>
  <c r="C156" i="1"/>
  <c r="C115" i="1"/>
  <c r="C87" i="1"/>
  <c r="C59" i="1"/>
  <c r="C19" i="1"/>
  <c r="C243" i="1"/>
  <c r="C214" i="1"/>
  <c r="C186" i="1"/>
  <c r="C145" i="1"/>
  <c r="C116" i="1"/>
  <c r="C88" i="1"/>
  <c r="C48" i="1"/>
  <c r="C20" i="1"/>
  <c r="C206" i="1"/>
  <c r="C81" i="1"/>
  <c r="C110" i="1"/>
  <c r="C43" i="1"/>
  <c r="C141" i="1"/>
  <c r="C45" i="1"/>
  <c r="C200" i="1"/>
  <c r="C6" i="1"/>
  <c r="C242" i="1"/>
  <c r="C134" i="1"/>
  <c r="C68" i="1"/>
  <c r="C168" i="1"/>
  <c r="C170" i="1"/>
  <c r="C244" i="1"/>
  <c r="C215" i="1"/>
  <c r="C187" i="1"/>
  <c r="C146" i="1"/>
  <c r="C117" i="1"/>
  <c r="C89" i="1"/>
  <c r="C49" i="1"/>
  <c r="C21" i="1"/>
  <c r="C246" i="1"/>
  <c r="C216" i="1"/>
  <c r="C176" i="1"/>
  <c r="C147" i="1"/>
  <c r="C118" i="1"/>
  <c r="C78" i="1"/>
  <c r="C50" i="1"/>
  <c r="C22" i="1"/>
  <c r="C247" i="1"/>
  <c r="C217" i="1"/>
  <c r="C177" i="1"/>
  <c r="C148" i="1"/>
  <c r="C119" i="1"/>
  <c r="C79" i="1"/>
  <c r="C51" i="1"/>
  <c r="C23" i="1"/>
  <c r="C248" i="1"/>
  <c r="C149" i="1"/>
  <c r="C80" i="1"/>
  <c r="C52" i="1"/>
  <c r="C12" i="1"/>
  <c r="C250" i="1"/>
  <c r="C207" i="1"/>
  <c r="C179" i="1"/>
  <c r="C150" i="1"/>
  <c r="C82" i="1"/>
  <c r="C237" i="1"/>
  <c r="C210" i="1"/>
  <c r="C72" i="1"/>
  <c r="C211" i="1"/>
  <c r="C143" i="1"/>
  <c r="C201" i="1"/>
  <c r="C106" i="1"/>
  <c r="C137" i="1"/>
  <c r="C37" i="1"/>
  <c r="C165" i="1"/>
  <c r="C10" i="1"/>
  <c r="C138" i="1"/>
  <c r="C30" i="1"/>
  <c r="C181" i="1"/>
  <c r="C174" i="1"/>
  <c r="C135" i="1"/>
  <c r="C9" i="1"/>
  <c r="C167" i="1"/>
  <c r="C105" i="1"/>
  <c r="C96" i="1"/>
  <c r="C166" i="1"/>
  <c r="C196" i="1"/>
  <c r="C98" i="1"/>
  <c r="C197" i="1"/>
  <c r="C232" i="1"/>
  <c r="C233" i="1"/>
  <c r="C205" i="1"/>
  <c r="C164" i="1"/>
  <c r="C136" i="1"/>
  <c r="C107" i="1"/>
  <c r="C67" i="1"/>
  <c r="C39" i="1"/>
  <c r="C11" i="1"/>
  <c r="C234" i="1"/>
  <c r="C194" i="1"/>
  <c r="C228" i="1"/>
  <c r="C229" i="1"/>
  <c r="C218" i="1"/>
  <c r="C224" i="1"/>
  <c r="C32" i="1"/>
  <c r="C33" i="1"/>
  <c r="C227" i="1"/>
  <c r="C34" i="1"/>
  <c r="C198" i="1"/>
  <c r="C24" i="1"/>
  <c r="C190" i="1"/>
  <c r="C160" i="1"/>
  <c r="C128" i="1"/>
  <c r="C132" i="1"/>
  <c r="C90" i="1"/>
  <c r="C71" i="1"/>
  <c r="C63" i="1"/>
  <c r="C31" i="1"/>
  <c r="C226" i="1"/>
  <c r="C35" i="1"/>
  <c r="C199" i="1"/>
  <c r="C188" i="1"/>
  <c r="C189" i="1"/>
  <c r="C157" i="1"/>
  <c r="C159" i="1"/>
  <c r="C161" i="1"/>
  <c r="C130" i="1"/>
  <c r="C120" i="1"/>
  <c r="C100" i="1"/>
  <c r="C91" i="1"/>
  <c r="C61" i="1"/>
  <c r="C158" i="1"/>
  <c r="C129" i="1"/>
  <c r="C131" i="1"/>
  <c r="C99" i="1"/>
  <c r="C101" i="1"/>
  <c r="C92" i="1"/>
  <c r="C60" i="1"/>
  <c r="C62" i="1"/>
  <c r="C64" i="1"/>
  <c r="D64" i="1" l="1"/>
  <c r="D62" i="1"/>
  <c r="D60" i="1"/>
  <c r="D92" i="1"/>
  <c r="D101" i="1"/>
  <c r="D99" i="1"/>
  <c r="D131" i="1"/>
  <c r="D129" i="1"/>
  <c r="D158" i="1"/>
  <c r="D61" i="1"/>
  <c r="D91" i="1"/>
  <c r="D100" i="1"/>
  <c r="D120" i="1"/>
  <c r="D130" i="1"/>
  <c r="D161" i="1"/>
  <c r="D159" i="1"/>
  <c r="D157" i="1"/>
  <c r="D189" i="1"/>
  <c r="D188" i="1"/>
  <c r="D199" i="1"/>
  <c r="D35" i="1"/>
  <c r="D226" i="1"/>
  <c r="D31" i="1"/>
  <c r="D63" i="1"/>
  <c r="D71" i="1"/>
  <c r="D90" i="1"/>
  <c r="D132" i="1"/>
  <c r="D128" i="1"/>
  <c r="D160" i="1"/>
  <c r="D190" i="1"/>
  <c r="D24" i="1"/>
  <c r="D198" i="1"/>
  <c r="D34" i="1"/>
  <c r="D227" i="1"/>
  <c r="D33" i="1"/>
  <c r="D32" i="1"/>
  <c r="D224" i="1"/>
  <c r="D218" i="1"/>
  <c r="D229" i="1"/>
  <c r="D228" i="1"/>
  <c r="D194" i="1"/>
  <c r="D234" i="1"/>
  <c r="D11" i="1"/>
  <c r="D39" i="1"/>
  <c r="D67" i="1"/>
  <c r="D107" i="1"/>
  <c r="D136" i="1"/>
  <c r="D164" i="1"/>
  <c r="D205" i="1"/>
  <c r="D233" i="1"/>
  <c r="D232" i="1"/>
  <c r="D197" i="1"/>
  <c r="D98" i="1"/>
  <c r="D196" i="1"/>
  <c r="D166" i="1"/>
  <c r="D96" i="1"/>
  <c r="D105" i="1"/>
  <c r="D167" i="1"/>
  <c r="D9" i="1"/>
  <c r="D135" i="1"/>
  <c r="D174" i="1"/>
  <c r="D181" i="1"/>
  <c r="D30" i="1"/>
  <c r="D138" i="1"/>
  <c r="D10" i="1"/>
  <c r="D165" i="1"/>
  <c r="D37" i="1"/>
  <c r="D137" i="1"/>
  <c r="D106" i="1"/>
  <c r="D201" i="1"/>
  <c r="D143" i="1"/>
  <c r="D211" i="1"/>
  <c r="D72" i="1"/>
  <c r="D210" i="1"/>
  <c r="D237" i="1"/>
  <c r="D82" i="1"/>
  <c r="D150" i="1"/>
  <c r="D179" i="1"/>
  <c r="D207" i="1"/>
  <c r="D250" i="1"/>
  <c r="D12" i="1"/>
  <c r="D52" i="1"/>
  <c r="D80" i="1"/>
  <c r="D149" i="1"/>
  <c r="D248" i="1"/>
  <c r="D23" i="1"/>
  <c r="D51" i="1"/>
  <c r="D79" i="1"/>
  <c r="D119" i="1"/>
  <c r="D148" i="1"/>
  <c r="D177" i="1"/>
  <c r="D217" i="1"/>
  <c r="D247" i="1"/>
  <c r="D22" i="1"/>
  <c r="D50" i="1"/>
  <c r="D78" i="1"/>
  <c r="D118" i="1"/>
  <c r="D147" i="1"/>
  <c r="D176" i="1"/>
  <c r="D216" i="1"/>
  <c r="D246" i="1"/>
  <c r="D21" i="1"/>
  <c r="D49" i="1"/>
  <c r="D89" i="1"/>
  <c r="D117" i="1"/>
  <c r="D146" i="1"/>
  <c r="D187" i="1"/>
  <c r="D215" i="1"/>
  <c r="D244" i="1"/>
  <c r="D170" i="1"/>
  <c r="D168" i="1"/>
  <c r="D68" i="1"/>
  <c r="D134" i="1"/>
  <c r="D242" i="1"/>
  <c r="D6" i="1"/>
  <c r="D200" i="1"/>
  <c r="D45" i="1"/>
  <c r="D141" i="1"/>
  <c r="D43" i="1"/>
  <c r="D110" i="1"/>
  <c r="D81" i="1"/>
  <c r="D206" i="1"/>
  <c r="D20" i="1"/>
  <c r="D48" i="1"/>
  <c r="D88" i="1"/>
  <c r="D116" i="1"/>
  <c r="D145" i="1"/>
  <c r="D186" i="1"/>
  <c r="D214" i="1"/>
  <c r="D243" i="1"/>
  <c r="D19" i="1"/>
  <c r="D59" i="1"/>
  <c r="D87" i="1"/>
  <c r="D115" i="1"/>
  <c r="D156" i="1"/>
  <c r="D185" i="1"/>
  <c r="D213" i="1"/>
  <c r="D257" i="1"/>
  <c r="D16" i="1"/>
  <c r="D41" i="1"/>
  <c r="D97" i="1"/>
  <c r="D40" i="1"/>
  <c r="D66" i="1"/>
  <c r="D231" i="1"/>
  <c r="D8" i="1"/>
  <c r="D36" i="1"/>
  <c r="D76" i="1"/>
  <c r="D104" i="1"/>
  <c r="D133" i="1"/>
  <c r="D202" i="1"/>
  <c r="D47" i="1"/>
  <c r="D103" i="1"/>
  <c r="D102" i="1"/>
  <c r="D142" i="1"/>
  <c r="D238" i="1"/>
  <c r="D139" i="1"/>
  <c r="D109" i="1"/>
  <c r="D155" i="1"/>
  <c r="D29" i="1"/>
  <c r="D57" i="1"/>
  <c r="D85" i="1"/>
  <c r="D125" i="1"/>
  <c r="D154" i="1"/>
  <c r="D183" i="1"/>
  <c r="D223" i="1"/>
  <c r="D254" i="1"/>
  <c r="D225" i="1"/>
  <c r="D70" i="1"/>
  <c r="D126" i="1"/>
  <c r="D69" i="1"/>
  <c r="D235" i="1"/>
  <c r="D204" i="1"/>
  <c r="D203" i="1"/>
  <c r="D7" i="1"/>
  <c r="D171" i="1"/>
  <c r="D17" i="1"/>
  <c r="D140" i="1"/>
  <c r="D209" i="1"/>
  <c r="D180" i="1"/>
  <c r="D13" i="1"/>
  <c r="D178" i="1"/>
  <c r="D18" i="1"/>
  <c r="D86" i="1"/>
  <c r="D184" i="1"/>
  <c r="D28" i="1"/>
  <c r="D56" i="1"/>
  <c r="D84" i="1"/>
  <c r="D124" i="1"/>
  <c r="D153" i="1"/>
  <c r="D182" i="1"/>
  <c r="D222" i="1"/>
  <c r="D253" i="1"/>
  <c r="D241" i="1"/>
  <c r="D73" i="1"/>
  <c r="D44" i="1"/>
  <c r="D169" i="1"/>
  <c r="D111" i="1"/>
  <c r="D42" i="1"/>
  <c r="D208" i="1"/>
  <c r="D53" i="1"/>
  <c r="D108" i="1"/>
  <c r="D58" i="1"/>
  <c r="D212" i="1"/>
  <c r="D27" i="1"/>
  <c r="D55" i="1"/>
  <c r="D95" i="1"/>
  <c r="D123" i="1"/>
  <c r="D152" i="1"/>
  <c r="D193" i="1"/>
  <c r="D221" i="1"/>
  <c r="D252" i="1"/>
  <c r="D144" i="1"/>
  <c r="D46" i="1"/>
  <c r="D240" i="1"/>
  <c r="D83" i="1"/>
  <c r="D14" i="1"/>
  <c r="D236" i="1"/>
  <c r="D114" i="1"/>
  <c r="D255" i="1"/>
  <c r="D26" i="1"/>
  <c r="D54" i="1"/>
  <c r="D94" i="1"/>
  <c r="D122" i="1"/>
  <c r="D151" i="1"/>
  <c r="D192" i="1"/>
  <c r="D220" i="1"/>
  <c r="D251" i="1"/>
  <c r="D195" i="1"/>
  <c r="D38" i="1"/>
  <c r="D163" i="1"/>
  <c r="D77" i="1"/>
  <c r="D175" i="1"/>
  <c r="D230" i="1"/>
  <c r="D75" i="1"/>
  <c r="D173" i="1"/>
  <c r="D74" i="1"/>
  <c r="D113" i="1"/>
  <c r="D112" i="1"/>
  <c r="D15" i="1"/>
  <c r="D25" i="1"/>
  <c r="D65" i="1"/>
  <c r="D93" i="1"/>
  <c r="D121" i="1"/>
  <c r="D162" i="1"/>
  <c r="D191" i="1"/>
  <c r="D219" i="1"/>
  <c r="D258" i="1"/>
</calcChain>
</file>

<file path=xl/sharedStrings.xml><?xml version="1.0" encoding="utf-8"?>
<sst xmlns="http://schemas.openxmlformats.org/spreadsheetml/2006/main" count="1547" uniqueCount="180">
  <si>
    <t>Ticker:</t>
  </si>
  <si>
    <t>992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</si>
  <si>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</si>
  <si>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</si>
  <si>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</si>
  <si>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</si>
  <si>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</si>
  <si>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</si>
  <si>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</si>
  <si>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</si>
  <si>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</si>
  <si>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</si>
  <si>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</si>
  <si>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</si>
  <si>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</si>
  <si>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</si>
  <si>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</si>
  <si>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</si>
  <si>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</si>
  <si>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</si>
  <si>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</si>
  <si>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</si>
  <si>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</si>
  <si>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</si>
  <si>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</si>
  <si>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</si>
  <si>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</si>
  <si>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</si>
  <si>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</si>
  <si>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</si>
  <si>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</si>
  <si>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</si>
  <si>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</si>
  <si>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</si>
  <si>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</si>
  <si>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</si>
  <si>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capex</t>
  </si>
  <si>
    <t>Capital Expenditures</t>
  </si>
  <si>
    <t>operating_lease_expense</t>
  </si>
  <si>
    <t>Operating Lease Payments</t>
  </si>
  <si>
    <t>earnings_before_tax</t>
  </si>
  <si>
    <t>Earnings Before Tax (excl unusual items)</t>
  </si>
  <si>
    <t>total_tax_expense</t>
  </si>
  <si>
    <t>Income Tax Expense</t>
  </si>
  <si>
    <t>INCOME STATEMENT (Quarterly — for LTM)</t>
  </si>
  <si>
    <t>IQ_FQ-0</t>
  </si>
  <si>
    <t>IQ_FQ-1</t>
  </si>
  <si>
    <t>IQ_FQ-2</t>
  </si>
  <si>
    <t>IQ_FQ-3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</si>
  <si>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</si>
  <si>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</si>
  <si>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</si>
  <si>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</si>
  <si>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</si>
  <si>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</si>
  <si>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</si>
  <si>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</si>
  <si>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</si>
  <si>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</si>
  <si>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</si>
  <si>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</si>
  <si>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</si>
  <si>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MARKET DATA (Current)</t>
  </si>
  <si>
    <t>stock_price</t>
  </si>
  <si>
    <t>current</t>
  </si>
  <si>
    <t>Closing Stock Price</t>
  </si>
  <si>
    <t>mv_equity</t>
  </si>
  <si>
    <t>Market Capitalization</t>
  </si>
  <si>
    <t>reporting_currency</t>
  </si>
  <si>
    <t>Filing/Reporting Currency</t>
  </si>
  <si>
    <t>primary_exchange</t>
  </si>
  <si>
    <t>Primary Exchange Listing</t>
  </si>
  <si>
    <t>effective_tax_rate_ciq</t>
  </si>
  <si>
    <t>IQ_FY</t>
  </si>
  <si>
    <t>Effective Tax Rate (CIQ, /100)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</si>
  <si>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</si>
  <si>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</si>
  <si>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</si>
  <si>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</si>
  <si>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</si>
  <si>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</si>
  <si>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</si>
  <si>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</si>
  <si>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</si>
  <si>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</si>
  <si>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</si>
  <si>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</si>
  <si>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</si>
  <si>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</si>
  <si>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</si>
  <si>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</si>
  <si>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</si>
  <si>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</si>
  <si>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</si>
  <si>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</si>
  <si>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</si>
  <si>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</si>
  <si>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Most recent 10-K period end date</t>
  </si>
  <si>
    <t>period_date_quarterly</t>
  </si>
  <si>
    <t>Most recent 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</si>
  <si>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</si>
  <si>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</si>
  <si>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</si>
  <si>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</si>
  <si>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</si>
  <si>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</si>
  <si>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</si>
  <si>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</si>
  <si>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</si>
  <si>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</si>
  <si>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</si>
  <si>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IQ_CAPEX</t>
  </si>
  <si>
    <t>IQ_OPERATING_LEASE_PAYMENTS</t>
  </si>
  <si>
    <t>IQ_EBT_EXCL</t>
  </si>
  <si>
    <t>IQ_INC_TAX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</si>
  <si>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</si>
  <si>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</si>
  <si>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</si>
  <si>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</si>
  <si>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</si>
  <si>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</si>
  <si>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</si>
  <si>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</si>
  <si>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</si>
  <si>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</si>
  <si>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IQ_EFFECT_TAX_RATE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</si>
  <si>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</si>
  <si>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</si>
  <si>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</si>
  <si>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</si>
  <si>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</si>
  <si>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</si>
  <si>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</si>
  <si>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</si>
  <si>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</si>
  <si>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</si>
  <si>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BAABTAVMT0NBTAFI/////wFQ2AAAABtDSVEuOTkyLklRX0VCVF9FWENMLklRX0ZZLTMBAAAACEIGAAIAAAAIMjc2OS45OTYBCAAAAAUAAAABMQEAAAALLTIwMzk0NjA3MDIDAAAAAzE2MAIAAAABNAQAAAABMAcAAAAJMy8yMC8yMDI2CAAAAAkzLzMxLzIwMjIJAAAAATCJPB+OeobeCK3JT456ht4IFUNJUS45OTIuSVFfTkkuSVFfRlEtMAEAAAAIQgYAAgAAAAc1NDUuNTM2AQgAAAAFAAAAATEBAAAACy0xOTA3MTYwMjc0AwAAAAMxNjACAAAAAjE1BAAAAAEwBwAAAAkzLzIwLzIwMjYIAAAACjEyLzMxLzIwMjUJAAAAATCJPB+OeobeCLrwT456ht4IFUNJUS45OTIuSVFfTkkuSVFfRlktNAEAAAAIQgYAAgAAAAgxMjEwLjgzOQEIAAAABQAAAAExAQAAAAstMjA5MTU3MDcwNgMAAAADMTYwAgAAAAIxNQQAAAABMAcAAAAJMy8yMC8yMDI2CAAAAAkzLzMxLzIwMjEJAAAAATDKFR+OeobeCMK9UI56ht4IH0NJUS45OTIuSVFfVE9UQUxfRVFVSVRZLklRX0ZZLTUBAAAACEIGAAIAAAAINDA1OS4yOTUBCAAAAAUAAAABMQEAAAALLTIxNDY2MTYzMjUDAAAAAzE2MAIAAAAEMTI3NQQAAAABMAcAAAAJMy8yMC8yMDI2CAAAAAkzLzMxLzIwMjAJAAAAATCJPB+OeobeCL3SUY56ht4IGENJUS45OTIuSVFfQ0FQRVguSVFfRlktOAEAAAAIQgYAAgAAAAgtNDYzLjU1OAEIAAAABQAAAAExAQAAAAoxODkyMjQ1NzUyAwAAAAMx</t>
  </si>
  <si>
    <t>NjACAAAABDIwMjEEAAAAATAHAAAACTMvMjAvMjAyNggAAAAJMy8zMS8yMDE3CQAAAAEwiTwfjnqG3gi90lGOeobeCBxDSVEuOTkyLklRX1RPVEFMX1JFVi5JUV9GUS0wAQAAAAhCBgACAAAACTIyMjA0LjMzNAEIAAAABQAAAAExAQAAAAstMTkwNzE2MDI3NAMAAAADMTYwAgAAAAIyOAQAAAABMAcAAAAJMy8yMC8yMDI2CAAAAAoxMi8zMS8yMDI1CQAAAAEwiTwfjnqG3ggeqFGOeobeCBhDSVEuOTkyLklRX0RBX0NGLklRX0ZZLTIBAAAACEIGAAIAAAAIMTExNS42OTgBCAAAAAUAAAABMQEAAAALLTE5ODkyODc1MTIDAAAAAzE2MAIAAAAEMjE2MAQAAAABMAcAAAAJMy8yMC8yMDI2CAAAAAkzLzMxLzIwMjMJAAAAATDKFR+OeobeCB6oUY56ht4IG0NJUS45OTIuSVFfRUJUX0VYQ0wuSVFfRlktNgEAAAAIQgYAAgAAAAc4NjEuNjM0AQgAAAAFAAAAATEBAAAACjIwNDAxNTU4MzMDAAAAAzE2MAIAAAABNAQAAAABMAcAAAAJMy8yMC8yMDI2CAAAAAkzLzMxLzIwMTkJAAAAATCJPB+OeobeCK3JT456ht4IHUNJUS45OTIuSVFfVE9UQUxfREVCVC5JUV9GWS05AQAAAAhCBgACAAAACDMyNTAuOTI3AQgAAAAFAAAAATEBAAAACjE4NDYxNDc5ODMDAAAAAzE2MAIAAAAENDE3MwQAAAABMAcAAAAJMy8yMC8yMDI2CAAAAAkzLzMxLzIwMTYJAAAAATCJPB+OeobeCNMkUI56ht4IH0NJUS45OTIuSVFfVE9UQUxfRVFVSVRZ</t>
  </si>
  <si>
    <t>LklRX0ZZLTQBAAAACEIGAAIAAAAIMzYxMC41MzMBCAAAAAUAAAABMQEAAAALLTIwOTE1NzA3MDYDAAAAAzE2MAIAAAAEMTI3NQQAAAABMAcAAAAJMy8yMC8yMDI2CAAAAAkzLzMxLzIwMjEJAAAAATCJPB+OeobeCL3SUY56ht4IGkNJUS45OTIuSVFfSU5DX1RBWC5JUV9GUS0zAQAAAAhCBgACAAAABTUzLjI4AQgAAAAFAAAAATEBAAAACy0xOTM3NjY0NDkzAwAAAAMxNjACAAAAAjc1BAAAAAEwBwAAAAkzLzIwLzIwMjYIAAAACTMvMzEvMjAyNQkAAAABMIk8H456ht4IuvBPjnqG3ggZQ0lRLjk5Mi5JUV9SRF9FWFAuSVFfRlEtMwEAAAAIQgYAAgAAAAc2NDMuODkyAQgAAAAFAAAAATEBAAAACy0xOTM3NjY0NDkzAwAAAAMxNjACAAAAAzEwMAQAAAABMAcAAAAJMy8yMC8yMDI2CAAAAAkzLzMxLzIwMjUJAAAAATCJPB+OeobeCD9IUI56ht4IGUNJUS45OTIuSVFfRUJJVERBLklRX0ZRLTMBAAAACEIGAAIAAAAHNDE5LjEwNgEIAAAABQAAAAExAQAAAAstMTkzNzY2NDQ5MwMAAAADMTYwAgAAAAQ0MDUxBAAAAAEwBwAAAAkzLzIwLzIwMjYIAAAACTMvMzEvMjAyNQkAAAABMIk8H456ht4IP0hQjnqG3ggbQ0lRLjk5Mi5JUV9FQlRfRVhDTC5JUV9GWS0xAQAAAAhCBgACAAAACDEzNjQuODcyAQgAAAAFAAAAATEBAAAACy0xOTM3NjY0ODg4AwAAAAMxNjACAAAAATQEAAAAATAHAAAACTMvMjAvMjAyNggAAAAJMy8z</t>
  </si>
  <si>
    <t>MS8yMDI0CQAAAAEwiTwfjnqG3ggoWlGOeobeCBhDSVEuOTkyLklRX0NBUEVYLklRX0ZZLTcBAAAACEIGAAIAAAAILTUwMy4yOTYBCAAAAAUAAAABMQEAAAAKMTk2NzQ0NzkyNAMAAAADMTYwAgAAAAQyMDIxBAAAAAEwBwAAAAkzLzIwLzIwMjYIAAAACTMvMzEvMjAxOAkAAAABMIk8H456ht4IHqhRjnqG3ggfQ0lRLjk5Mi5JUV9JTlRFUkVTVF9FWFAuSVFfRlktOAEAAAAIQgYAAgAAAAgtMTk4LjIxNQEIAAAABQAAAAExAQAAAAoxODkyMjQ1NzUyAwAAAAMxNjACAAAAAjgyBAAAAAEwBwAAAAkzLzIwLzIwMjYIAAAACTMvMzEvMjAxNwkAAAABMMoVH456ht4IrclPjnqG3ggVQ0lRLjk5Mi5JUV9OSS5JUV9GWS0zAQAAAAhCBgACAAAACDIwMjkuODE4AQgAAAAFAAAAATEBAAAACy0yMDM5NDYwNzAyAwAAAAMxNjACAAAAAjE1BAAAAAEwBwAAAAkzLzIwLzIwMjYIAAAACTMvMzEvMjAyMgkAAAABMMoVH456ht4IrclPjnqG3ggcQ0lRLjk5Mi5JUV9UT1RBTF9SRVYuSVFfRlktNAEAAAAIQgYAAgAAAAk2MDc0Mi4zMTIBCAAAAAUAAAABMQEAAAALLTIwOTE1NzA3MDYDAAAAAzE2MAIAAAACMjgEAAAAATAHAAAACTMvMjAvMjAyNggAAAAJMy8zMS8yMDIxCQAAAAEwyhUfjnqG3ggoWlGOeobeCBlDSVEuOTkyLklRX1JEX0VYUC5JUV9GUS0yAQAAAAhCBgACAAAAAzUyNAEIAAAABQAAAAExAQAAAAstMTkzMTI2NjI0</t>
  </si>
  <si>
    <t>NQMAAAADMTYwAgAAAAMxMDAEAAAAATAHAAAACTMvMjAvMjAyNggAAAAJNi8zMC8yMDI1CQAAAAEwiTwfjnqG3gg/SFCOeobeCBlDSVEuOTkyLklRX1JEX0VYUC5JUV9GWS0xAQAAAAhCBgACAAAACDIwMjcuNTMyAQgAAAAFAAAAATEBAAAACy0xOTM3NjY0ODg4AwAAAAMxNjACAAAAAzEwMAQAAAABMAcAAAAJMy8yMC8yMDI2CAAAAAkzLzMxLzIwMjQJAAAAATDKFR+OeobeCK3JT456ht4IH0NJUS45OTIuSVFfVE9UQUxfRVFVSVRZLklRX0ZZLTIBAAAACEIGAAIAAAAINjA0Ny4wMjEBCAAAAAUAAAABMQEAAAALLTE5ODkyODc1MTIDAAAAAzE2MAIAAAAEMTI3NQQAAAABMAcAAAAJMy8yMC8yMDI2CAAAAAkzLzMxLzIwMjMJAAAAATCJPB+OeobeCMK9UI56ht4IGUNJUS45OTIuSVFfUkRfRVhQLklRX0ZRLTEBAAAACEIGAAIAAAAHNTgwLjU4NQEIAAAABQAAAAExAQAAAAstMTkxMjY4ODQ3NAMAAAADMTYwAgAAAAMxMDAEAAAAATAHAAAACTMvMjAvMjAyNggAAAAJOS8zMC8yMDI1CQAAAAEwiTwfjnqG3gi68E+OeobeCBlDSVEuOTkyLklRX0VCSVREQS5JUV9GUS0xAQAAAAhCBgACAAAABzkwOS42NDcBCAAAAAUAAAABMQEAAAALLTE5MTI2ODg0NzQDAAAAAzE2MAIAAAAENDA1MQQAAAABMAcAAAAJMy8yMC8yMDI2CAAAAAk5LzMwLzIwMjUJAAAAATCJPB+OeobeCChaUY56ht4ILENJUS45OTIuSVFfT1BFUkFU</t>
  </si>
  <si>
    <t>SU5HX0xFQVNFX1BBWU1FTlRTLklRX0ZZLTEwAQAAAAhCBgADAAAAAACJPB+OeobeCElvUI56ht4IGUNJUS45OTIuSVFfUkRfRVhQLklRX0ZZLTABAAAACEIGAAIAAAAIMjI4OC4yMDQBCAAAAAUAAAABMQEAAAALLTE5Mzc2NjQ4ODADAAAAAzE2MAIAAAADMTAwBAAAAAEwBwAAAAkzLzIwLzIwMjYIAAAACTMvMzEvMjAyNQkAAAABMMoVH456ht4IDDNRjnqG3ggfQ0lRLjk5Mi5JUV9UT1RBTF9FUVVJVFkuSVFfRlktMQEAAAAIQgYAAgAAAAg2MDgxLjE4NwEIAAAABQAAAAExAQAAAAstMTkzNzY2NDg4OAMAAAADMTYwAgAAAAQxMjc1BAAAAAEwBwAAAAkzLzIwLzIwMjYIAAAACTMvMzEvMjAyNAkAAAABMIk8H456ht4ITZZQjnqG3ggaQ0lRLjk5Mi5JUV9JTkNfVEFYLklRX0ZRLTABAAAACEIGAAIAAAAHMTcwLjIxNQEIAAAABQAAAAExAQAAAAstMTkwNzE2MDI3NAMAAAADMTYwAgAAAAI3NQQAAAABMAcAAAAJMy8yMC8yMDI2CAAAAAoxMi8zMS8yMDI1CQAAAAEwiTwfjnqG3gjS5FCOeobeCBlDSVEuOTkyLklRX0VCSVREQS5JUV9GUS0wAQAAAAhCBgACAAAACDEyNDYuMDM1AQgAAAAFAAAAATEBAAAACy0xOTA3MTYwMjc0AwAAAAMxNjACAAAABDQwNTEEAAAAATAHAAAACTMvMjAvMjAyNggAAAAKMTIvMzEvMjAyNQkAAAABMIk8H456ht4ILYFRjnqG3ggrQ0lRLjk5Mi5JUV9PUEVSQVRJTkdfTEVBU0VfUEFZ</t>
  </si>
  <si>
    <t>TUVOVFMuSVFfRlktOQEAAAAIQgYAAwAAAAAAiTwfjnqG3ghJb1COeobeCBlDSVEuOTkyLklRX0RBX0NGLklRX0ZZLTEwAQAAAAhCBgACAAAABzQxNy4yOTgBCAAAAAUAAAABMQEAAAAKMTc5NTUzODU5OQMAAAADMTYwAgAAAAQyMTYwBAAAAAEwBwAAAAkzLzIwLzIwMjYIAAAACTMvMzEvMjAxNQkAAAABMMoVH456ht4IHqhRjnqG3ggfQ0lRLjk5Mi5JUV9JTlRFUkVTVF9FWFAuSVFfRlktNQEAAAAIQgYAAgAAAAgtMjYxLjcwMgEIAAAABQAAAAExAQAAAAstMjE0NjYxNjMyNQMAAAADMTYwAgAAAAI4MgQAAAABMAcAAAAJMy8yMC8yMDI2CAAAAAkzLzMxLzIwMjAJAAAAATDKFR+OeobeCK3JT456ht4IF0NJUS45OTIuSVFfRUJJVC5JUV9GWS02AQAAAAhCBgACAAAABzEwNDkuOTIBCAAAAAUAAAABMQEAAAAKMjA0MDE1NTgzMwMAAAADMTYwAgAAAAM0MDAEAAAAATAHAAAACTMvMjAvMjAyNggAAAAJMy8zMS8yMDE5CQAAAAEwyhUfjnqG3ggMM1GOeobeCBxDSVEuOTkyLklRX1RPVEFMX1JFVi5JUV9GWS0xAQAAAAhCBgACAAAACTU2ODYzLjc4NAEIAAAABQAAAAExAQAAAAstMTkzNzY2NDg4OAMAAAADMTYwAgAAAAIyOAQAAAABMAcAAAAJMy8yMC8yMDI2CAAAAAkzLzMxLzIwMjQJAAAAATDKFR+OeobeCNMkUI56ht4IK0NJUS45OTIuSVFfT1BFUkFUSU5HX0xFQVNFX1BBWU1FTlRTLklRX0ZZLTUBAAAACEIG</t>
  </si>
  <si>
    <t>AAIAAAAILTEzMC45OTMBCAAAAAUAAAABMQEAAAALLTIxNDY2MTYzMjUDAAAAAzE2MAIAAAAFNDgzNTkEAAAAATAHAAAACTMvMjAvMjAyNggAAAAJMy8zMS8yMDIwCQAAAAEwiTwfjnqG3gh+9lGOeobeCBlDSVEuOTkyLklRX0VCSVREQS5JUV9GWS03AQAAAAhCBgACAAAACDEzNTcuNzQyAQgAAAAFAAAAATEBAAAACjE5Njc0NDc5MjQDAAAAAzE2MAIAAAAENDA1MQQAAAABMAcAAAAJMy8yMC8yMDI2CAAAAAkzLzMxLzIwMTgJAAAAATDKFR+OeobeCL3SUY56ht4IGUNJUS45OTIuSVFfUkRfRVhQLklRX0ZZLTcBAAAACEIGAAIAAAAIMTI3My43MjkBCAAAAAUAAAABMQEAAAAKMTk2NzQ0NzkyNAMAAAADMTYwAgAAAAMxMDAEAAAAATAHAAAACTMvMjAvMjAyNggAAAAJMy8zMS8yMDE4CQAAAAEwyhUfjnqG3gjdC1GOeobeCB1DSVEuOTkyLklRX1RPVEFMX0RFQlQuSVFfRlktOAEAAAAIQgYAAgAAAAgzMDM2LjY5NQEIAAAABQAAAAExAQAAAAoxODkyMjQ1NzUyAwAAAAMxNjACAAAABDQxNzMEAAAAATAHAAAACTMvMjAvMjAyNggAAAAJMy8zMS8yMDE3CQAAAAEwiTwfjnqG3gjTJFCOeobeCB9DSVEuOTkyLklRX1RPVEFMX0VRVUlUWS5JUV9GWS0zAQAAAAhCBgACAAAACDUzOTQuNzAxAQgAAAAFAAAAATEBAAAACy0yMDM5NDYwNzAyAwAAAAMxNjACAAAABDEyNzUEAAAAATAHAAAACTMvMjAvMjAyNggAAAAJMy8z</t>
  </si>
  <si>
    <t>MS8yMDIyCQAAAAEwiTwfjnqG3gjS5FCOeobeCBpDSVEuOTkyLklRX0lOQ19UQVguSVFfRlEtMgEAAAAIQgYAAgAAAAI4NAEIAAAABQAAAAExAQAAAAstMTkzMTI2NjI0NQMAAAADMTYwAgAAAAI3NQQAAAABMAcAAAAJMy8yMC8yMDI2CAAAAAk2LzMwLzIwMjUJAAAAATCJPB+OeobeCNLkUI56ht4IGUNJUS45OTIuSVFfRUJJVERBLklRX0ZRLTIBAAAACEIGAAIAAAAKMTA0OC4yMTAyNQEIAAAABQAAAAExAQAAAAstMTkzMTI2NjI0NQMAAAADMTYwAgAAAAQ0MDUxBAAAAAEwBwAAAAkzLzIwLzIwMjYIAAAACTYvMzAvMjAyNQkAAAABMIk8H456ht4IKFpRjnqG3ggbQ0lRLjk5Mi5JUV9FQlRfRVhDTC5JUV9GWS0wAQAAAAhCBgACAAAACDE0ODQuNDY2AQgAAAAFAAAAATEBAAAACy0xOTM3NjY0ODgwAwAAAAMxNjACAAAAATQEAAAAATAHAAAACTMvMjAvMjAyNggAAAAJMy8zMS8yMDI1CQAAAAEwiTwfjnqG3ggoWlGOeobeCBhDSVEuOTkyLklRX0NBUEVYLklRX0ZZLTYBAAAACEIGAAIAAAAILTUzNy43MjcBCAAAAAUAAAABMQEAAAAKMjA0MDE1NTgzMwMAAAADMTYwAgAAAAQyMDIxBAAAAAEwBwAAAAkzLzIwLzIwMjYIAAAACTMvMzEvMjAxOQkAAAABMIk8H456ht4I0uRQjnqG3ggfQ0lRLjk5Mi5JUV9JTlRFUkVTVF9FWFAuSVFfRlktNwEAAAAIQgYAAgAAAAgtMTg3LjMwNAEIAAAABQAAAAExAQAAAAoxOTY3</t>
  </si>
  <si>
    <t>NDQ3OTI0AwAAAAMxNjACAAAAAjgyBAAAAAEwBwAAAAkzLzIwLzIwMjYIAAAACTMvMzEvMjAxOAkAAAABMMoVH456ht4IP0hQjnqG3ggVQ0lRLjk5Mi5JUV9OSS5JUV9GWS0yAQAAAAhCBgACAAAACDE2MDcuNzIyAQgAAAAFAAAAATEBAAAACy0xOTg5Mjg3NTEyAwAAAAMxNjACAAAAAjE1BAAAAAEwBwAAAAkzLzIwLzIwMjYIAAAACTMvMzEvMjAyMwkAAAABMMoVH456ht4ITZZQjnqG3ggcQ0lRLjk5Mi5JUV9UT1RBTF9SRVYuSVFfRlktMwEAAAAIQgYAAgAAAAk3MTYxOC4yMTYBCAAAAAUAAAABMQEAAAALLTIwMzk0NjA3MDIDAAAAAzE2MAIAAAACMjgEAAAAATAHAAAACTMvMjAvMjAyNggAAAAJMy8zMS8yMDIyCQAAAAEwyhUfjnqG3ggoWlGOeobeCB1DSVEuOTkyLklRX1RPVEFMX0RFQlQuSVFfRlktNwEAAAAIQgYAAgAAAAgzODE1LjQxNwEIAAAABQAAAAExAQAAAAoxOTY3NDQ3OTI0AwAAAAMxNjACAAAABDQxNzMEAAAAATAHAAAACTMvMjAvMjAyNggAAAAJMy8zMS8yMDE4CQAAAAEwiTwfjnqG3ghJb1COeobeCBpDSVEuOTkyLklRX0lOQ19UQVguSVFfRlEtMQEAAAAIQgYAAgAAAAcxMTMuOTkzAQgAAAAFAAAAATEBAAAACy0xOTEyNjg4NDc0AwAAAAMxNjACAAAAAjc1BAAAAAEwBwAAAAkzLzIwLzIwMjYIAAAACTkvMzAvMjAyNQkAAAABMIk8H456ht4IrclPjnqG3ggaQ0lRLjk5Mi5JUV9JTkNfVEFY</t>
  </si>
  <si>
    <t>LklRX0ZZLTQBAAAACEIGAAIAAAAHNDYxLjE5OQEIAAAABQAAAAExAQAAAAstMjA5MTU3MDcwNgMAAAADMTYwAgAAAAI3NQQAAAABMAcAAAAJMy8yMC8yMDI2CAAAAAkzLzMxLzIwMjEJAAAAATCJPB+OeobeCL3SUY56ht4IGENJUS45OTIuSVFfQ0FQRVguSVFfRlktNQEAAAAIQgYAAgAAAAgtNjY0LjIxNQEIAAAABQAAAAExAQAAAAstMjE0NjYxNjMyNQMAAAADMTYwAgAAAAQyMDIxBAAAAAEwBwAAAAkzLzIwLzIwMjYIAAAACTMvMzEvMjAyMAkAAAABMIk8H456ht4Iwr1QjnqG3ggfQ0lRLjk5Mi5JUV9JTlRFUkVTVF9FWFAuSVFfRlktNgEAAAAIQgYAAgAAAAgtMjM3LjM5OAEIAAAABQAAAAExAQAAAAoyMDQwMTU1ODMzAwAAAAMxNjACAAAAAjgyBAAAAAEwBwAAAAkzLzIwLzIwMjYIAAAACTMvMzEvMjAxOQkAAAABMMoVH456ht4IuvBPjnqG3ggXQ0lRLjk5Mi5JUV9FQklULklRX0ZZLTcBAAAACEIGAAIAAAAHNzE0LjM2OQEIAAAABQAAAAExAQAAAAoxOTY3NDQ3OTI0AwAAAAMxNjACAAAAAzQwMAQAAAABMAcAAAAJMy8yMC8yMDI2CAAAAAkzLzMxLzIwMTgJAAAAATDKFR+OeobeCB6oUY56ht4IHENJUS45OTIuSVFfVE9UQUxfUkVWLklRX0ZZLTIBAAAACEIGAAIAAAAJNjE5NDYuODU0AQgAAAAFAAAAATEBAAAACy0xOTg5Mjg3NTEyAwAAAAMxNjACAAAAAjI4BAAAAAEwBwAAAAkzLzIwLzIwMjYIAAAA</t>
  </si>
  <si>
    <t>CTMvMzEvMjAyMwkAAAABMMoVH456ht4ISW9QjnqG3ggdQ0lRLjk5Mi5JUV9UT1RBTF9ERUJULklRX0ZZLTYBAAAACEIGAAIAAAAINDM3OS44MTMBCAAAAAUAAAABMQEAAAAKMjA0MDE1NTgzMwMAAAADMTYwAgAAAAQ0MTczBAAAAAEwBwAAAAkzLzIwLzIwMjYIAAAACTMvMzEvMjAxOQkAAAABMIk8H456ht4IKFpRjnqG3ggaQ0lRLjk5Mi5JUV9JTkNfVEFYLklRX0ZZLTMBAAAACEIGAAIAAAAHNjIyLjM5OQEIAAAABQAAAAExAQAAAAstMjAzOTQ2MDcwMgMAAAADMTYwAgAAAAI3NQQAAAABMAcAAAAJMy8yMC8yMDI2CAAAAAkzLzMxLzIwMjIJAAAAATCJPB+OeobeCN0LUY56ht4IGENJUS45OTIuSVFfQ0FQRVguSVFfRlktNAEAAAAIQgYAAgAAAAgtNjk3LjAwNAEIAAAABQAAAAExAQAAAAstMjA5MTU3MDcwNgMAAAADMTYwAgAAAAQyMDIxBAAAAAEwBwAAAAkzLzIwLzIwMjYIAAAACTMvMzEvMjAyMQkAAAABMIk8H456ht4ITZZQjnqG3ggVQ0lRLjk5Mi5JUV9OSS5JUV9GWS0wAQAAAAhCBgACAAAACDEzODQuNDQ1AQgAAAAFAAAAATEBAAAACy0xOTM3NjY0ODgwAwAAAAMxNjACAAAAAjE1BAAAAAEwBwAAAAkzLzIwLzIwMjYIAAAACTMvMzEvMjAyNQkAAAABMMoVH456ht4ILYFRjnqG3ggVQ0lRLjk5Mi5JUV9OSS5JUV9GWS0xAQAAAAhCBgACAAAACDEwMTAuNTA2AQgAAAAFAAAAATEBAAAACy0xOTM3NjY0</t>
  </si>
  <si>
    <t>ODg4AwAAAAMxNjACAAAAAjE1BAAAAAEwBwAAAAkzLzIwLzIwMjYIAAAACTMvMzEvMjAyNAkAAAABMMoVH456ht4ISW9QjnqG3ggxQ0lRLjk5Mi5JUV9UT1RBTF9PVVRTVEFORElOR19GSUxJTkdfREFURS5JUV9GWS0xMAEAAAAIQgYAAgAAAAwxMTEwOC42NTQ3MjQBBAAAAAUAAAABNQEAAAAKMTc5NTUzODU5OQIAAAAFMjQxNTMGAAAAATCJPB+OeobeCN0LUY56ht4IHUNJUS45OTIuSVFfVE9UQUxfREVCVC5JUV9GWS01AQAAAAhCBgACAAAACDUyOTguMzgxAQgAAAAFAAAAATEBAAAACy0yMTQ2NjE2MzI1AwAAAAMxNjACAAAABDQxNzMEAAAAATAHAAAACTMvMjAvMjAyNggAAAAJMy8zMS8yMDIwCQAAAAEwiTwfjnqG3gjCvVCOeobeCB9DSVEuOTkyLklRX1RPVEFMX0VRVUlUWS5JUV9GWS0wAQAAAAhCBgACAAAACDY2NTkuOTE3AQgAAAAFAAAAATEBAAAACy0xOTM3NjY0ODgwAwAAAAMxNjACAAAABDEyNzUEAAAAATAHAAAACTMvMjAvMjAyNggAAAAJMy8zMS8yMDI1CQAAAAEwiTwfjnqG3gi68E+OeobeCBtDSVEuOTkyLklRX0VCVF9FWENMLklRX0ZRLTMBAAAACEIGAAIAAAAHMTgxLjI5NAEIAAAABQAAAAExAQAAAAstMTkzNzY2NDQ5MwMAAAADMTYwAgAAAAE0BAAAAAEwBwAAAAkzLzIwLzIwMjYIAAAACTMvMzEvMjAyNQkAAAABMIk8H456ht4IKFpRjnqG3ggXQ0lRLjk5Mi5JUV9FQklULklRX0ZRLTMB</t>
  </si>
  <si>
    <t>AAAACEIGAAIAAAAGMTc0LjEzAQgAAAAFAAAAATEBAAAACy0xOTM3NjY0NDkzAwAAAAMxNjACAAAAAzQwMAQAAAABMAcAAAAJMy8yMC8yMDI2CAAAAAkzLzMxLzIwMjUJAAAAATCJPB+OeobeCChaUY56ht4IGkNJUS45OTIuSVFfSU5DX1RBWC5JUV9GWS0yAQAAAAhCBgACAAAABzQ1NS4xNTYBCAAAAAUAAAABMQEAAAALLTE5ODkyODc1MTIDAAAAAzE2MAIAAAACNzUEAAAAATAHAAAACTMvMjAvMjAyNggAAAAJMy8zMS8yMDIzCQAAAAEwiTwfjnqG3gjdC1GOeobeCCtDSVEuOTkyLklRX09QRVJBVElOR19MRUFTRV9QQVlNRU5UUy5JUV9GWS04AQAAAAhCBgADAAAAAACJPB+OeobeCD9IUI56ht4IGENJUS45OTIuSVFfQ0FQRVguSVFfRlktMwEAAAAIQgYAAgAAAAgtOTk4LjMwNAEIAAAABQAAAAExAQAAAAstMjAzOTQ2MDcwMgMAAAADMTYwAgAAAAQyMDIxBAAAAAEwBwAAAAkzLzIwLzIwMjYIAAAACTMvMzEvMjAyMgkAAAABMIk8H456ht4IuvBPjnqG3ggYQ0lRLjk5Mi5JUV9EQV9DRi5JUV9GWS05AQAAAAhCBgACAAAABzYzNS45MDYBCAAAAAUAAAABMQEAAAAKMTg0NjE0Nzk4MwMAAAADMTYwAgAAAAQyMTYwBAAAAAEwBwAAAAkzLzIwLzIwMjYIAAAACTMvMzEvMjAxNgkAAAABMMoVH456ht4I0yRQjnqG3ggXQ0lRLjk5Mi5JUV9FQklULklRX0ZZLTUBAAAACEIGAAIAAAAIMTQwMC4zODEBCAAAAAUAAAAB</t>
  </si>
  <si>
    <t>MQEAAAALLTIxNDY2MTYzMjUDAAAAAzE2MAIAAAADNDAwBAAAAAEwBwAAAAkzLzIwLzIwMjYIAAAACTMvMzEvMjAyMAkAAAABMMoVH456ht4I3QtRjnqG3ggcQ0lRLjk5Mi5JUV9UT1RBTF9SRVYuSVFfRlktMAEAAAAIQgYAAgAAAAk2OTA3Ni45NjgBCAAAAAUAAAABMQEAAAALLTE5Mzc2NjQ4ODADAAAAAzE2MAIAAAACMjgEAAAAATAHAAAACTMvMjAvMjAyNggAAAAJMy8zMS8yMDI1CQAAAAEwyhUfjnqG3gjS5FCOeobeCDBDSVEuOTkyLklRX1RPVEFMX09VVFNUQU5ESU5HX0ZJTElOR19EQVRFLklRX0ZZLTkBAAAACEIGAAIAAAAMMTExMDguNjU0NzI0AQQAAAAFAAAAATUBAAAACjE4NDYxNDc5ODMCAAAABTI0MTUzBgAAAAEwiTwfjnqG3gjS5FCOeobeCB1DSVEuOTkyLklRX1RPVEFMX0RFQlQuSVFfRlktNAEAAAAIQgYAAgAAAAg0NDY0Ljc3OQEIAAAABQAAAAExAQAAAAstMjA5MTU3MDcwNgMAAAADMTYwAgAAAAQ0MTczBAAAAAEwBwAAAAkzLzIwLzIwMjYIAAAACTMvMzEvMjAyMQkAAAABMIk8H456ht4IvdJRjnqG3ggeQ0lRLjk5Mi5JUV9DQVNIX0VRVUlWLklRX0ZZLTEwAQAAAAhCBgACAAAACDI4NTUuMjIzAQgAAAAFAAAAATEBAAAACjE3OTU1Mzg1OTkDAAAAAzE2MAIAAAAEMTA5NgQAAAABMAcAAAAJMy8yMC8yMDI2CAAAAAkzLzMxLzIwMTUJAAAAATCJPB+OeobeCD9IUI56ht4IG0NJUS45OTIu</t>
  </si>
  <si>
    <t>SVFfRUJUX0VYQ0wuSVFfRlEtMgEAAAAIQgYAAgAAAAM2MjIBCAAAAAUAAAABMQEAAAALLTE5MzEyNjYyNDUDAAAAAzE2MAIAAAABNAQAAAABMAcAAAAJMy8yMC8yMDI2CAAAAAk2LzMwLzIwMjUJAAAAATCJPB+OeobeCC2BUY56ht4IGENJUS45OTIuSVFfREFfQ0YuSVFfRlEtMgEAAAAIQgYAAwAAAAAAiTwfjnqG3ggMM1GOeobeCBdDSVEuOTkyLklRX0VCSVQuSVFfRlEtMgEAAAAIQgYAAgAAAAM3ODUBCAAAAAUAAAABMQEAAAALLTE5MzEyNjYyNDUDAAAAAzE2MAIAAAADNDAwBAAAAAEwBwAAAAkzLzIwLzIwMjYIAAAACTYvMzAvMjAyNQkAAAABMIk8H456ht4I0uRQjnqG3ggaQ0lRLjk5Mi5JUV9JTkNfVEFYLklRX0ZZLTEBAAAACEIGAAIAAAAHMjYzLjE0MgEIAAAABQAAAAExAQAAAAstMTkzNzY2NDg4OAMAAAADMTYwAgAAAAI3NQQAAAABMAcAAAAJMy8yMC8yMDI2CAAAAAkzLzMxLzIwMjQJAAAAATCJPB+OeobeCNLkUI56ht4IK0NJUS45OTIuSVFfT1BFUkFUSU5HX0xFQVNFX1BBWU1FTlRTLklRX0ZZLTcBAAAACEIGAAMAAAAAAIk8H456ht4IfvZRjnqG3ggYQ0lRLjk5Mi5JUV9DQVBFWC5JUV9GWS0yAQAAAAhCBgACAAAACS0xMTE3LjA2MgEIAAAABQAAAAExAQAAAAstMTk4OTI4NzUxMgMAAAADMTYwAgAAAAQyMDIxBAAAAAEwBwAAAAkzLzIwLzIwMjYIAAAACTMvMzEvMjAyMwkAAAABMIk8H456</t>
  </si>
  <si>
    <t>ht4IP0hQjnqG3ggYQ0lRLjk5Mi5JUV9EQV9DRi5JUV9GWS04AQAAAAhCBgACAAAABzU5OS44MzYBCAAAAAUAAAABMQEAAAAKMTg5MjI0NTc1MgMAAAADMTYwAgAAAAQyMTYwBAAAAAEwBwAAAAkzLzIwLzIwMjYIAAAACTMvMzEvMjAxNwkAAAABMMoVH456ht4I0yRQjnqG3ggfQ0lRLjk5Mi5JUV9JTlRFUkVTVF9FWFAuSVFfRlktMwEAAAAIQgYAAgAAAAgtMjU4LjU1MwEIAAAABQAAAAExAQAAAAstMjAzOTQ2MDcwMgMAAAADMTYwAgAAAAI4MgQAAAABMAcAAAAJMy8yMC8yMDI2CAAAAAkzLzMxLzIwMjIJAAAAATDKFR+OeobeCK3JT456ht4IGUNJUS45OTIuSVFfRUJJVERBLklRX0ZZLTkBAAAACEIGAAIAAAAIMTIwMi42NjUBCAAAAAUAAAABMQEAAAAKMTg0NjE0Nzk4MwMAAAADMTYwAgAAAAQ0MDUxBAAAAAEwBwAAAAkzLzIwLzIwMjYIAAAACTMvMzEvMjAxNgkAAAABMMoVH456ht4IKFpRjnqG3ggXQ0lRLjk5Mi5JUV9FQklULklRX0ZZLTQBAAAACEIGAAIAAAAIMjQ0MS43NjEBCAAAAAUAAAABMQEAAAALLTIwOTE1NzA3MDYDAAAAAzE2MAIAAAADNDAwBAAAAAEwBwAAAAkzLzIwLzIwMjYIAAAACTMvMzEvMjAyMQkAAAABMMoVH456ht4I0uRQjnqG3ggaQ0lRLjk5Mi5JUV9JTkNfVEFYLklRX0ZZLTABAAAACEIGAAIAAAAGMTguOTE4AQgAAAAFAAAAATEBAAAACy0xOTM3NjY0ODgwAwAAAAMxNjACAAAA</t>
  </si>
  <si>
    <t>Ajc1BAAAAAEwBwAAAAkzLzIwLzIwMjYIAAAACTMvMzEvMjAyNQkAAAABMIk8H456ht4Iwr1QjnqG3ggYQ0lRLjk5Mi5JUV9DQVBFWC5JUV9GWS0xAQAAAAhCBgACAAAACC03MjkuNzc3AQgAAAAFAAAAATEBAAAACy0xOTM3NjY0ODg4AwAAAAMxNjACAAAABDIwMjEEAAAAATAHAAAACTMvMjAvMjAyNggAAAAJMy8zMS8yMDI0CQAAAAEwiTwfjnqG3gi68E+OeobeCBhDSVEuOTkyLklRX0RBX0NGLklRX0ZZLTcBAAAACEIGAAIAAAAHNjQzLjM3MwEIAAAABQAAAAExAQAAAAoxOTY3NDQ3OTI0AwAAAAMxNjACAAAABDIxNjAEAAAAATAHAAAACTMvMjAvMjAyNggAAAAJMy8zMS8yMDE4CQAAAAEwyhUfjnqG3gjS5FCOeobeCBlDSVEuOTkyLklRX0VCSVREQS5JUV9GWS04AQAAAAhCBgACAAAACDExODEuNTc3AQgAAAAFAAAAATEBAAAACjE4OTIyNDU3NTIDAAAAAzE2MAIAAAAENDA1MQQAAAABMAcAAAAJMy8yMC8yMDI2CAAAAAkzLzMxLzIwMTcJAAAAATDKFR+OeobeCElvUI56ht4IHUNJUS45OTIuSVFfVE9UQUxfREVCVC5JUV9GWS0yAQAAAAhCBgACAAAABzQzNTkuMzUBCAAAAAUAAAABMQEAAAALLTE5ODkyODc1MTIDAAAAAzE2MAIAAAAENDE3MwQAAAABMAcAAAAJMy8yMC8yMDI2CAAAAAkzLzMxLzIwMjMJAAAAATCJPB+OeobeCC2BUY56ht4IG0NJUS45OTIuSVFfRUJUX0VYQ0wuSVFfRlEtMAEAAAAIQgYA</t>
  </si>
  <si>
    <t>AgAAAAc4MTguMTg1AQgAAAAFAAAAATEBAAAACy0xOTA3MTYwMjc0AwAAAAMxNjACAAAAATQEAAAAATAHAAAACTMvMjAvMjAyNggAAAAKMTIvMzEvMjAyNQkAAAABMIk8H456ht4ILYFRjnqG3ggrQ0lRLjk5Mi5JUV9PUEVSQVRJTkdfTEVBU0VfUEFZTUVOVFMuSVFfRlktNgEAAAAIQgYAAwAAAAAAiTwfjnqG3gi90lGOeobeCB9DSVEuOTkyLklRX0lOVEVSRVNUX0VYUC5JUV9GWS0yAQAAAAhCBgACAAAACC0zMTYuMTEyAQgAAAAFAAAAATEBAAAACy0xOTg5Mjg3NTEyAwAAAAMxNjACAAAAAjgyBAAAAAEwBwAAAAkzLzIwLzIwMjYIAAAACTMvMzEvMjAyMwkAAAABMMoVH456ht4IDDNRjnqG3ggXQ0lRLjk5Mi5JUV9FQklULklRX0ZZLTMBAAAACEIGAAIAAAAIMjk3MS4zMTUBCAAAAAUAAAABMQEAAAALLTIwMzk0NjA3MDIDAAAAAzE2MAIAAAADNDAwBAAAAAEwBwAAAAkzLzIwLzIwMjYIAAAACTMvMzEvMjAyMgkAAAABMMoVH456ht4Iwr1QjnqG3ggwQ0lRLjk5Mi5JUV9UT1RBTF9PVVRTVEFORElOR19GSUxJTkdfREFURS5JUV9GWS03AQAAAAhCBgACAAAADDEyMDE0Ljc5MTYxNAEEAAAABQAAAAE1AQAAAAoxOTY3NDQ3OTI0AgAAAAUyNDE1MwYAAAABMIk8H456ht4ITZZQjnqG3ggdQ0lRLjk5Mi5JUV9DQVNIX0VRVUlWLklRX0ZZLTgBAAAACEIGAAIAAAAIMjc1NC41OTkBCAAAAAUAAAABMQEAAAAKMTg5</t>
  </si>
  <si>
    <t>MjI0NTc1MgMAAAADMTYwAgAAAAQxMDk2BAAAAAEwBwAAAAkzLzIwLzIwMjYIAAAACTMvMzEvMjAxNwkAAAABMIk8H456ht4IKFpRjnqG3ggYQ0lRLjk5Mi5JUV9EQV9DRi5JUV9GUS0wAQAAAAhCBgACAAAABzMyOC4yMzMBCAAAAAUAAAABMQEAAAALLTE5MDcxNjAyNzQDAAAAAzE2MAIAAAAEMjE2MAQAAAABMAcAAAAJMy8yMC8yMDI2CAAAAAoxMi8zMS8yMDI1CQAAAAEwiTwfjnqG3gjdC1GOeobeCBdDSVEuOTkyLklRX0VCSVQuSVFfRlEtMAEAAAAIQgYAAgAAAAc5NDguNDU4AQgAAAAFAAAAATEBAAAACy0xOTA3MTYwMjc0AwAAAAMxNjACAAAAAzQwMAQAAAABMAcAAAAJMy8yMC8yMDI2CAAAAAoxMi8zMS8yMDI1CQAAAAEwiTwfjnqG3ggeqFGOeobeCBxDSVEuOTkyLklRX0VCVF9FWENMLklRX0ZZLTEwAQAAAAhCBgACAAAABzk2OS45NDQBCAAAAAUAAAABMQEAAAAKMTc5NTUzODU5OQMAAAADMTYwAgAAAAE0BAAAAAEwBwAAAAkzLzIwLzIwMjYIAAAACTMvMzEvMjAxNQkAAAABMIk8H456ht4ITZZQjnqG3ggwQ0lRLjk5Mi5JUV9UT1RBTF9PVVRTVEFORElOR19GSUxJTkdfREFURS5JUV9GWS04AQAAAAhCBgACAAAADDExMTA4LjY1NDcyNAEEAAAABQAAAAE1AQAAAAoxODkyMjQ1NzUyAgAAAAUyNDE1MwYAAAABMIk8H456ht4Iwr1QjnqG3ggdQ0lRLjk5Mi5JUV9UT1RBTF9ERUJULklRX0ZZLTMBAAAA</t>
  </si>
  <si>
    <t>CEIGAAIAAAAIMzgyOS4yNjcBCAAAAAUAAAABMQEAAAALLTIwMzk0NjA3MDIDAAAAAzE2MAIAAAAENDE3MwQAAAABMAcAAAAJMy8yMC8yMDI2CAAAAAkzLzMxLzIwMjIJAAAAATCJPB+OeobeCB6oUY56ht4IHUNJUS45OTIuSVFfQ0FTSF9FUVVJVi5JUV9GWS05AQAAAAhCBgACAAAABzE5MjYuODgBCAAAAAUAAAABMQEAAAAKMTg0NjE0Nzk4MwMAAAADMTYwAgAAAAQxMDk2BAAAAAEwBwAAAAkzLzIwLzIwMjYIAAAACTMvMzEvMjAxNgkAAAABMIk8H456ht4IuvBPjnqG3ggbQ0lRLjk5Mi5JUV9FQlRfRVhDTC5JUV9GUS0xAQAAAAhCBgACAAAABzQ5NC4yODUBCAAAAAUAAAABMQEAAAALLTE5MTI2ODg0NzQDAAAAAzE2MAIAAAABNAQAAAABMAcAAAAJMy8yMC8yMDI2CAAAAAk5LzMwLzIwMjUJAAAAATCJPB+OeobeCChaUY56ht4IGENJUS45OTIuSVFfREFfQ0YuSVFfRlEtMQEAAAAIQgYAAwAAAAAAiTwfjnqG3ggMM1GOeobeCBdDSVEuOTkyLklRX0VCSVQuSVFfRlEtMQEAAAAIQgYAAgAAAAc2NDIuOTIxAQgAAAAFAAAAATEBAAAACy0xOTEyNjg4NDc0AwAAAAMxNjACAAAAAzQwMAQAAAABMAcAAAAJMy8yMC8yMDI2CAAAAAk5LzMwLzIwMjUJAAAAATCJPB+OeobeCElvUI56ht4IH0NJUS45OTIuSVFfSU5URVJFU1RfRVhQLklRX0ZZLTEBAAAACEIGAAIAAAAILTI3NS4yMDMBCAAAAAUAAAABMQEAAAALLTE5</t>
  </si>
  <si>
    <t>Mzc2NjQ4ODgDAAAAAzE2MAIAAAACODIEAAAAATAHAAAACTMvMjAvMjAyNggAAAAJMy8zMS8yMDI0CQAAAAEwyhUfjnqG3gjdC1GOeobeCDBDSVEuOTkyLklRX1RPVEFMX09VVFNUQU5ESU5HX0ZJTElOR19EQVRFLklRX0ZZLTYBAAAACEIGAAIAAAAMMTIwMTQuNzkxNjE0AQQAAAAFAAAAATUBAAAACjIwNDAxNTU4MzMCAAAABTI0MTUzBgAAAAEwiTwfjnqG3gityU+OeobeCB1DSVEuOTkyLklRX1RPVEFMX0RFQlQuSVFfRlktMQEAAAAIQgYAAgAAAAgzOTYxLjY4OQEIAAAABQAAAAExAQAAAAstMTkzNzY2NDg4OAMAAAADMTYwAgAAAAQ0MTczBAAAAAEwBwAAAAkzLzIwLzIwMjYIAAAACTMvMzEvMjAyNAkAAAABMIk8H456ht4ILYFRjnqG3ggdQ0lRLjk5Mi5JUV9DQVNIX0VRVUlWLklRX0ZZLTcBAAAACEIGAAIAAAAIMTg0OC4wMTcBCAAAAAUAAAABMQEAAAAKMTk2NzQ0NzkyNAMAAAADMTYwAgAAAAQxMDk2BAAAAAEwBwAAAAkzLzIwLzIwMjYIAAAACTMvMzEvMjAxOAkAAAABMIk8H456ht4IuvBPjnqG3ggfQ0lRLjk5Mi5JUV9JTlRFUkVTVF9FWFAuSVFfRlEtMwEAAAAIQgYAAgAAAActODIuODA3AQgAAAAFAAAAATEBAAAACy0xOTM3NjY0NDkzAwAAAAMxNjACAAAAAjgyBAAAAAEwBwAAAAkzLzIwLzIwMjYIAAAACTMvMzEvMjAyNQkAAAABMIk8H456ht4I3QtRjnqG3ggcQ0lRLjk5Mi5JUV9UT1RBTF9S</t>
  </si>
  <si>
    <t>RVYuSVFfRlEtMwEAAAAIQgYAAgAAAAkxNjk4My41MzgBCAAAAAUAAAABMQEAAAALLTE5Mzc2NjQ0OTMDAAAAAzE2MAIAAAACMjgEAAAAATAHAAAACTMvMjAvMjAyNggAAAAJMy8zMS8yMDI1CQAAAAEwiTwfjnqG3gh+9lGOeobeCCtDSVEuOTkyLklRX09QRVJBVElOR19MRUFTRV9QQVlNRU5UUy5JUV9GWS00AQAAAAhCBgACAAAABy0xNjUuMTUBCAAAAAUAAAABMQEAAAALLTIwOTE1NzA3MDYDAAAAAzE2MAIAAAAFNDgzNTkEAAAAATAHAAAACTMvMjAvMjAyNggAAAAJMy8zMS8yMDIxCQAAAAEwiTwfjnqG3ggtgVGOeobeCBpDSVEuOTkyLklRX1JEX0VYUC5JUV9GWS0xMAEAAAAIQgYAAgAAAAgxMjIwLjkxOQEIAAAABQAAAAExAQAAAAoxNzk1NTM4NTk5AwAAAAMxNjACAAAAAzEwMAQAAAABMAcAAAAJMy8yMC8yMDI2CAAAAAkzLzMxLzIwMTUJAAAAATCJPB+OeobeCAwzUY56ht4IGENJUS45OTIuSVFfREFfQ0YuSVFfRlktNQEAAAAIQgYAAgAAAAc4MTcuNzk4AQgAAAAFAAAAATEBAAAACy0yMTQ2NjE2MzI1AwAAAAMxNjACAAAABDIxNjAEAAAAATAHAAAACTMvMjAvMjAyNggAAAAJMy8zMS8yMDIwCQAAAAEwyhUfjnqG3ghJb1COeobeCB9DSVEuOTkyLklRX0lOVEVSRVNUX0VYUC5JUV9GWS0wAQAAAAhCBgACAAAACC0yOTMuNTk1AQgAAAAFAAAAATEBAAAACy0xOTM3NjY0ODgwAwAAAAMxNjACAAAAAjgy</t>
  </si>
  <si>
    <t>BAAAAAEwBwAAAAkzLzIwLzIwMjYIAAAACTMvMzEvMjAyNQkAAAABMMoVH456ht4I3QtRjnqG3ggZQ0lRLjk5Mi5JUV9FQklUREEuSVFfRlktNgEAAAAIQgYAAgAAAAgxNzE2LjQwMgEIAAAABQAAAAExAQAAAAoyMDQwMTU1ODMzAwAAAAMxNjACAAAABDQwNTEEAAAAATAHAAAACTMvMjAvMjAyNggAAAAJMy8zMS8yMDE5CQAAAAEwyhUfjnqG3ggeqFGOeobeCBdDSVEuOTkyLklRX0VCSVQuSVFfRlktMQEAAAAIQgYAAgAAAAgxOTkwLjgyMgEIAAAABQAAAAExAQAAAAstMTkzNzY2NDg4OAMAAAADMTYwAgAAAAM0MDAEAAAAATAHAAAACTMvMjAvMjAyNggAAAAJMy8zMS8yMDI0CQAAAAEwyhUfjnqG3gi68E+OeobeCDBDSVEuOTkyLklRX1RPVEFMX09VVFNUQU5ESU5HX0ZJTElOR19EQVRFLklRX0ZZLTUBAAAACEIGAAIAAAAMMTIwMTQuNzkxNjE0AQQAAAAFAAAAATUBAAAACy0yMTQ2NjE2MzI1AgAAAAUyNDE1MwYAAAABMIk8H456ht4IDDNRjnqG3ggdQ0lRLjk5Mi5JUV9DQVNIX0VRVUlWLklRX0ZZLTYBAAAACEIGAAIAAAAIMjY2Mi44NTQBCAAAAAUAAAABMQEAAAAKMjA0MDE1NTgzMwMAAAADMTYwAgAAAAQxMDk2BAAAAAEwBwAAAAkzLzIwLzIwMjYIAAAACTMvMzEvMjAxOQkAAAABMIk8H456ht4IDDNRjnqG3ggfQ0lRLjk5Mi5JUV9JTlRFUkVTVF9FWFAuSVFfRlEtMgEAAAAIQgYAAwAAAAAAiTwfjnqG</t>
  </si>
  <si>
    <t>3gjS5FCOeobeCBxDSVEuOTkyLklRX1RPVEFMX1JFVi5JUV9GUS0yAQAAAAhCBgACAAAABTE4ODMwAQgAAAAFAAAAATEBAAAACy0xOTMxMjY2MjQ1AwAAAAMxNjACAAAAAjI4BAAAAAEwBwAAAAkzLzIwLzIwMjYIAAAACTYvMzAvMjAyNQkAAAABMIk8H456ht4IvdJRjnqG3ggrQ0lRLjk5Mi5JUV9PUEVSQVRJTkdfTEVBU0VfUEFZTUVOVFMuSVFfRlktMwEAAAAIQgYAAgAAAAgtMTQ2LjQ4NQEIAAAABQAAAAExAQAAAAstMjAzOTQ2MDcwMgMAAAADMTYwAgAAAAU0ODM1OQQAAAABMAcAAAAJMy8yMC8yMDI2CAAAAAkzLzMxLzIwMjIJAAAAATCJPB+OeobeCElvUI56ht4IGUNJUS45OTIuSVFfUkRfRVhQLklRX0ZZLTkBAAAACEIGAAIAAAAHMTQ5MS4zNwEIAAAABQAAAAExAQAAAAoxODQ2MTQ3OTgzAwAAAAMxNjACAAAAAzEwMAQAAAABMAcAAAAJMy8yMC8yMDI2CAAAAAkzLzMxLzIwMTYJAAAAATCJPB+OeobeCMK9UI56ht4IFkNJUS45OTIuSVFfTkkuSVFfRlktMTABAAAACEIGAAIAAAAHODI4LjcxNQEIAAAABQAAAAExAQAAAAoxNzk1NTM4NTk5AwAAAAMxNjACAAAAAjE1BAAAAAEwBwAAAAkzLzIwLzIwMjYIAAAACTMvMzEvMjAxNQkAAAABMMoVH456ht4I0uRQjnqG3ggVQ0lRLjk5Mi5JUV9OSS5JUV9GWS04AQAAAAhCBgACAAAABzUzNi45NTYBCAAAAAUAAAABMQEAAAAKMTg5MjI0NTc1MgMAAAADMTYw</t>
  </si>
  <si>
    <t>AgAAAAIxNQQAAAABMAcAAAAJMy8yMC8yMDI2CAAAAAkzLzMxLzIwMTcJAAAAATDKFR+OeobeCElvUI56ht4IGENJUS45OTIuSVFfREFfQ0YuSVFfRlktMwEAAAAIQgYAAgAAAAgxMDQ2LjMyNAEIAAAABQAAAAExAQAAAAstMjAzOTQ2MDcwMgMAAAADMTYwAgAAAAQyMTYwBAAAAAEwBwAAAAkzLzIwLzIwMjYIAAAACTMvMzEvMjAyMgkAAAABMMoVH456ht4IfvZRjnqG3ggwQ0lRLjk5Mi5JUV9UT1RBTF9PVVRTVEFORElOR19GSUxJTkdfREFURS5JUV9GWS00AQAAAAhCBgACAAAADDEyMDQxLjcwNTYxNAEEAAAABQAAAAE1AQAAAAstMjA5MTU3MDcwNgIAAAAFMjQxNTMGAAAAATCJPB+OeobeCAwzUY56ht4IIENJUS45OTIuSVFfVE9UQUxfRVFVSVRZLklRX0ZZLTEwAQAAAAhCBgACAAAACDQxMDYuMTIxAQgAAAAFAAAAATEBAAAACjE3OTU1Mzg1OTkDAAAAAzE2MAIAAAAEMTI3NQQAAAABMAcAAAAJMy8yMC8yMDI2CAAAAAkzLzMxLzIwMTUJAAAAATCJPB+OeobeCB6oUY56ht4IHUNJUS45OTIuSVFfQ0FTSF9FUVVJVi5JUV9GWS01AQAAAAhCBgACAAAABzM1NTAuOTkBCAAAAAUAAAABMQEAAAALLTIxNDY2MTYzMjUDAAAAAzE2MAIAAAAEMTA5NgQAAAABMAcAAAAJMy8yMC8yMDI2CAAAAAkzLzMxLzIwMjAJAAAAATCJPB+OeobeCLrwT456ht4IK0NJUS45OTIuSVFfT1BFUkFUSU5HX0xFQVNFX1BBWU1FTlRT</t>
  </si>
  <si>
    <t>LklRX0ZRLTEBAAAACEIGAAMAAAAAAIk8H456ht4IvdJRjnqG3ggfQ0lRLjk5Mi5JUV9JTlRFUkVTVF9FWFAuSVFfRlEtMQEAAAAIQgYAAgAAAActNzQuNjMyAQgAAAAFAAAAATEBAAAACy0xOTEyNjg4NDc0AwAAAAMxNjACAAAAAjgyBAAAAAEwBwAAAAkzLzIwLzIwMjYIAAAACTkvMzAvMjAyNQkAAAABMIk8H456ht4Iwr1QjnqG3ggcQ0lRLjk5Mi5JUV9UT1RBTF9SRVYuSVFfRlEtMQEAAAAIQgYAAgAAAAkyMDQ1Mi4wMjIBCAAAAAUAAAABMQEAAAALLTE5MTI2ODg0NzQDAAAAAzE2MAIAAAACMjgEAAAAATAHAAAACTMvMjAvMjAyNggAAAAJOS8zMC8yMDI1CQAAAAEwiTwfjnqG3gh+9lGOeobeCCtDSVEuOTkyLklRX09QRVJBVElOR19MRUFTRV9QQVlNRU5UUy5JUV9GWS0yAQAAAAhCBgACAAAACC0xNjguNjM4AQgAAAAFAAAAATEBAAAACy0xOTg5Mjg3NTEyAwAAAAMxNjACAAAABTQ4MzU5BAAAAAEwBwAAAAkzLzIwLzIwMjYIAAAACTMvMzEvMjAyMwkAAAABMIk8H456ht4IKFpRjnqG3ggZQ0lRLjk5Mi5JUV9SRF9FWFAuSVFfRlktOAEAAAAIQgYAAgAAAAgxMzYxLjY5MQEIAAAABQAAAAExAQAAAAoxODkyMjQ1NzUyAwAAAAMxNjACAAAAAzEwMAQAAAABMAcAAAAJMy8yMC8yMDI2CAAAAAkzLzMxLzIwMTcJAAAAATCJPB+OeobeCAwzUY56ht4IFUNJUS45OTIuSVFfTkkuSVFfRlktOQEAAAAIQgYAAgAA</t>
  </si>
  <si>
    <t>AAgtMTI4LjE0NgEIAAAABQAAAAExAQAAAAoxODQ2MTQ3OTgzAwAAAAMxNjACAAAAAjE1BAAAAAEwBwAAAAkzLzIwLzIwMjYIAAAACTMvMzEvMjAxNgkAAAABMMoVH456ht4Iwr1QjnqG3ggZQ0lRLjk5Mi5JUV9FQklUREEuSVFfRlktNAEAAAAIQgYAAgAAAAgzMjExLjE5OAEIAAAABQAAAAExAQAAAAstMjA5MTU3MDcwNgMAAAADMTYwAgAAAAQ0MDUxBAAAAAEwBwAAAAkzLzIwLzIwMjYIAAAACTMvMzEvMjAyMQkAAAABMMoVH456ht4IHqhRjnqG3ggdQ0lRLjk5Mi5JUV9UT1RBTF9SRVYuSVFfRlktMTABAAAACEIGAAIAAAAJNDYyOTUuNTkzAQgAAAAFAAAAATEBAAAACjE3OTU1Mzg1OTkDAAAAAzE2MAIAAAACMjgEAAAAATAHAAAACTMvMjAvMjAyNggAAAAJMy8zMS8yMDE1CQAAAAEwyhUfjnqG3ghNllCOeobeCDBDSVEuOTkyLklRX1RPVEFMX09VVFNUQU5ESU5HX0ZJTElOR19EQVRFLklRX0ZZLTMBAAAACEIGAAIAAAAMMTIwNDEuNzA1NjE0AQQAAAAFAAAAATUBAAAACy0yMDM5NDYwNzAyAgAAAAUyNDE1MwYAAAABMIk8H456ht4IuvBPjnqG3ggdQ0lRLjk5Mi5JUV9DQVNIX0VRVUlWLklRX0ZZLTQBAAAACEIGAAIAAAAIMzA2OC4zODUBCAAAAAUAAAABMQEAAAALLTIwOTE1NzA3MDYDAAAAAzE2MAIAAAAEMTA5NgQAAAABMAcAAAAJMy8yMC8yMDI2CAAAAAkzLzMxLzIwMjEJAAAAATCJPB+OeobeCN0L</t>
  </si>
  <si>
    <t>UY56ht4IK0NJUS45OTIuSVFfT1BFUkFUSU5HX0xFQVNFX1BBWU1FTlRTLklRX0ZRLTABAAAACEIGAAIAAAAGLTI2LjUzAQgAAAAFAAAAATEBAAAACy0xOTA3MTYwMjc0AwAAAAMxNjACAAAABTQ4MzU5BAAAAAEwBwAAAAkzLzIwLzIwMjYIAAAACjEyLzMxLzIwMjUJAAAAATCJPB+OeobeCB6oUY56ht4IH0NJUS45OTIuSVFfSU5URVJFU1RfRVhQLklRX0ZRLTABAAAACEIGAAIAAAAHLTgwLjg2MQEIAAAABQAAAAExAQAAAAstMTkwNzE2MDI3NAMAAAADMTYwAgAAAAI4MgQAAAABMAcAAAAJMy8yMC8yMDI2CAAAAAoxMi8zMS8yMDI1CQAAAAEwiTwfjnqG3ghtok+OeobeCBxDSVEuOTkyLklRX1RPVEFMX1JFVi5JUV9GWS04AQAAAAhCBgACAAAACTQzMDM0LjczMQEIAAAABQAAAAExAQAAAAoxODkyMjQ1NzUyAwAAAAMxNjACAAAAAjI4BAAAAAEwBwAAAAkzLzIwLzIwMjYIAAAACTMvMzEvMjAxNwkAAAABMMoVH456ht4IbaJPjnqG3ggwQ0lRLjk5Mi5JUV9UT1RBTF9PVVRTVEFORElOR19GSUxJTkdfREFURS5JUV9GWS0xAQAAAAhCBgACAAAADDEyNDA0LjY1OTMwMgEEAAAABQAAAAE1AQAAAAstMTkzNzY2NDg4OAIAAAAFMjQxNTMGAAAAATCJPB+OeobeCAwzUY56ht4IFUNJUS45OTIuSVFfTkkuSVFfRlktNgEAAAAIQgYAAgAAAAc2NTAuMTAzAQgAAAAFAAAAATEBAAAACjIwNDAxNTU4MzMDAAAAAzE2MAIA</t>
  </si>
  <si>
    <t>AAACMTUEAAAAATAHAAAACTMvMjAvMjAyNggAAAAJMy8zMS8yMDE5CQAAAAEwyhUfjnqG3gjCvVCOeobeCB1DSVEuOTkyLklRX0NBU0hfRVFVSVYuSVFfRlktMQEAAAAIQgYAAgAAAAgzNTU5LjgzMQEIAAAABQAAAAExAQAAAAstMTkzNzY2NDg4OAMAAAADMTYwAgAAAAQxMDk2BAAAAAEwBwAAAAkzLzIwLzIwMjYIAAAACTMvMzEvMjAyNAkAAAABMIk8H456ht4IKFpRjnqG3ggZQ0lRLjk5Mi5JUV9FQklUREEuSVFfRlktMAEAAAAIQgYAAgAAAAgzMDU5Ljc0MwEIAAAABQAAAAExAQAAAAstMTkzNzY2NDg4MAMAAAADMTYwAgAAAAQ0MDUxBAAAAAEwBwAAAAkzLzIwLzIwMjYIAAAACTMvMzEvMjAyNQkAAAABMMoVH456ht4IuvBPjnqG3ggbQ0lRLjk5Mi5JUV9FQlRfRVhDTC5JUV9GWS0yAQAAAAhCBgACAAAACDIxMzYuMDIzAQgAAAAFAAAAATEBAAAACy0xOTg5Mjg3NTEyAwAAAAMxNjACAAAAATQEAAAAATAHAAAACTMvMjAvMjAyNggAAAAJMy8zMS8yMDIzCQAAAAEwiTwfjnqG3ggtgVGOeobeCB9DSVEuOTkyLklRX0lOVEVSRVNUX0VYUC5JUV9GWS05AQAAAAhCBgACAAAACC0xNzguNjE4AQgAAAAFAAAAATEBAAAACjE4NDYxNDc5ODMDAAAAAzE2MAIAAAACODIEAAAAATAHAAAACTMvMjAvMjAyNggAAAAJMy8zMS8yMDE2CQAAAAEwyhUfjnqG3ghNllCOeobeCBlDSVEuOTkyLklRX0VCSVREQS5JUV9GWS01</t>
  </si>
  <si>
    <t>AQAAAAhCBgACAAAACDIxMTQuNTc5AQgAAAAFAAAAATEBAAAACy0yMTQ2NjE2MzI1AwAAAAMxNjACAAAABDQwNTEEAAAAATAHAAAACTMvMjAvMjAyNggAAAAJMy8zMS8yMDIwCQAAAAEwyhUfjnqG3ggeqFGOeobeCDBDSVEuOTkyLklRX1RPVEFMX09VVFNUQU5ESU5HX0ZJTElOR19EQVRFLklRX0ZZLTIBAAAACEIGAAIAAAAMMTIxMjguMTMwMjkxAQQAAAAFAAAAATUBAAAACy0xOTg5Mjg3NTEyAgAAAAUyNDE1MwYAAAABMIk8H456ht4IrclPjnqG3ggdQ0lRLjk5Mi5JUV9DQVNIX0VRVUlWLklRX0ZZLTMBAAAACEIGAAIAAAAIMzkzMC4yODcBCAAAAAUAAAABMQEAAAALLTIwMzk0NjA3MDIDAAAAAzE2MAIAAAAEMTA5NgQAAAABMAcAAAAJMy8yMC8yMDI2CAAAAAkzLzMxLzIwMjIJAAAAATCJPB+OeobeCN0LUY56ht4IGENJUS45OTIuSVFfQ0FQRVguSVFfRlEtMwEAAAAIQgYAAgAAAAgtMTg1LjM4MQEIAAAABQAAAAExAQAAAAstMTkzNzY2NDQ5MwMAAAADMTYwAgAAAAQyMDIxBAAAAAEwBwAAAAkzLzIwLzIwMjYIAAAACTMvMzEvMjAyNQkAAAABMIk8H456ht4IvdJRjnqG3ggVQ0lRLjk5Mi5JUV9OSS5JUV9GUS0zAQAAAAhCBgACAAAABjg5Ljg3OAEIAAAABQAAAAExAQAAAAstMTkzNzY2NDQ5MwMAAAADMTYwAgAAAAIxNQQAAAABMAcAAAAJMy8yMC8yMDI2CAAAAAkzLzMxLzIwMjUJAAAAATCJPB+Oeobe</t>
  </si>
  <si>
    <t>CAwzUY56ht4IG0NJUS45OTIuSVFfSU5DX1RBWC5JUV9GWS0xMAEAAAAIQgYAAgAAAAcxMzQuMzY0AQgAAAAFAAAAATEBAAAACjE3OTU1Mzg1OTkDAAAAAzE2MAIAAAACNzUEAAAAATAHAAAACTMvMjAvMjAyNggAAAAJMy8zMS8yMDE1CQAAAAEwiTwfjnqG3gjTJFCOeobeCBtDSVEuOTkyLklRX0VCVF9FWENMLklRX0ZZLTUBAAAACEIGAAIAAAAIMTAyOS4xNzQBCAAAAAUAAAABMQEAAAALLTIxNDY2MTYzMjUDAAAAAzE2MAIAAAABNAQAAAABMAcAAAAJMy8yMC8yMDI2CAAAAAkzLzMxLzIwMjAJAAAAATCJPB+OeobeCMK9UI56ht4IK0NJUS45OTIuSVFfT1BFUkFUSU5HX0xFQVNFX1BBWU1FTlRTLklRX0ZZLTABAAAACEIGAAIAAAAILTEyMS4wNzEBCAAAAAUAAAABMQEAAAALLTE5Mzc2NjQ4ODADAAAAAzE2MAIAAAAFNDgzNTkEAAAAATAHAAAACTMvMjAvMjAyNggAAAAJMy8zMS8yMDI1CQAAAAEwiTwfjnqG3ghtok+OeobeCBlDSVEuOTkyLklRX1JEX0VYUC5JUV9GWS02AQAAAAhCBgACAAAACDEyNjYuMzQxAQgAAAAFAAAAATEBAAAACjIwNDAxNTU4MzMDAAAAAzE2MAIAAAADMTAwBAAAAAEwBwAAAAkzLzIwLzIwMjYIAAAACTMvMzEvMjAxOQkAAAABMMoVH456ht4I3QtRjnqG3ggYQ0lRLjk5Mi5JUV9EQV9DRi5JUV9GWS0xAQAAAAhCBgACAAAACDExODUuNzA5AQgAAAAFAAAAATEBAAAACy0xOTM3NjY0</t>
  </si>
  <si>
    <t>ODg4AwAAAAMxNjACAAAABDIxNjAEAAAAATAHAAAACTMvMjAvMjAyNggAAAAJMy8zMS8yMDI0CQAAAAEwyhUfjnqG3gh+9lGOeobeCBVDSVEuOTkyLklRX05JLklRX0ZZLTcBAAAACEIGAAIAAAAILTEzNS42NDMBCAAAAAUAAAABMQEAAAAKMTk2NzQ0NzkyNAMAAAADMTYwAgAAAAIxNQQAAAABMAcAAAAJMy8yMC8yMDI2CAAAAAkzLzMxLzIwMTgJAAAAATDKFR+OeobeCG2iT456ht4IGUNJUS45OTIuSVFfRUJJVERBLklRX0ZZLTIBAAAACEIGAAIAAAAIMzQwOC42MjgBCAAAAAUAAAABMQEAAAALLTE5ODkyODc1MTIDAAAAAzE2MAIAAAAENDA1MQQAAAABMAcAAAAJMy8yMC8yMDI2CAAAAAkzLzMxLzIwMjMJAAAAATDKFR+OeobeCChaUY56ht4IFUNJUS45OTIuSVFfTkkuSVFfRlEtMgEAAAAIQgYAAgAAAAM1MDUBCAAAAAUAAAABMQEAAAALLTE5MzEyNjYyNDUDAAAAAzE2MAIAAAACMTUEAAAAATAHAAAACTMvMjAvMjAyNggAAAAJNi8zMC8yMDI1CQAAAAEwiTwfjnqG3gg/SFCOeobeCBpDSVEuOTkyLklRX0lOQ19UQVguSVFfRlktOQEAAAAIQgYAAgAAAAgtMTMyLjI3NgEIAAAABQAAAAExAQAAAAoxODQ2MTQ3OTgzAwAAAAMxNjACAAAAAjc1BAAAAAEwBwAAAAkzLzIwLzIwMjYIAAAACTMvMzEvMjAxNgkAAAABMIk8H456ht4IP0hQjnqG3ggbQ0lRLjk5Mi5JUV9FQlRfRVhDTC5JUV9GWS00AQAAAAhCBgAC</t>
  </si>
  <si>
    <t>AAAACDE2NjQuMTk0AQgAAAAFAAAAATEBAAAACy0yMDkxNTcwNzA2AwAAAAMxNjACAAAAATQEAAAAATAHAAAACTMvMjAvMjAyNggAAAAJMy8zMS8yMDIxCQAAAAEwiTwfjnqG3gg/SFCOeobeCBhDSVEuOTkyLklRX0RBX0NGLklRX0ZZLTABAAAACEIGAAIAAAAIMTE2OC44MDYBCAAAAAUAAAABMQEAAAALLTE5Mzc2NjQ4ODADAAAAAzE2MAIAAAAEMjE2MAQAAAABMAcAAAAJMy8yMC8yMDI2CAAAAAkzLzMxLzIwMjUJAAAAATDKFR+OeobeCH72UY56ht4IHENJUS45OTIuSVFfTFRfSU5WRVNULklRX0ZZLTUBAAAACEIGAAIAAAAGNjExLjI1AQgAAAAFAAAAATEBAAAACy0yMTQ2NjE2MzI1AwAAAAMxNjACAAAABDEwNTQEAAAAATAHAAAACTMvMjAvMjAyNggAAAAJMy8zMS8yMDIwCQAAAAEwiTwfjnqG3gi68E+OeobeCB9DSVEuOTkyLklRX1RPVEFMX0VRVUlUWS5JUV9GWS02AQAAAAhCBgACAAAACDQwOTcuMDYzAQgAAAAFAAAAATEBAAAACjIwNDAxNTU4MzMDAAAAAzE2MAIAAAAEMTI3NQQAAAABMAcAAAAJMy8yMC8yMDI2CAAAAAkzLzMxLzIwMTkJAAAAATCJPB+OeobeCB6oUY56ht4IFUNJUS45OTIuSVFfTkkuSVFfRlEtMQEAAAAIQgYAAgAAAAczNDAuMjc2AQgAAAAFAAAAATEBAAAACy0xOTEyNjg4NDc0AwAAAAMxNjACAAAAAjE1BAAAAAEwBwAAAAkzLzIwLzIwMjYIAAAACTkvMzAvMjAyNQkAAAABMIk8</t>
  </si>
  <si>
    <t>H456ht4Iwr1QjnqG3ggaQ0lRLjk5Mi5JUV9JTkNfVEFYLklRX0ZZLTgBAAAACEIGAAIAAAAHLTQwLjUxNAEIAAAABQAAAAExAQAAAAoxODkyMjQ1NzUyAwAAAAMxNjACAAAAAjc1BAAAAAEwBwAAAAkzLzIwLzIwMjYIAAAACTMvMzEvMjAxNwkAAAABMIk8H456ht4IuvBPjnqG3ggcQ0lRLjk5Mi5JUV9UT1RBTF9SRVYuSVFfRlktNQEAAAAIQgYAAgAAAAk1MDcxNi4zNDkBCAAAAAUAAAABMQEAAAALLTIxNDY2MTYzMjUDAAAAAzE2MAIAAAACMjgEAAAAATAHAAAACTMvMjAvMjAyNggAAAAJMy8zMS8yMDIwCQAAAAEwyhUfjnqG3ggtgVGOeobeCCtDSVEuOTkyLklRX09QRVJBVElOR19MRUFTRV9QQVlNRU5UUy5JUV9GWS0xAQAAAAhCBgACAAAACC0xMzQuNTQ1AQgAAAAFAAAAATEBAAAACy0xOTM3NjY0ODg4AwAAAAMxNjACAAAABTQ4MzU5BAAAAAEwBwAAAAkzLzIwLzIwMjYIAAAACTMvMzEvMjAyNAkAAAABMIk8H456ht4IrclPjnqG3ggYQ0lRLjk5Mi5JUV9DQVBFWC5JUV9GUS0yAQAAAAhCBgADAAAAAACJPB+OeobeCH72UY56ht4IHENJUS45OTIuSVFfVE9UQUxfUkVWLklRX0ZZLTcBAAAACEIGAAIAAAAJNDUzNDkuOTQzAQgAAAAFAAAAATEBAAAACjE5Njc0NDc5MjQDAAAAAzE2MAIAAAACMjgEAAAAATAHAAAACTMvMjAvMjAyNggAAAAJMy8zMS8yMDE4CQAAAAEwyhUfjnqG3gi68E+OeobeCDBDSVEu</t>
  </si>
  <si>
    <t>OTkyLklRX1RPVEFMX09VVFNUQU5ESU5HX0ZJTElOR19EQVRFLklRX0ZZLTABAAAACEIGAAIAAAAMMTI0MDQuNjU5MzAyAQQAAAAFAAAAATUBAAAACy0xOTM3NjY0ODgwAgAAAAUyNDE1MwYAAAABMIk8H456ht4Iwr1QjnqG3ggYQ0lRLjk5Mi5JUV9DQVBFWC5JUV9GUS0xAQAAAAhCBgADAAAAAACJPB+OeobeCL3SUY56ht4IHENJUS45OTIuSVFfVE9UQUxfUkVWLklRX0ZZLTYBAAAACEIGAAIAAAAJNTEwMzcuOTQzAQgAAAAFAAAAATEBAAAACjIwNDAxNTU4MzMDAAAAAzE2MAIAAAACMjgEAAAAATAHAAAACTMvMjAvMjAyNggAAAAJMy8zMS8yMDE5CQAAAAEwyhUfjnqG3ggMM1GOeobeCBpDSVEuOTkyLklRX0lOQ19UQVguSVFfRlktNwEAAAAIQgYAAgAAAAcyNzkuOTc3AQgAAAAFAAAAATEBAAAACjE5Njc0NDc5MjQDAAAAAzE2MAIAAAACNzUEAAAAATAHAAAACTMvMjAvMjAyNggAAAAJMy8zMS8yMDE4CQAAAAEwiTwfjnqG3gityU+OeobeCBhDSVEuOTkyLklRX0RBX0NGLklRX0ZZLTYBAAAACEIGAAIAAAAHNjY2LjQ4MgEIAAAABQAAAAExAQAAAAoyMDQwMTU1ODMzAwAAAAMxNjACAAAABDIxNjAEAAAAATAHAAAACTMvMjAvMjAyNggAAAAJMy8zMS8yMDE5CQAAAAEwyhUfjnqG3ggtgVGOeobeCBdDSVEuOTkyLklRX0VCSVQuSVFfRlktMgEAAAAIQgYAAgAAAAgyNDQ0LjI1NgEIAAAABQAAAAExAQAAAAst</t>
  </si>
  <si>
    <t>MTk4OTI4NzUxMgMAAAADMTYwAgAAAAM0MDAEAAAAATAHAAAACTMvMjAvMjAyNggAAAAJMy8zMS8yMDIzCQAAAAEwyhUfjnqG3gjCvVCOeobeCBlDSVEuOTkyLklRX0VCSVREQS5JUV9GWS0zAQAAAAhCBgACAAAACDM4ODAuNjQ2AQgAAAAFAAAAATEBAAAACy0yMDM5NDYwNzAyAwAAAAMxNjACAAAABDQwNTEEAAAAATAHAAAACTMvMjAvMjAyNggAAAAJMy8zMS8yMDIyCQAAAAEwyhUfjnqG3gi90lGOeobeCBlDSVEuOTkyLklRX0VCSVREQS5JUV9GWS0xAQAAAAhCBgACAAAACDMwMjQuNjMyAQgAAAAFAAAAATEBAAAACy0xOTM3NjY0ODg4AwAAAAMxNjACAAAABDQwNTEEAAAAATAHAAAACTMvMjAvMjAyNggAAAAJMy8zMS8yMDI0CQAAAAEwyhUfjnqG3gg/SFCOeobeCBhDSVEuOTkyLklRX0NBUEVYLklRX0ZZLTkBAAAACEIGAAIAAAAILTYwMy44MTYBCAAAAAUAAAABMQEAAAAKMTg0NjE0Nzk4MwMAAAADMTYwAgAAAAQyMDIxBAAAAAEwBwAAAAkzLzIwLzIwMjYIAAAACTMvMzEvMjAxNgkAAAABMIk8H456ht4IfvZRjnqG3ggZQ0lRLjk5Mi5JUV9SRF9FWFAuSVFfRlktNAEAAAAIQgYAAgAAAAgxNDUzLjkxMgEIAAAABQAAAAExAQAAAAstMjA5MTU3MDcwNgMAAAADMTYwAgAAAAMxMDAEAAAAATAHAAAACTMvMjAvMjAyNggAAAAJMy8zMS8yMDIxCQAAAAEwyhUfjnqG3ghJb1COeobeCCBDSVEuOTkyLklRX0lO</t>
  </si>
  <si>
    <t>VEVSRVNUX0VYUC5JUV9GWS0xMAEAAAAIQgYAAgAAAActMTE3LjI1AQgAAAAFAAAAATEBAAAACjE3OTU1Mzg1OTkDAAAAAzE2MAIAAAACODIEAAAAATAHAAAACTMvMjAvMjAyNggAAAAJMy8zMS8yMDE1CQAAAAEwyhUfjnqG3gh+9lGOeobeCBVDSVEuOTkyLklRX05JLklRX0ZZLTUBAAAACEIGAAIAAAAHNzE4Ljg1MQEIAAAABQAAAAExAQAAAAstMjE0NjYxNjMyNQMAAAADMTYwAgAAAAIxNQQAAAABMAcAAAAJMy8yMC8yMDI2CAAAAAkzLzMxLzIwMjAJAAAAATDKFR+OeobeCK3JT456ht4IGENJUS45OTIuSVFfQ0FQRVguSVFfRlEtMAEAAAAIQgYAAgAAAAgtNDA0LjgyNQEIAAAABQAAAAExAQAAAAstMTkwNzE2MDI3NAMAAAADMTYwAgAAAAQyMDIxBAAAAAEwBwAAAAkzLzIwLzIwMjYIAAAACjEyLzMxLzIwMjUJAAAAATCJPB+OeobeCE2WUI56ht4IGENJUS45OTIuSVFfRUJJVC5JUV9GWS0xMAEAAAAIQgYAAgAAAAc5OTYuODg5AQgAAAAFAAAAATEBAAAACjE3OTU1Mzg1OTkDAAAAAzE2MAIAAAADNDAwBAAAAAEwBwAAAAkzLzIwLzIwMjYIAAAACTMvMzEvMjAxNQkAAAABMMoVH456ht4IrclPjnqG3ggXQ0lRLjk5Mi5JUV9FQklULklRX0ZZLTABAAAACEIGAAIAAAAIMjAwNi45MDIBCAAAAAUAAAABMQEAAAALLTE5Mzc2NjQ4ODADAAAAAzE2MAIAAAADNDAwBAAAAAEwBwAAAAkzLzIwLzIwMjYIAAAACTMv</t>
  </si>
  <si>
    <t>MzEvMjAyNQkAAAABMMoVH456ht4IuvBPjnqG3ggbQ0lRLjk5Mi5JUV9PUFRJT05TX0FWR19MSUZFBQAAAAAAAAAIAAAAFihJbnZhbGlkIEZvcm11bGEgTmFtZSnKFR+OeobeCAwzUY56ht4IE0NJUS45OTIuSVFfRVhDSEFOR0UBAAAACEIGAAMAAAAEU0VISwDKFR+OeobeCMK9UI56ht4IFUNJUS45OTIuSVFfQ0xPU0VQUklDRQEAAAAIQgYAAgAAAAQ5LjM3AMoVH456ht4IbaJPjnqG3ggUQ0lRLjk5Mi5JUV9NQVJLRVRDQVABAAAACEIGAAIAAAAMMTE2MjMxLjY1NzY2AQYAAAAFAAAAATEBAAAACy0xOTA3MTYwMjc0AwAAAAI2NAIAAAAGMTAwMDU0BAAAAAEwBwAAAAkzLzE5LzIwMjbKFR+OeobeCK3JT456ht4IHkNJUS45OTIuSVFfVE9UQUxfREVCVC5JUV9GWS0xMAEAAAAIQgYAAgAAAAgzMDU0LjEyMgEIAAAABQAAAAExAQAAAAoxNzk1NTM4NTk5AwAAAAMxNjACAAAABDQxNzMEAAAAATAHAAAACTMvMjAvMjAyNggAAAAJMy8zMS8yMDE1CQAAAAEwiTwfjnqG3ggtgVGOeobeCBxDSVEuOTkyLklRX0xUX0lOVkVTVC5JUV9GWS0wAQAAAAhCBgACAAAABzE4MjUuNDcBCAAAAAUAAAABMQEAAAALLTE5Mzc2NjQ4ODADAAAAAzE2MAIAAAAEMTA1NAQAAAABMAcAAAAJMy8yMC8yMDI2CAAAAAkzLzMxLzIwMjUJAAAAATCJPB+OeobeCN0LUY56ht4IHENJUS45OTIuSVFfTFRfSU5WRVNULklRX0ZZLTEBAAAACEIG</t>
  </si>
  <si>
    <t>AAIAAAAIMTc2OC40NDIBCAAAAAUAAAABMQEAAAALLTE5Mzc2NjQ4ODgDAAAAAzE2MAIAAAAEMTA1NAQAAAABMAcAAAAJMy8yMC8yMDI2CAAAAAkzLzMxLzIwMjQJAAAAATCJPB+OeobeCB6oUY56ht4IHENJUS45OTIuSVFfTFRfSU5WRVNULklRX0ZZLTQBAAAACEIGAAIAAAAHOTU1LjI2NAEIAAAABQAAAAExAQAAAAstMjA5MTU3MDcwNgMAAAADMTYwAgAAAAQxMDU0BAAAAAEwBwAAAAkzLzIwLzIwMjYIAAAACTMvMzEvMjAyMQkAAAABMIk8H456ht4IbaJPjnqG3ggcQ0lRLjk5Mi5JUV9MVF9JTlZFU1QuSVFfRlktNgEAAAAIQgYAAgAAAAY1OTkuOTEBCAAAAAUAAAABMQEAAAAKMjA0MDE1NTgzMwMAAAADMTYwAgAAAAQxMDU0BAAAAAEwBwAAAAkzLzIwLzIwMjYIAAAACTMvMzEvMjAxOQkAAAABMIk8H456ht4I0yRQjnqG3ggcQ0lRLjk5Mi5JUV9MVF9JTlZFU1QuSVFfRlktNwEAAAAIQgYAAgAAAAc0MDguNzQzAQgAAAAFAAAAATEBAAAACjE5Njc0NDc5MjQDAAAAAzE2MAIAAAAEMTA1NAQAAAABMAcAAAAJMy8yMC8yMDI2CAAAAAkzLzMxLzIwMTgJAAAAATCJPB+OeobeCB6oUY56ht4IHENJUS45OTIuSVFfTFRfSU5WRVNULklRX0ZZLTgBAAAACEIGAAIAAAAHMjg4LjQ2NQEIAAAABQAAAAExAQAAAAoxODkyMjQ1NzUyAwAAAAMxNjACAAAABDEwNTQEAAAAATAHAAAACTMvMjAvMjAyNggAAAAJMy8zMS8y</t>
  </si>
  <si>
    <t>MDE3CQAAAAEwiTwfjnqG3gjTJFCOeobeCBxDSVEuOTkyLklRX0xUX0lOVkVTVC5JUV9GWS05AQAAAAhCBgACAAAABzE4MC4wMTEBCAAAAAUAAAABMQEAAAAKMTg0NjE0Nzk4MwMAAAADMTYwAgAAAAQxMDU0BAAAAAEwBwAAAAkzLzIwLzIwMjYIAAAACTMvMzEvMjAxNgkAAAABMIk8H456ht4IvdJRjnqG3ggdQ0lRLjk5Mi5JUV9MVF9JTlZFU1QuSVFfRlktMTABAAAACEIGAAIAAAAHMTE5LjExOQEIAAAABQAAAAExAQAAAAoxNzk1NTM4NTk5AwAAAAMxNjACAAAABDEwNTQEAAAAATAHAAAACTMvMjAvMjAyNggAAAAJMy8zMS8yMDE1CQAAAAEwiTwfjnqG3ggeqFGOeobeCCRDSVEuOTkyLklRX01JTk9SSVRZX0lOVEVSRVNULklRX0ZZLTABAAAACEIGAAIAAAAIMTEzOC4yODMBCAAAAAUAAAABMQEAAAALLTE5Mzc2NjQ4ODADAAAAAzE2MAIAAAAEMTA1MgQAAAABMAcAAAAJMy8yMC8yMDI2CAAAAAkzLzMxLzIwMjUJAAAAATCJPB+OeobeCB6oUY56ht4IJENJUS45OTIuSVFfTUlOT1JJVFlfSU5URVJFU1QuSVFfRlktMQEAAAAIQgYAAgAAAAgxMDQ1Ljk0NwEIAAAABQAAAAExAQAAAAstMTkzNzY2NDg4OAMAAAADMTYwAgAAAAQxMDUyBAAAAAEwBwAAAAkzLzIwLzIwMjYIAAAACTMvMzEvMjAyNAkAAAABMIk8H456ht4IHqhRjnqG3ggkQ0lRLjk5Mi5JUV9NSU5PUklUWV9JTlRFUkVTVC5JUV9GWS0zAQAAAAhC</t>
  </si>
  <si>
    <t>BgACAAAABzk1MS40MTUBCAAAAAUAAAABMQEAAAALLTIwMzk0NjA3MDIDAAAAAzE2MAIAAAAEMTA1MgQAAAABMAcAAAAJMy8yMC8yMDI2CAAAAAkzLzMxLzIwMjIJAAAAATCJPB+OeobeCElvUI56ht4IJENJUS45OTIuSVFfTUlOT1JJVFlfSU5URVJFU1QuSVFfRlktNAEAAAAIQgYAAgAAAAc4MTcuNzM1AQgAAAAFAAAAATEBAAAACy0yMDkxNTcwNzA2AwAAAAMxNjACAAAABDEwNTIEAAAAATAHAAAACTMvMjAvMjAyNggAAAAJMy8zMS8yMDIxCQAAAAEwiTwfjnqG3ggtgVGOeobeCCRDSVEuOTkyLklRX01JTk9SSVRZX0lOVEVSRVNULklRX0ZZLTUBAAAACEIGAAIAAAAIMTYyNy45OTEBCAAAAAUAAAABMQEAAAALLTIxNDY2MTYzMjUDAAAAAzE2MAIAAAAEMTA1MgQAAAABMAcAAAAJMy8yMC8yMDI2CAAAAAkzLzMxLzIwMjAJAAAAATCJPB+OeobeCC2BUY56ht4IJENJUS45OTIuSVFfTUlOT1JJVFlfSU5URVJFU1QuSVFfRlktNgEAAAAIQgYAAgAAAAgxNDY2Ljg0OAEIAAAABQAAAAExAQAAAAoyMDQwMTU1ODMzAwAAAAMxNjACAAAABDEwNTIEAAAAATAHAAAACTMvMjAvMjAyNggAAAAJMy8zMS8yMDE5CQAAAAEwiTwfjnqG3ggtgVGOeobeCCRDSVEuOTkyLklRX01JTk9SSVRZX0lOVEVSRVNULklRX0ZZLTcBAAAACEIGAAIAAAAIMTI0MC4yNjgBCAAAAAUAAAABMQEAAAAKMTk2NzQ0NzkyNAMAAAADMTYwAgAA</t>
  </si>
  <si>
    <t>AAQxMDUyBAAAAAEwBwAAAAkzLzIwLzIwMjYIAAAACTMvMzEvMjAxOAkAAAABMIk8H456ht4I0yRQjnqG3ggkQ0lRLjk5Mi5JUV9NSU5PUklUWV9JTlRFUkVTVC5JUV9GWS04AQAAAAhCBgACAAAACDEwODQuNTIxAQgAAAAFAAAAATEBAAAACjE4OTIyNDU3NTIDAAAAAzE2MAIAAAAEMTA1MgQAAAABMAcAAAAJMy8yMC8yMDI2CAAAAAkzLzMxLzIwMTcJAAAAATCJPB+OeobeCG2iT456ht4IJENJUS45OTIuSVFfTUlOT1JJVFlfSU5URVJFU1QuSVFfRlktOQEAAAAIQgYAAgAAAAcyMzguOTQ5AQgAAAAFAAAAATEBAAAACjE4NDYxNDc5ODMDAAAAAzE2MAIAAAAEMTA1MgQAAAABMAcAAAAJMy8yMC8yMDI2CAAAAAkzLzMxLzIwMTYJAAAAATCJPB+OeobeCAwzUY56ht4IJUNJUS45OTIuSVFfTUlOT1JJVFlfSU5URVJFU1QuSVFfRlktMTABAAAACEIGAAIAAAAHMjM1LjM3OAEIAAAABQAAAAExAQAAAAoxNzk1NTM4NTk5AwAAAAMxNjACAAAABDEwNTIEAAAAATAHAAAACTMvMjAvMjAyNggAAAAJMy8zMS8yMDE1CQAAAAEwiTwfjnqG3gg/SFCOeobeCBpDSVEuOTkyLklRX0ZJTElOR19DVVJSRU5DWQEAAAAIQgYAAwAAAANVU0QAiTwfjnqG3gjS5FCOeobeCCBDSVEuOTkyLklRX0VGRkVDVF9UQVhfUkFURS5JUV9GWQEAAAAIQgYAAgAAAAYxLjI3NzQBCAAAAAUAAAABMQEAAAALLTE5Mzc2NjQ4ODADAAAAAzE2MAIA</t>
  </si>
  <si>
    <t>AAAENDM3NgQAAAABMAcAAAAJMy8yMC8yMDI2CAAAAAkzLzMxLzIwMjUJAAAAATCJPB+OeobeCNLkUI56ht4IGUNJUS45OTIuSVFfT1BUSU9OU19FTkRfT1MBAAAACEIGAAMAAAAAAIk8H456ht4I0uRQjnqG3ggiQ0lRLjk5Mi5JUV9PUFRJT05TX1NUUklLRV9QUklDRV9PUwEAAAAIQgYAAwAAAAAAiTwfjnqG3gjdC1GOeobeCBVDSVEuOTkyLklRX09MX0NPTU1fQ1kBAAAACEIGAAMAAAAAAIk8H456ht4IDDNRjnqG3ggWQ0lRLjk5Mi5JUV9PTF9DT01NX0NZMgEAAAAIQgYAAwAAAAAAiTwfjnqG3ghtok+OeobeCBZDSVEuOTkyLklRX09MX0NPTU1fQ1kzAQAAAAhCBgADAAAAAACJPB+OeobeCLrwT456ht4IFkNJUS45OTIuSVFfT0xfQ09NTV9DWTQBAAAACEIGAAMAAAAAAIk8H456ht4I0yRQjnqG3ggcQ0lRLjk5Mi5JUV9PTF9DT01NX05FWFRfRklWRQEAAAAIQgYAAwAAAAAAiTwfjnqG3ghtok+OeobeCB1DSVEuOTkyLklRX1BFUklPRERBVEUuSVFfRlktMAEAAAAIQgYABQAAAAkyMDI1LzMvMzEAiTwfjnqG3ghNllCOeobeC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</si>
</sst>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4"/>
      <name val="宋体"/>
      <charset val="134"/>
    </font>
    <font>
      <i/>
      <sz val="11"/>
      <color rgb="FF666666"/>
      <name val="宋体"/>
      <charset val="134"/>
    </font>
    <font>
      <i/>
      <sz val="11"/>
      <color rgb="FF444444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color rgb="FF0000CC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4" fontId="0" fillId="0" borderId="1" xfId="0" applyNumberFormat="1" applyBorder="1"/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65AC-6031-4F61-8F81-9E94EC5E334A}">
  <dimension ref="A1:AS1"/>
  <sheetViews>
    <sheetView workbookViewId="0"/>
  </sheetViews>
  <sheetFormatPr defaultRowHeight="14.1" x14ac:dyDescent="0.4"/>
  <sheetData>
    <row r="1" spans="1:45" x14ac:dyDescent="0.4">
      <c r="A1">
        <v>45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"/>
  <sheetViews>
    <sheetView tabSelected="1" workbookViewId="0">
      <selection activeCell="C6" sqref="C6"/>
    </sheetView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2" t="s">
        <v>1</v>
      </c>
      <c r="C1" s="3" t="s">
        <v>2</v>
      </c>
    </row>
    <row r="2" spans="1:5" x14ac:dyDescent="0.4">
      <c r="A2" t="s">
        <v>3</v>
      </c>
      <c r="B2" s="4" t="s">
        <v>4</v>
      </c>
    </row>
    <row r="4" spans="1:5" x14ac:dyDescent="0.4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spans="1:5" x14ac:dyDescent="0.4">
      <c r="A5" s="9" t="s">
        <v>10</v>
      </c>
      <c r="B5" s="10"/>
      <c r="C5" s="10"/>
      <c r="D5" s="10"/>
      <c r="E5" s="10"/>
    </row>
    <row r="6" spans="1:5" x14ac:dyDescent="0.4">
      <c r="A6" s="6" t="s">
        <v>11</v>
      </c>
      <c r="B6" s="6" t="s">
        <v>12</v>
      </c>
      <c r="C6" s="7">
        <f>_xll.ciqfunctions.udf.CIQ($B$1,"IQ_TOTAL_REV","IQ_FY-0")</f>
        <v>69076.967999999993</v>
      </c>
      <c r="D6" s="8">
        <f t="shared" ref="D6:D37" si="0">C6</f>
        <v>69076.967999999993</v>
      </c>
      <c r="E6" s="6" t="s">
        <v>13</v>
      </c>
    </row>
    <row r="7" spans="1:5" x14ac:dyDescent="0.4">
      <c r="A7" s="6" t="s">
        <v>11</v>
      </c>
      <c r="B7" s="6" t="s">
        <v>14</v>
      </c>
      <c r="C7" s="7">
        <f>_xll.ciqfunctions.udf.CIQ($B$1,"IQ_TOTAL_REV","IQ_FY-1")</f>
        <v>56863.784</v>
      </c>
      <c r="D7" s="8">
        <f t="shared" si="0"/>
        <v>56863.784</v>
      </c>
      <c r="E7" s="6" t="s">
        <v>13</v>
      </c>
    </row>
    <row r="8" spans="1:5" x14ac:dyDescent="0.4">
      <c r="A8" s="6" t="s">
        <v>11</v>
      </c>
      <c r="B8" s="6" t="s">
        <v>15</v>
      </c>
      <c r="C8" s="7">
        <f>_xll.ciqfunctions.udf.CIQ($B$1,"IQ_TOTAL_REV","IQ_FY-2")</f>
        <v>61946.853999999999</v>
      </c>
      <c r="D8" s="8">
        <f t="shared" si="0"/>
        <v>61946.853999999999</v>
      </c>
      <c r="E8" s="6" t="s">
        <v>13</v>
      </c>
    </row>
    <row r="9" spans="1:5" x14ac:dyDescent="0.4">
      <c r="A9" s="6" t="s">
        <v>11</v>
      </c>
      <c r="B9" s="6" t="s">
        <v>16</v>
      </c>
      <c r="C9" s="7">
        <f>_xll.ciqfunctions.udf.CIQ($B$1,"IQ_TOTAL_REV","IQ_FY-3")</f>
        <v>71618.216</v>
      </c>
      <c r="D9" s="8">
        <f t="shared" si="0"/>
        <v>71618.216</v>
      </c>
      <c r="E9" s="6" t="s">
        <v>13</v>
      </c>
    </row>
    <row r="10" spans="1:5" x14ac:dyDescent="0.4">
      <c r="A10" s="6" t="s">
        <v>11</v>
      </c>
      <c r="B10" s="6" t="s">
        <v>17</v>
      </c>
      <c r="C10" s="7">
        <f>_xll.ciqfunctions.udf.CIQ($B$1,"IQ_TOTAL_REV","IQ_FY-4")</f>
        <v>60742.311999999998</v>
      </c>
      <c r="D10" s="8">
        <f t="shared" si="0"/>
        <v>60742.311999999998</v>
      </c>
      <c r="E10" s="6" t="s">
        <v>13</v>
      </c>
    </row>
    <row r="11" spans="1:5" x14ac:dyDescent="0.4">
      <c r="A11" s="6" t="s">
        <v>11</v>
      </c>
      <c r="B11" s="6" t="s">
        <v>18</v>
      </c>
      <c r="C11" s="7">
        <f>_xll.ciqfunctions.udf.CIQ($B$1,"IQ_TOTAL_REV","IQ_FY-5")</f>
        <v>50716.349000000002</v>
      </c>
      <c r="D11" s="8">
        <f t="shared" si="0"/>
        <v>50716.349000000002</v>
      </c>
      <c r="E11" s="6" t="s">
        <v>13</v>
      </c>
    </row>
    <row r="12" spans="1:5" x14ac:dyDescent="0.4">
      <c r="A12" s="6" t="s">
        <v>11</v>
      </c>
      <c r="B12" s="6" t="s">
        <v>19</v>
      </c>
      <c r="C12" s="7">
        <f>_xll.ciqfunctions.udf.CIQ($B$1,"IQ_TOTAL_REV","IQ_FY-6")</f>
        <v>51037.942999999999</v>
      </c>
      <c r="D12" s="8">
        <f t="shared" si="0"/>
        <v>51037.942999999999</v>
      </c>
      <c r="E12" s="6" t="s">
        <v>13</v>
      </c>
    </row>
    <row r="13" spans="1:5" x14ac:dyDescent="0.4">
      <c r="A13" s="6" t="s">
        <v>11</v>
      </c>
      <c r="B13" s="6" t="s">
        <v>20</v>
      </c>
      <c r="C13" s="7">
        <f>_xll.ciqfunctions.udf.CIQ($B$1,"IQ_TOTAL_REV","IQ_FY-7")</f>
        <v>45349.942999999999</v>
      </c>
      <c r="D13" s="8">
        <f t="shared" si="0"/>
        <v>45349.942999999999</v>
      </c>
      <c r="E13" s="6" t="s">
        <v>13</v>
      </c>
    </row>
    <row r="14" spans="1:5" x14ac:dyDescent="0.4">
      <c r="A14" s="6" t="s">
        <v>11</v>
      </c>
      <c r="B14" s="6" t="s">
        <v>21</v>
      </c>
      <c r="C14" s="7">
        <f>_xll.ciqfunctions.udf.CIQ($B$1,"IQ_TOTAL_REV","IQ_FY-8")</f>
        <v>43034.731</v>
      </c>
      <c r="D14" s="8">
        <f t="shared" si="0"/>
        <v>43034.731</v>
      </c>
      <c r="E14" s="6" t="s">
        <v>13</v>
      </c>
    </row>
    <row r="15" spans="1:5" x14ac:dyDescent="0.4">
      <c r="A15" s="6" t="s">
        <v>11</v>
      </c>
      <c r="B15" s="6" t="s">
        <v>22</v>
      </c>
      <c r="C15" s="7">
        <f>_xll.ciqfunctions.udf.CIQ($B$1,"IQ_TOTAL_REV","IQ_FY-9")</f>
        <v>44912.097000000002</v>
      </c>
      <c r="D15" s="8">
        <f t="shared" si="0"/>
        <v>44912.097000000002</v>
      </c>
      <c r="E15" s="6" t="s">
        <v>13</v>
      </c>
    </row>
    <row r="16" spans="1:5" x14ac:dyDescent="0.4">
      <c r="A16" s="6" t="s">
        <v>11</v>
      </c>
      <c r="B16" s="6" t="s">
        <v>23</v>
      </c>
      <c r="C16" s="7">
        <f>_xll.ciqfunctions.udf.CIQ($B$1,"IQ_TOTAL_REV","IQ_FY-10")</f>
        <v>46295.593000000001</v>
      </c>
      <c r="D16" s="8">
        <f t="shared" si="0"/>
        <v>46295.593000000001</v>
      </c>
      <c r="E16" s="6" t="s">
        <v>13</v>
      </c>
    </row>
    <row r="17" spans="1:5" x14ac:dyDescent="0.4">
      <c r="A17" s="6" t="s">
        <v>24</v>
      </c>
      <c r="B17" s="6" t="s">
        <v>12</v>
      </c>
      <c r="C17" s="7">
        <f>_xll.ciqfunctions.udf.CIQ($B$1,"IQ_EBIT","IQ_FY-0")</f>
        <v>2006.902</v>
      </c>
      <c r="D17" s="8">
        <f t="shared" si="0"/>
        <v>2006.902</v>
      </c>
      <c r="E17" s="6" t="s">
        <v>25</v>
      </c>
    </row>
    <row r="18" spans="1:5" x14ac:dyDescent="0.4">
      <c r="A18" s="6" t="s">
        <v>24</v>
      </c>
      <c r="B18" s="6" t="s">
        <v>14</v>
      </c>
      <c r="C18" s="7">
        <f>_xll.ciqfunctions.udf.CIQ($B$1,"IQ_EBIT","IQ_FY-1")</f>
        <v>1990.8219999999999</v>
      </c>
      <c r="D18" s="8">
        <f t="shared" si="0"/>
        <v>1990.8219999999999</v>
      </c>
      <c r="E18" s="6" t="s">
        <v>25</v>
      </c>
    </row>
    <row r="19" spans="1:5" x14ac:dyDescent="0.4">
      <c r="A19" s="6" t="s">
        <v>24</v>
      </c>
      <c r="B19" s="6" t="s">
        <v>15</v>
      </c>
      <c r="C19" s="7">
        <f>_xll.ciqfunctions.udf.CIQ($B$1,"IQ_EBIT","IQ_FY-2")</f>
        <v>2444.2559999999999</v>
      </c>
      <c r="D19" s="8">
        <f t="shared" si="0"/>
        <v>2444.2559999999999</v>
      </c>
      <c r="E19" s="6" t="s">
        <v>25</v>
      </c>
    </row>
    <row r="20" spans="1:5" x14ac:dyDescent="0.4">
      <c r="A20" s="6" t="s">
        <v>24</v>
      </c>
      <c r="B20" s="6" t="s">
        <v>16</v>
      </c>
      <c r="C20" s="7">
        <f>_xll.ciqfunctions.udf.CIQ($B$1,"IQ_EBIT","IQ_FY-3")</f>
        <v>2971.3150000000001</v>
      </c>
      <c r="D20" s="8">
        <f t="shared" si="0"/>
        <v>2971.3150000000001</v>
      </c>
      <c r="E20" s="6" t="s">
        <v>25</v>
      </c>
    </row>
    <row r="21" spans="1:5" x14ac:dyDescent="0.4">
      <c r="A21" s="6" t="s">
        <v>24</v>
      </c>
      <c r="B21" s="6" t="s">
        <v>17</v>
      </c>
      <c r="C21" s="7">
        <f>_xll.ciqfunctions.udf.CIQ($B$1,"IQ_EBIT","IQ_FY-4")</f>
        <v>2441.761</v>
      </c>
      <c r="D21" s="8">
        <f t="shared" si="0"/>
        <v>2441.761</v>
      </c>
      <c r="E21" s="6" t="s">
        <v>25</v>
      </c>
    </row>
    <row r="22" spans="1:5" x14ac:dyDescent="0.4">
      <c r="A22" s="6" t="s">
        <v>24</v>
      </c>
      <c r="B22" s="6" t="s">
        <v>18</v>
      </c>
      <c r="C22" s="7">
        <f>_xll.ciqfunctions.udf.CIQ($B$1,"IQ_EBIT","IQ_FY-5")</f>
        <v>1400.3810000000001</v>
      </c>
      <c r="D22" s="8">
        <f t="shared" si="0"/>
        <v>1400.3810000000001</v>
      </c>
      <c r="E22" s="6" t="s">
        <v>25</v>
      </c>
    </row>
    <row r="23" spans="1:5" x14ac:dyDescent="0.4">
      <c r="A23" s="6" t="s">
        <v>24</v>
      </c>
      <c r="B23" s="6" t="s">
        <v>19</v>
      </c>
      <c r="C23" s="7">
        <f>_xll.ciqfunctions.udf.CIQ($B$1,"IQ_EBIT","IQ_FY-6")</f>
        <v>1049.92</v>
      </c>
      <c r="D23" s="8">
        <f t="shared" si="0"/>
        <v>1049.92</v>
      </c>
      <c r="E23" s="6" t="s">
        <v>25</v>
      </c>
    </row>
    <row r="24" spans="1:5" x14ac:dyDescent="0.4">
      <c r="A24" s="6" t="s">
        <v>24</v>
      </c>
      <c r="B24" s="6" t="s">
        <v>20</v>
      </c>
      <c r="C24" s="7">
        <f>_xll.ciqfunctions.udf.CIQ($B$1,"IQ_EBIT","IQ_FY-7")</f>
        <v>714.36900000000003</v>
      </c>
      <c r="D24" s="8">
        <f t="shared" si="0"/>
        <v>714.36900000000003</v>
      </c>
      <c r="E24" s="6" t="s">
        <v>25</v>
      </c>
    </row>
    <row r="25" spans="1:5" x14ac:dyDescent="0.4">
      <c r="A25" s="6" t="s">
        <v>24</v>
      </c>
      <c r="B25" s="6" t="s">
        <v>21</v>
      </c>
      <c r="C25" s="7">
        <f>_xll.ciqfunctions.udf.CIQ($B$1,"IQ_EBIT","IQ_FY-8")</f>
        <v>581.74099999999999</v>
      </c>
      <c r="D25" s="8">
        <f t="shared" si="0"/>
        <v>581.74099999999999</v>
      </c>
      <c r="E25" s="6" t="s">
        <v>25</v>
      </c>
    </row>
    <row r="26" spans="1:5" x14ac:dyDescent="0.4">
      <c r="A26" s="6" t="s">
        <v>24</v>
      </c>
      <c r="B26" s="6" t="s">
        <v>22</v>
      </c>
      <c r="C26" s="7">
        <f>_xll.ciqfunctions.udf.CIQ($B$1,"IQ_EBIT","IQ_FY-9")</f>
        <v>566.75900000000001</v>
      </c>
      <c r="D26" s="8">
        <f t="shared" si="0"/>
        <v>566.75900000000001</v>
      </c>
      <c r="E26" s="6" t="s">
        <v>25</v>
      </c>
    </row>
    <row r="27" spans="1:5" x14ac:dyDescent="0.4">
      <c r="A27" s="6" t="s">
        <v>24</v>
      </c>
      <c r="B27" s="6" t="s">
        <v>23</v>
      </c>
      <c r="C27" s="7">
        <f>_xll.ciqfunctions.udf.CIQ($B$1,"IQ_EBIT","IQ_FY-10")</f>
        <v>996.88900000000001</v>
      </c>
      <c r="D27" s="8">
        <f t="shared" si="0"/>
        <v>996.88900000000001</v>
      </c>
      <c r="E27" s="6" t="s">
        <v>25</v>
      </c>
    </row>
    <row r="28" spans="1:5" x14ac:dyDescent="0.4">
      <c r="A28" s="6" t="s">
        <v>26</v>
      </c>
      <c r="B28" s="6" t="s">
        <v>12</v>
      </c>
      <c r="C28" s="7">
        <f>_xll.ciqfunctions.udf.CIQ($B$1,"IQ_EBITDA","IQ_FY-0")</f>
        <v>3059.7429999999999</v>
      </c>
      <c r="D28" s="8">
        <f t="shared" si="0"/>
        <v>3059.7429999999999</v>
      </c>
      <c r="E28" s="6" t="s">
        <v>27</v>
      </c>
    </row>
    <row r="29" spans="1:5" x14ac:dyDescent="0.4">
      <c r="A29" s="6" t="s">
        <v>26</v>
      </c>
      <c r="B29" s="6" t="s">
        <v>14</v>
      </c>
      <c r="C29" s="7">
        <f>_xll.ciqfunctions.udf.CIQ($B$1,"IQ_EBITDA","IQ_FY-1")</f>
        <v>3024.6320000000001</v>
      </c>
      <c r="D29" s="8">
        <f t="shared" si="0"/>
        <v>3024.6320000000001</v>
      </c>
      <c r="E29" s="6" t="s">
        <v>27</v>
      </c>
    </row>
    <row r="30" spans="1:5" x14ac:dyDescent="0.4">
      <c r="A30" s="6" t="s">
        <v>26</v>
      </c>
      <c r="B30" s="6" t="s">
        <v>15</v>
      </c>
      <c r="C30" s="7">
        <f>_xll.ciqfunctions.udf.CIQ($B$1,"IQ_EBITDA","IQ_FY-2")</f>
        <v>3408.6280000000002</v>
      </c>
      <c r="D30" s="8">
        <f t="shared" si="0"/>
        <v>3408.6280000000002</v>
      </c>
      <c r="E30" s="6" t="s">
        <v>27</v>
      </c>
    </row>
    <row r="31" spans="1:5" x14ac:dyDescent="0.4">
      <c r="A31" s="6" t="s">
        <v>26</v>
      </c>
      <c r="B31" s="6" t="s">
        <v>16</v>
      </c>
      <c r="C31" s="7">
        <f>_xll.ciqfunctions.udf.CIQ($B$1,"IQ_EBITDA","IQ_FY-3")</f>
        <v>3880.6460000000002</v>
      </c>
      <c r="D31" s="8">
        <f t="shared" si="0"/>
        <v>3880.6460000000002</v>
      </c>
      <c r="E31" s="6" t="s">
        <v>27</v>
      </c>
    </row>
    <row r="32" spans="1:5" x14ac:dyDescent="0.4">
      <c r="A32" s="6" t="s">
        <v>26</v>
      </c>
      <c r="B32" s="6" t="s">
        <v>17</v>
      </c>
      <c r="C32" s="7">
        <f>_xll.ciqfunctions.udf.CIQ($B$1,"IQ_EBITDA","IQ_FY-4")</f>
        <v>3211.1979999999999</v>
      </c>
      <c r="D32" s="8">
        <f t="shared" si="0"/>
        <v>3211.1979999999999</v>
      </c>
      <c r="E32" s="6" t="s">
        <v>27</v>
      </c>
    </row>
    <row r="33" spans="1:5" x14ac:dyDescent="0.4">
      <c r="A33" s="6" t="s">
        <v>26</v>
      </c>
      <c r="B33" s="6" t="s">
        <v>18</v>
      </c>
      <c r="C33" s="7">
        <f>_xll.ciqfunctions.udf.CIQ($B$1,"IQ_EBITDA","IQ_FY-5")</f>
        <v>2114.5790000000002</v>
      </c>
      <c r="D33" s="8">
        <f t="shared" si="0"/>
        <v>2114.5790000000002</v>
      </c>
      <c r="E33" s="6" t="s">
        <v>27</v>
      </c>
    </row>
    <row r="34" spans="1:5" x14ac:dyDescent="0.4">
      <c r="A34" s="6" t="s">
        <v>26</v>
      </c>
      <c r="B34" s="6" t="s">
        <v>19</v>
      </c>
      <c r="C34" s="7">
        <f>_xll.ciqfunctions.udf.CIQ($B$1,"IQ_EBITDA","IQ_FY-6")</f>
        <v>1716.402</v>
      </c>
      <c r="D34" s="8">
        <f t="shared" si="0"/>
        <v>1716.402</v>
      </c>
      <c r="E34" s="6" t="s">
        <v>27</v>
      </c>
    </row>
    <row r="35" spans="1:5" x14ac:dyDescent="0.4">
      <c r="A35" s="6" t="s">
        <v>26</v>
      </c>
      <c r="B35" s="6" t="s">
        <v>20</v>
      </c>
      <c r="C35" s="7">
        <f>_xll.ciqfunctions.udf.CIQ($B$1,"IQ_EBITDA","IQ_FY-7")</f>
        <v>1357.742</v>
      </c>
      <c r="D35" s="8">
        <f t="shared" si="0"/>
        <v>1357.742</v>
      </c>
      <c r="E35" s="6" t="s">
        <v>27</v>
      </c>
    </row>
    <row r="36" spans="1:5" x14ac:dyDescent="0.4">
      <c r="A36" s="6" t="s">
        <v>26</v>
      </c>
      <c r="B36" s="6" t="s">
        <v>21</v>
      </c>
      <c r="C36" s="7">
        <f>_xll.ciqfunctions.udf.CIQ($B$1,"IQ_EBITDA","IQ_FY-8")</f>
        <v>1181.577</v>
      </c>
      <c r="D36" s="8">
        <f t="shared" si="0"/>
        <v>1181.577</v>
      </c>
      <c r="E36" s="6" t="s">
        <v>27</v>
      </c>
    </row>
    <row r="37" spans="1:5" x14ac:dyDescent="0.4">
      <c r="A37" s="6" t="s">
        <v>26</v>
      </c>
      <c r="B37" s="6" t="s">
        <v>22</v>
      </c>
      <c r="C37" s="7">
        <f>_xll.ciqfunctions.udf.CIQ($B$1,"IQ_EBITDA","IQ_FY-9")</f>
        <v>1202.665</v>
      </c>
      <c r="D37" s="8">
        <f t="shared" si="0"/>
        <v>1202.665</v>
      </c>
      <c r="E37" s="6" t="s">
        <v>27</v>
      </c>
    </row>
    <row r="38" spans="1:5" x14ac:dyDescent="0.4">
      <c r="A38" s="6" t="s">
        <v>26</v>
      </c>
      <c r="B38" s="6" t="s">
        <v>23</v>
      </c>
      <c r="C38" s="7">
        <f>_xll.ciqfunctions.udf.CIQ($B$1,"IQ_EBITDA","IQ_FY-10")</f>
        <v>1414.1869999999999</v>
      </c>
      <c r="D38" s="8">
        <f t="shared" ref="D38:D69" si="1">C38</f>
        <v>1414.1869999999999</v>
      </c>
      <c r="E38" s="6" t="s">
        <v>27</v>
      </c>
    </row>
    <row r="39" spans="1:5" x14ac:dyDescent="0.4">
      <c r="A39" s="6" t="s">
        <v>28</v>
      </c>
      <c r="B39" s="6" t="s">
        <v>12</v>
      </c>
      <c r="C39" s="7">
        <f>_xll.ciqfunctions.udf.CIQ($B$1,"IQ_NI","IQ_FY-0")</f>
        <v>1384.4449999999999</v>
      </c>
      <c r="D39" s="8">
        <f t="shared" si="1"/>
        <v>1384.4449999999999</v>
      </c>
      <c r="E39" s="6" t="s">
        <v>29</v>
      </c>
    </row>
    <row r="40" spans="1:5" x14ac:dyDescent="0.4">
      <c r="A40" s="6" t="s">
        <v>28</v>
      </c>
      <c r="B40" s="6" t="s">
        <v>14</v>
      </c>
      <c r="C40" s="7">
        <f>_xll.ciqfunctions.udf.CIQ($B$1,"IQ_NI","IQ_FY-1")</f>
        <v>1010.506</v>
      </c>
      <c r="D40" s="8">
        <f t="shared" si="1"/>
        <v>1010.506</v>
      </c>
      <c r="E40" s="6" t="s">
        <v>29</v>
      </c>
    </row>
    <row r="41" spans="1:5" x14ac:dyDescent="0.4">
      <c r="A41" s="6" t="s">
        <v>28</v>
      </c>
      <c r="B41" s="6" t="s">
        <v>15</v>
      </c>
      <c r="C41" s="7">
        <f>_xll.ciqfunctions.udf.CIQ($B$1,"IQ_NI","IQ_FY-2")</f>
        <v>1607.722</v>
      </c>
      <c r="D41" s="8">
        <f t="shared" si="1"/>
        <v>1607.722</v>
      </c>
      <c r="E41" s="6" t="s">
        <v>29</v>
      </c>
    </row>
    <row r="42" spans="1:5" x14ac:dyDescent="0.4">
      <c r="A42" s="6" t="s">
        <v>28</v>
      </c>
      <c r="B42" s="6" t="s">
        <v>16</v>
      </c>
      <c r="C42" s="7">
        <f>_xll.ciqfunctions.udf.CIQ($B$1,"IQ_NI","IQ_FY-3")</f>
        <v>2029.818</v>
      </c>
      <c r="D42" s="8">
        <f t="shared" si="1"/>
        <v>2029.818</v>
      </c>
      <c r="E42" s="6" t="s">
        <v>29</v>
      </c>
    </row>
    <row r="43" spans="1:5" x14ac:dyDescent="0.4">
      <c r="A43" s="6" t="s">
        <v>28</v>
      </c>
      <c r="B43" s="6" t="s">
        <v>17</v>
      </c>
      <c r="C43" s="7">
        <f>_xll.ciqfunctions.udf.CIQ($B$1,"IQ_NI","IQ_FY-4")</f>
        <v>1210.8389999999999</v>
      </c>
      <c r="D43" s="8">
        <f t="shared" si="1"/>
        <v>1210.8389999999999</v>
      </c>
      <c r="E43" s="6" t="s">
        <v>29</v>
      </c>
    </row>
    <row r="44" spans="1:5" x14ac:dyDescent="0.4">
      <c r="A44" s="6" t="s">
        <v>28</v>
      </c>
      <c r="B44" s="6" t="s">
        <v>18</v>
      </c>
      <c r="C44" s="7">
        <f>_xll.ciqfunctions.udf.CIQ($B$1,"IQ_NI","IQ_FY-5")</f>
        <v>718.851</v>
      </c>
      <c r="D44" s="8">
        <f t="shared" si="1"/>
        <v>718.851</v>
      </c>
      <c r="E44" s="6" t="s">
        <v>29</v>
      </c>
    </row>
    <row r="45" spans="1:5" x14ac:dyDescent="0.4">
      <c r="A45" s="6" t="s">
        <v>28</v>
      </c>
      <c r="B45" s="6" t="s">
        <v>19</v>
      </c>
      <c r="C45" s="7">
        <f>_xll.ciqfunctions.udf.CIQ($B$1,"IQ_NI","IQ_FY-6")</f>
        <v>650.10299999999995</v>
      </c>
      <c r="D45" s="8">
        <f t="shared" si="1"/>
        <v>650.10299999999995</v>
      </c>
      <c r="E45" s="6" t="s">
        <v>29</v>
      </c>
    </row>
    <row r="46" spans="1:5" x14ac:dyDescent="0.4">
      <c r="A46" s="6" t="s">
        <v>28</v>
      </c>
      <c r="B46" s="6" t="s">
        <v>20</v>
      </c>
      <c r="C46" s="7">
        <f>_xll.ciqfunctions.udf.CIQ($B$1,"IQ_NI","IQ_FY-7")</f>
        <v>-135.643</v>
      </c>
      <c r="D46" s="8">
        <f t="shared" si="1"/>
        <v>-135.643</v>
      </c>
      <c r="E46" s="6" t="s">
        <v>29</v>
      </c>
    </row>
    <row r="47" spans="1:5" x14ac:dyDescent="0.4">
      <c r="A47" s="6" t="s">
        <v>28</v>
      </c>
      <c r="B47" s="6" t="s">
        <v>21</v>
      </c>
      <c r="C47" s="7">
        <f>_xll.ciqfunctions.udf.CIQ($B$1,"IQ_NI","IQ_FY-8")</f>
        <v>536.95600000000002</v>
      </c>
      <c r="D47" s="8">
        <f t="shared" si="1"/>
        <v>536.95600000000002</v>
      </c>
      <c r="E47" s="6" t="s">
        <v>29</v>
      </c>
    </row>
    <row r="48" spans="1:5" x14ac:dyDescent="0.4">
      <c r="A48" s="6" t="s">
        <v>28</v>
      </c>
      <c r="B48" s="6" t="s">
        <v>22</v>
      </c>
      <c r="C48" s="7">
        <f>_xll.ciqfunctions.udf.CIQ($B$1,"IQ_NI","IQ_FY-9")</f>
        <v>-128.14599999999999</v>
      </c>
      <c r="D48" s="8">
        <f t="shared" si="1"/>
        <v>-128.14599999999999</v>
      </c>
      <c r="E48" s="6" t="s">
        <v>29</v>
      </c>
    </row>
    <row r="49" spans="1:5" x14ac:dyDescent="0.4">
      <c r="A49" s="6" t="s">
        <v>28</v>
      </c>
      <c r="B49" s="6" t="s">
        <v>23</v>
      </c>
      <c r="C49" s="7">
        <f>_xll.ciqfunctions.udf.CIQ($B$1,"IQ_NI","IQ_FY-10")</f>
        <v>828.71500000000003</v>
      </c>
      <c r="D49" s="8">
        <f t="shared" si="1"/>
        <v>828.71500000000003</v>
      </c>
      <c r="E49" s="6" t="s">
        <v>29</v>
      </c>
    </row>
    <row r="50" spans="1:5" x14ac:dyDescent="0.4">
      <c r="A50" s="6" t="s">
        <v>30</v>
      </c>
      <c r="B50" s="6" t="s">
        <v>12</v>
      </c>
      <c r="C50" s="7">
        <f>ABS(_xll.ciqfunctions.udf.CIQ($B$1,"IQ_INTEREST_EXP","IQ_FY-0"))</f>
        <v>293.59500000000003</v>
      </c>
      <c r="D50" s="8">
        <f t="shared" si="1"/>
        <v>293.59500000000003</v>
      </c>
      <c r="E50" s="6" t="s">
        <v>31</v>
      </c>
    </row>
    <row r="51" spans="1:5" x14ac:dyDescent="0.4">
      <c r="A51" s="6" t="s">
        <v>30</v>
      </c>
      <c r="B51" s="6" t="s">
        <v>14</v>
      </c>
      <c r="C51" s="7">
        <f>ABS(_xll.ciqfunctions.udf.CIQ($B$1,"IQ_INTEREST_EXP","IQ_FY-1"))</f>
        <v>275.20299999999997</v>
      </c>
      <c r="D51" s="8">
        <f t="shared" si="1"/>
        <v>275.20299999999997</v>
      </c>
      <c r="E51" s="6" t="s">
        <v>31</v>
      </c>
    </row>
    <row r="52" spans="1:5" x14ac:dyDescent="0.4">
      <c r="A52" s="6" t="s">
        <v>30</v>
      </c>
      <c r="B52" s="6" t="s">
        <v>15</v>
      </c>
      <c r="C52" s="7">
        <f>ABS(_xll.ciqfunctions.udf.CIQ($B$1,"IQ_INTEREST_EXP","IQ_FY-2"))</f>
        <v>316.11200000000002</v>
      </c>
      <c r="D52" s="8">
        <f t="shared" si="1"/>
        <v>316.11200000000002</v>
      </c>
      <c r="E52" s="6" t="s">
        <v>31</v>
      </c>
    </row>
    <row r="53" spans="1:5" x14ac:dyDescent="0.4">
      <c r="A53" s="6" t="s">
        <v>30</v>
      </c>
      <c r="B53" s="6" t="s">
        <v>16</v>
      </c>
      <c r="C53" s="7">
        <f>ABS(_xll.ciqfunctions.udf.CIQ($B$1,"IQ_INTEREST_EXP","IQ_FY-3"))</f>
        <v>258.553</v>
      </c>
      <c r="D53" s="8">
        <f t="shared" si="1"/>
        <v>258.553</v>
      </c>
      <c r="E53" s="6" t="s">
        <v>31</v>
      </c>
    </row>
    <row r="54" spans="1:5" x14ac:dyDescent="0.4">
      <c r="A54" s="6" t="s">
        <v>30</v>
      </c>
      <c r="B54" s="6" t="s">
        <v>17</v>
      </c>
      <c r="C54" s="7">
        <f>ABS(_xll.ciqfunctions.udf.CIQ($B$1,"IQ_INTEREST_EXP","IQ_FY-4"))</f>
        <v>267.01499999999999</v>
      </c>
      <c r="D54" s="8">
        <f t="shared" si="1"/>
        <v>267.01499999999999</v>
      </c>
      <c r="E54" s="6" t="s">
        <v>31</v>
      </c>
    </row>
    <row r="55" spans="1:5" x14ac:dyDescent="0.4">
      <c r="A55" s="6" t="s">
        <v>30</v>
      </c>
      <c r="B55" s="6" t="s">
        <v>18</v>
      </c>
      <c r="C55" s="7">
        <f>ABS(_xll.ciqfunctions.udf.CIQ($B$1,"IQ_INTEREST_EXP","IQ_FY-5"))</f>
        <v>261.702</v>
      </c>
      <c r="D55" s="8">
        <f t="shared" si="1"/>
        <v>261.702</v>
      </c>
      <c r="E55" s="6" t="s">
        <v>31</v>
      </c>
    </row>
    <row r="56" spans="1:5" x14ac:dyDescent="0.4">
      <c r="A56" s="6" t="s">
        <v>30</v>
      </c>
      <c r="B56" s="6" t="s">
        <v>19</v>
      </c>
      <c r="C56" s="7">
        <f>ABS(_xll.ciqfunctions.udf.CIQ($B$1,"IQ_INTEREST_EXP","IQ_FY-6"))</f>
        <v>237.398</v>
      </c>
      <c r="D56" s="8">
        <f t="shared" si="1"/>
        <v>237.398</v>
      </c>
      <c r="E56" s="6" t="s">
        <v>31</v>
      </c>
    </row>
    <row r="57" spans="1:5" x14ac:dyDescent="0.4">
      <c r="A57" s="6" t="s">
        <v>30</v>
      </c>
      <c r="B57" s="6" t="s">
        <v>20</v>
      </c>
      <c r="C57" s="7">
        <f>ABS(_xll.ciqfunctions.udf.CIQ($B$1,"IQ_INTEREST_EXP","IQ_FY-7"))</f>
        <v>187.304</v>
      </c>
      <c r="D57" s="8">
        <f t="shared" si="1"/>
        <v>187.304</v>
      </c>
      <c r="E57" s="6" t="s">
        <v>31</v>
      </c>
    </row>
    <row r="58" spans="1:5" x14ac:dyDescent="0.4">
      <c r="A58" s="6" t="s">
        <v>30</v>
      </c>
      <c r="B58" s="6" t="s">
        <v>21</v>
      </c>
      <c r="C58" s="7">
        <f>ABS(_xll.ciqfunctions.udf.CIQ($B$1,"IQ_INTEREST_EXP","IQ_FY-8"))</f>
        <v>198.215</v>
      </c>
      <c r="D58" s="8">
        <f t="shared" si="1"/>
        <v>198.215</v>
      </c>
      <c r="E58" s="6" t="s">
        <v>31</v>
      </c>
    </row>
    <row r="59" spans="1:5" x14ac:dyDescent="0.4">
      <c r="A59" s="6" t="s">
        <v>30</v>
      </c>
      <c r="B59" s="6" t="s">
        <v>22</v>
      </c>
      <c r="C59" s="7">
        <f>ABS(_xll.ciqfunctions.udf.CIQ($B$1,"IQ_INTEREST_EXP","IQ_FY-9"))</f>
        <v>178.61799999999999</v>
      </c>
      <c r="D59" s="8">
        <f t="shared" si="1"/>
        <v>178.61799999999999</v>
      </c>
      <c r="E59" s="6" t="s">
        <v>31</v>
      </c>
    </row>
    <row r="60" spans="1:5" x14ac:dyDescent="0.4">
      <c r="A60" s="6" t="s">
        <v>30</v>
      </c>
      <c r="B60" s="6" t="s">
        <v>23</v>
      </c>
      <c r="C60" s="7">
        <f>ABS(_xll.ciqfunctions.udf.CIQ($B$1,"IQ_INTEREST_EXP","IQ_FY-10"))</f>
        <v>117.25</v>
      </c>
      <c r="D60" s="8">
        <f t="shared" si="1"/>
        <v>117.25</v>
      </c>
      <c r="E60" s="6" t="s">
        <v>31</v>
      </c>
    </row>
    <row r="61" spans="1:5" x14ac:dyDescent="0.4">
      <c r="A61" s="6" t="s">
        <v>32</v>
      </c>
      <c r="B61" s="6" t="s">
        <v>12</v>
      </c>
      <c r="C61" s="7">
        <f>ABS(_xll.ciqfunctions.udf.CIQ($B$1,"IQ_DA_CF","IQ_FY-0"))</f>
        <v>1168.806</v>
      </c>
      <c r="D61" s="8">
        <f t="shared" si="1"/>
        <v>1168.806</v>
      </c>
      <c r="E61" s="6" t="s">
        <v>33</v>
      </c>
    </row>
    <row r="62" spans="1:5" x14ac:dyDescent="0.4">
      <c r="A62" s="6" t="s">
        <v>32</v>
      </c>
      <c r="B62" s="6" t="s">
        <v>14</v>
      </c>
      <c r="C62" s="7">
        <f>ABS(_xll.ciqfunctions.udf.CIQ($B$1,"IQ_DA_CF","IQ_FY-1"))</f>
        <v>1185.7090000000001</v>
      </c>
      <c r="D62" s="8">
        <f t="shared" si="1"/>
        <v>1185.7090000000001</v>
      </c>
      <c r="E62" s="6" t="s">
        <v>33</v>
      </c>
    </row>
    <row r="63" spans="1:5" x14ac:dyDescent="0.4">
      <c r="A63" s="6" t="s">
        <v>32</v>
      </c>
      <c r="B63" s="6" t="s">
        <v>15</v>
      </c>
      <c r="C63" s="7">
        <f>ABS(_xll.ciqfunctions.udf.CIQ($B$1,"IQ_DA_CF","IQ_FY-2"))</f>
        <v>1115.6980000000001</v>
      </c>
      <c r="D63" s="8">
        <f t="shared" si="1"/>
        <v>1115.6980000000001</v>
      </c>
      <c r="E63" s="6" t="s">
        <v>33</v>
      </c>
    </row>
    <row r="64" spans="1:5" x14ac:dyDescent="0.4">
      <c r="A64" s="6" t="s">
        <v>32</v>
      </c>
      <c r="B64" s="6" t="s">
        <v>16</v>
      </c>
      <c r="C64" s="7">
        <f>ABS(_xll.ciqfunctions.udf.CIQ($B$1,"IQ_DA_CF","IQ_FY-3"))</f>
        <v>1046.3240000000001</v>
      </c>
      <c r="D64" s="8">
        <f t="shared" si="1"/>
        <v>1046.3240000000001</v>
      </c>
      <c r="E64" s="6" t="s">
        <v>33</v>
      </c>
    </row>
    <row r="65" spans="1:5" x14ac:dyDescent="0.4">
      <c r="A65" s="6" t="s">
        <v>32</v>
      </c>
      <c r="B65" s="6" t="s">
        <v>17</v>
      </c>
      <c r="C65" s="7">
        <f>ABS(_xll.ciqfunctions.udf.CIQ($B$1,"IQ_DA_CF","IQ_FY-4"))</f>
        <v>869.23199999999997</v>
      </c>
      <c r="D65" s="8">
        <f t="shared" si="1"/>
        <v>869.23199999999997</v>
      </c>
      <c r="E65" s="6" t="s">
        <v>33</v>
      </c>
    </row>
    <row r="66" spans="1:5" x14ac:dyDescent="0.4">
      <c r="A66" s="6" t="s">
        <v>32</v>
      </c>
      <c r="B66" s="6" t="s">
        <v>18</v>
      </c>
      <c r="C66" s="7">
        <f>ABS(_xll.ciqfunctions.udf.CIQ($B$1,"IQ_DA_CF","IQ_FY-5"))</f>
        <v>817.798</v>
      </c>
      <c r="D66" s="8">
        <f t="shared" si="1"/>
        <v>817.798</v>
      </c>
      <c r="E66" s="6" t="s">
        <v>33</v>
      </c>
    </row>
    <row r="67" spans="1:5" x14ac:dyDescent="0.4">
      <c r="A67" s="6" t="s">
        <v>32</v>
      </c>
      <c r="B67" s="6" t="s">
        <v>19</v>
      </c>
      <c r="C67" s="7">
        <f>ABS(_xll.ciqfunctions.udf.CIQ($B$1,"IQ_DA_CF","IQ_FY-6"))</f>
        <v>666.48199999999997</v>
      </c>
      <c r="D67" s="8">
        <f t="shared" si="1"/>
        <v>666.48199999999997</v>
      </c>
      <c r="E67" s="6" t="s">
        <v>33</v>
      </c>
    </row>
    <row r="68" spans="1:5" x14ac:dyDescent="0.4">
      <c r="A68" s="6" t="s">
        <v>32</v>
      </c>
      <c r="B68" s="6" t="s">
        <v>20</v>
      </c>
      <c r="C68" s="7">
        <f>ABS(_xll.ciqfunctions.udf.CIQ($B$1,"IQ_DA_CF","IQ_FY-7"))</f>
        <v>643.37300000000005</v>
      </c>
      <c r="D68" s="8">
        <f t="shared" si="1"/>
        <v>643.37300000000005</v>
      </c>
      <c r="E68" s="6" t="s">
        <v>33</v>
      </c>
    </row>
    <row r="69" spans="1:5" x14ac:dyDescent="0.4">
      <c r="A69" s="6" t="s">
        <v>32</v>
      </c>
      <c r="B69" s="6" t="s">
        <v>21</v>
      </c>
      <c r="C69" s="7">
        <f>ABS(_xll.ciqfunctions.udf.CIQ($B$1,"IQ_DA_CF","IQ_FY-8"))</f>
        <v>599.83600000000001</v>
      </c>
      <c r="D69" s="8">
        <f t="shared" si="1"/>
        <v>599.83600000000001</v>
      </c>
      <c r="E69" s="6" t="s">
        <v>33</v>
      </c>
    </row>
    <row r="70" spans="1:5" x14ac:dyDescent="0.4">
      <c r="A70" s="6" t="s">
        <v>32</v>
      </c>
      <c r="B70" s="6" t="s">
        <v>22</v>
      </c>
      <c r="C70" s="7">
        <f>ABS(_xll.ciqfunctions.udf.CIQ($B$1,"IQ_DA_CF","IQ_FY-9"))</f>
        <v>635.90599999999995</v>
      </c>
      <c r="D70" s="8">
        <f t="shared" ref="D70:D101" si="2">C70</f>
        <v>635.90599999999995</v>
      </c>
      <c r="E70" s="6" t="s">
        <v>33</v>
      </c>
    </row>
    <row r="71" spans="1:5" x14ac:dyDescent="0.4">
      <c r="A71" s="6" t="s">
        <v>32</v>
      </c>
      <c r="B71" s="6" t="s">
        <v>23</v>
      </c>
      <c r="C71" s="7">
        <f>ABS(_xll.ciqfunctions.udf.CIQ($B$1,"IQ_DA_CF","IQ_FY-10"))</f>
        <v>417.298</v>
      </c>
      <c r="D71" s="8">
        <f t="shared" si="2"/>
        <v>417.298</v>
      </c>
      <c r="E71" s="6" t="s">
        <v>33</v>
      </c>
    </row>
    <row r="72" spans="1:5" x14ac:dyDescent="0.4">
      <c r="A72" s="6" t="s">
        <v>34</v>
      </c>
      <c r="B72" s="6" t="s">
        <v>12</v>
      </c>
      <c r="C72" s="7">
        <f>_xll.ciqfunctions.udf.CIQ($B$1,"IQ_RD_EXP","IQ_FY-0")</f>
        <v>2288.2040000000002</v>
      </c>
      <c r="D72" s="8">
        <f t="shared" si="2"/>
        <v>2288.2040000000002</v>
      </c>
      <c r="E72" s="6" t="s">
        <v>35</v>
      </c>
    </row>
    <row r="73" spans="1:5" x14ac:dyDescent="0.4">
      <c r="A73" s="6" t="s">
        <v>34</v>
      </c>
      <c r="B73" s="6" t="s">
        <v>14</v>
      </c>
      <c r="C73" s="7">
        <f>_xll.ciqfunctions.udf.CIQ($B$1,"IQ_RD_EXP","IQ_FY-1")</f>
        <v>2027.5319999999999</v>
      </c>
      <c r="D73" s="8">
        <f t="shared" si="2"/>
        <v>2027.5319999999999</v>
      </c>
      <c r="E73" s="6" t="s">
        <v>35</v>
      </c>
    </row>
    <row r="74" spans="1:5" x14ac:dyDescent="0.4">
      <c r="A74" s="6" t="s">
        <v>34</v>
      </c>
      <c r="B74" s="6" t="s">
        <v>15</v>
      </c>
      <c r="C74" s="7">
        <f>_xll.ciqfunctions.udf.CIQ($B$1,"IQ_RD_EXP","IQ_FY-2")</f>
        <v>2195.3290000000002</v>
      </c>
      <c r="D74" s="8">
        <f t="shared" si="2"/>
        <v>2195.3290000000002</v>
      </c>
      <c r="E74" s="6" t="s">
        <v>35</v>
      </c>
    </row>
    <row r="75" spans="1:5" x14ac:dyDescent="0.4">
      <c r="A75" s="6" t="s">
        <v>34</v>
      </c>
      <c r="B75" s="6" t="s">
        <v>16</v>
      </c>
      <c r="C75" s="7">
        <f>_xll.ciqfunctions.udf.CIQ($B$1,"IQ_RD_EXP","IQ_FY-3")</f>
        <v>2073.4609999999998</v>
      </c>
      <c r="D75" s="8">
        <f t="shared" si="2"/>
        <v>2073.4609999999998</v>
      </c>
      <c r="E75" s="6" t="s">
        <v>35</v>
      </c>
    </row>
    <row r="76" spans="1:5" x14ac:dyDescent="0.4">
      <c r="A76" s="6" t="s">
        <v>34</v>
      </c>
      <c r="B76" s="6" t="s">
        <v>17</v>
      </c>
      <c r="C76" s="7">
        <f>_xll.ciqfunctions.udf.CIQ($B$1,"IQ_RD_EXP","IQ_FY-4")</f>
        <v>1453.912</v>
      </c>
      <c r="D76" s="8">
        <f t="shared" si="2"/>
        <v>1453.912</v>
      </c>
      <c r="E76" s="6" t="s">
        <v>35</v>
      </c>
    </row>
    <row r="77" spans="1:5" x14ac:dyDescent="0.4">
      <c r="A77" s="6" t="s">
        <v>34</v>
      </c>
      <c r="B77" s="6" t="s">
        <v>18</v>
      </c>
      <c r="C77" s="7">
        <f>_xll.ciqfunctions.udf.CIQ($B$1,"IQ_RD_EXP","IQ_FY-5")</f>
        <v>1335.7439999999999</v>
      </c>
      <c r="D77" s="8">
        <f t="shared" si="2"/>
        <v>1335.7439999999999</v>
      </c>
      <c r="E77" s="6" t="s">
        <v>35</v>
      </c>
    </row>
    <row r="78" spans="1:5" x14ac:dyDescent="0.4">
      <c r="A78" s="6" t="s">
        <v>34</v>
      </c>
      <c r="B78" s="6" t="s">
        <v>19</v>
      </c>
      <c r="C78" s="7">
        <f>_xll.ciqfunctions.udf.CIQ($B$1,"IQ_RD_EXP","IQ_FY-6")</f>
        <v>1266.3409999999999</v>
      </c>
      <c r="D78" s="8">
        <f t="shared" si="2"/>
        <v>1266.3409999999999</v>
      </c>
      <c r="E78" s="6" t="s">
        <v>35</v>
      </c>
    </row>
    <row r="79" spans="1:5" x14ac:dyDescent="0.4">
      <c r="A79" s="6" t="s">
        <v>34</v>
      </c>
      <c r="B79" s="6" t="s">
        <v>20</v>
      </c>
      <c r="C79" s="7">
        <f>_xll.ciqfunctions.udf.CIQ($B$1,"IQ_RD_EXP","IQ_FY-7")</f>
        <v>1273.729</v>
      </c>
      <c r="D79" s="8">
        <f t="shared" si="2"/>
        <v>1273.729</v>
      </c>
      <c r="E79" s="6" t="s">
        <v>35</v>
      </c>
    </row>
    <row r="80" spans="1:5" x14ac:dyDescent="0.4">
      <c r="A80" s="6" t="s">
        <v>34</v>
      </c>
      <c r="B80" s="6" t="s">
        <v>21</v>
      </c>
      <c r="C80" s="7">
        <f>_xll.ciqfunctions.udf.CIQ($B$1,"IQ_RD_EXP","IQ_FY-8")</f>
        <v>1361.691</v>
      </c>
      <c r="D80" s="8">
        <f t="shared" si="2"/>
        <v>1361.691</v>
      </c>
      <c r="E80" s="6" t="s">
        <v>35</v>
      </c>
    </row>
    <row r="81" spans="1:5" x14ac:dyDescent="0.4">
      <c r="A81" s="6" t="s">
        <v>34</v>
      </c>
      <c r="B81" s="6" t="s">
        <v>22</v>
      </c>
      <c r="C81" s="7">
        <f>_xll.ciqfunctions.udf.CIQ($B$1,"IQ_RD_EXP","IQ_FY-9")</f>
        <v>1491.37</v>
      </c>
      <c r="D81" s="8">
        <f t="shared" si="2"/>
        <v>1491.37</v>
      </c>
      <c r="E81" s="6" t="s">
        <v>35</v>
      </c>
    </row>
    <row r="82" spans="1:5" x14ac:dyDescent="0.4">
      <c r="A82" s="6" t="s">
        <v>34</v>
      </c>
      <c r="B82" s="6" t="s">
        <v>23</v>
      </c>
      <c r="C82" s="7">
        <f>_xll.ciqfunctions.udf.CIQ($B$1,"IQ_RD_EXP","IQ_FY-10")</f>
        <v>1220.9190000000001</v>
      </c>
      <c r="D82" s="8">
        <f t="shared" si="2"/>
        <v>1220.9190000000001</v>
      </c>
      <c r="E82" s="6" t="s">
        <v>35</v>
      </c>
    </row>
    <row r="83" spans="1:5" x14ac:dyDescent="0.4">
      <c r="A83" s="6" t="s">
        <v>36</v>
      </c>
      <c r="B83" s="6" t="s">
        <v>12</v>
      </c>
      <c r="C83" s="7">
        <f>ABS(_xll.ciqfunctions.udf.CIQ($B$1,"IQ_CAPEX","IQ_FY-0"))</f>
        <v>666.47799999999995</v>
      </c>
      <c r="D83" s="8">
        <f t="shared" si="2"/>
        <v>666.47799999999995</v>
      </c>
      <c r="E83" s="6" t="s">
        <v>37</v>
      </c>
    </row>
    <row r="84" spans="1:5" x14ac:dyDescent="0.4">
      <c r="A84" s="6" t="s">
        <v>36</v>
      </c>
      <c r="B84" s="6" t="s">
        <v>14</v>
      </c>
      <c r="C84" s="7">
        <f>ABS(_xll.ciqfunctions.udf.CIQ($B$1,"IQ_CAPEX","IQ_FY-1"))</f>
        <v>729.77700000000004</v>
      </c>
      <c r="D84" s="8">
        <f t="shared" si="2"/>
        <v>729.77700000000004</v>
      </c>
      <c r="E84" s="6" t="s">
        <v>37</v>
      </c>
    </row>
    <row r="85" spans="1:5" x14ac:dyDescent="0.4">
      <c r="A85" s="6" t="s">
        <v>36</v>
      </c>
      <c r="B85" s="6" t="s">
        <v>15</v>
      </c>
      <c r="C85" s="7">
        <f>ABS(_xll.ciqfunctions.udf.CIQ($B$1,"IQ_CAPEX","IQ_FY-2"))</f>
        <v>1117.0619999999999</v>
      </c>
      <c r="D85" s="8">
        <f t="shared" si="2"/>
        <v>1117.0619999999999</v>
      </c>
      <c r="E85" s="6" t="s">
        <v>37</v>
      </c>
    </row>
    <row r="86" spans="1:5" x14ac:dyDescent="0.4">
      <c r="A86" s="6" t="s">
        <v>36</v>
      </c>
      <c r="B86" s="6" t="s">
        <v>16</v>
      </c>
      <c r="C86" s="7">
        <f>ABS(_xll.ciqfunctions.udf.CIQ($B$1,"IQ_CAPEX","IQ_FY-3"))</f>
        <v>998.30399999999997</v>
      </c>
      <c r="D86" s="8">
        <f t="shared" si="2"/>
        <v>998.30399999999997</v>
      </c>
      <c r="E86" s="6" t="s">
        <v>37</v>
      </c>
    </row>
    <row r="87" spans="1:5" x14ac:dyDescent="0.4">
      <c r="A87" s="6" t="s">
        <v>36</v>
      </c>
      <c r="B87" s="6" t="s">
        <v>17</v>
      </c>
      <c r="C87" s="7">
        <f>ABS(_xll.ciqfunctions.udf.CIQ($B$1,"IQ_CAPEX","IQ_FY-4"))</f>
        <v>697.00400000000002</v>
      </c>
      <c r="D87" s="8">
        <f t="shared" si="2"/>
        <v>697.00400000000002</v>
      </c>
      <c r="E87" s="6" t="s">
        <v>37</v>
      </c>
    </row>
    <row r="88" spans="1:5" x14ac:dyDescent="0.4">
      <c r="A88" s="6" t="s">
        <v>36</v>
      </c>
      <c r="B88" s="6" t="s">
        <v>18</v>
      </c>
      <c r="C88" s="7">
        <f>ABS(_xll.ciqfunctions.udf.CIQ($B$1,"IQ_CAPEX","IQ_FY-5"))</f>
        <v>664.21500000000003</v>
      </c>
      <c r="D88" s="8">
        <f t="shared" si="2"/>
        <v>664.21500000000003</v>
      </c>
      <c r="E88" s="6" t="s">
        <v>37</v>
      </c>
    </row>
    <row r="89" spans="1:5" x14ac:dyDescent="0.4">
      <c r="A89" s="6" t="s">
        <v>36</v>
      </c>
      <c r="B89" s="6" t="s">
        <v>19</v>
      </c>
      <c r="C89" s="7">
        <f>ABS(_xll.ciqfunctions.udf.CIQ($B$1,"IQ_CAPEX","IQ_FY-6"))</f>
        <v>537.72699999999998</v>
      </c>
      <c r="D89" s="8">
        <f t="shared" si="2"/>
        <v>537.72699999999998</v>
      </c>
      <c r="E89" s="6" t="s">
        <v>37</v>
      </c>
    </row>
    <row r="90" spans="1:5" x14ac:dyDescent="0.4">
      <c r="A90" s="6" t="s">
        <v>36</v>
      </c>
      <c r="B90" s="6" t="s">
        <v>20</v>
      </c>
      <c r="C90" s="7">
        <f>ABS(_xll.ciqfunctions.udf.CIQ($B$1,"IQ_CAPEX","IQ_FY-7"))</f>
        <v>503.29599999999999</v>
      </c>
      <c r="D90" s="8">
        <f t="shared" si="2"/>
        <v>503.29599999999999</v>
      </c>
      <c r="E90" s="6" t="s">
        <v>37</v>
      </c>
    </row>
    <row r="91" spans="1:5" x14ac:dyDescent="0.4">
      <c r="A91" s="6" t="s">
        <v>36</v>
      </c>
      <c r="B91" s="6" t="s">
        <v>21</v>
      </c>
      <c r="C91" s="7">
        <f>ABS(_xll.ciqfunctions.udf.CIQ($B$1,"IQ_CAPEX","IQ_FY-8"))</f>
        <v>463.55799999999999</v>
      </c>
      <c r="D91" s="8">
        <f t="shared" si="2"/>
        <v>463.55799999999999</v>
      </c>
      <c r="E91" s="6" t="s">
        <v>37</v>
      </c>
    </row>
    <row r="92" spans="1:5" x14ac:dyDescent="0.4">
      <c r="A92" s="6" t="s">
        <v>36</v>
      </c>
      <c r="B92" s="6" t="s">
        <v>22</v>
      </c>
      <c r="C92" s="7">
        <f>ABS(_xll.ciqfunctions.udf.CIQ($B$1,"IQ_CAPEX","IQ_FY-9"))</f>
        <v>603.81600000000003</v>
      </c>
      <c r="D92" s="8">
        <f t="shared" si="2"/>
        <v>603.81600000000003</v>
      </c>
      <c r="E92" s="6" t="s">
        <v>37</v>
      </c>
    </row>
    <row r="93" spans="1:5" x14ac:dyDescent="0.4">
      <c r="A93" s="6" t="s">
        <v>36</v>
      </c>
      <c r="B93" s="6" t="s">
        <v>23</v>
      </c>
      <c r="C93" s="7">
        <f>ABS(_xll.ciqfunctions.udf.CIQ($B$1,"IQ_CAPEX","IQ_FY-10"))</f>
        <v>606.10500000000002</v>
      </c>
      <c r="D93" s="8">
        <f t="shared" si="2"/>
        <v>606.10500000000002</v>
      </c>
      <c r="E93" s="6" t="s">
        <v>37</v>
      </c>
    </row>
    <row r="94" spans="1:5" x14ac:dyDescent="0.4">
      <c r="A94" s="6" t="s">
        <v>38</v>
      </c>
      <c r="B94" s="6" t="s">
        <v>12</v>
      </c>
      <c r="C94" s="7">
        <f>ABS(_xll.ciqfunctions.udf.CIQ($B$1,"IQ_OPERATING_LEASE_PAYMENTS","IQ_FY-0"))</f>
        <v>121.071</v>
      </c>
      <c r="D94" s="8">
        <f t="shared" si="2"/>
        <v>121.071</v>
      </c>
      <c r="E94" s="6" t="s">
        <v>39</v>
      </c>
    </row>
    <row r="95" spans="1:5" x14ac:dyDescent="0.4">
      <c r="A95" s="6" t="s">
        <v>38</v>
      </c>
      <c r="B95" s="6" t="s">
        <v>14</v>
      </c>
      <c r="C95" s="7">
        <f>ABS(_xll.ciqfunctions.udf.CIQ($B$1,"IQ_OPERATING_LEASE_PAYMENTS","IQ_FY-1"))</f>
        <v>134.54499999999999</v>
      </c>
      <c r="D95" s="8">
        <f t="shared" si="2"/>
        <v>134.54499999999999</v>
      </c>
      <c r="E95" s="6" t="s">
        <v>39</v>
      </c>
    </row>
    <row r="96" spans="1:5" x14ac:dyDescent="0.4">
      <c r="A96" s="6" t="s">
        <v>38</v>
      </c>
      <c r="B96" s="6" t="s">
        <v>15</v>
      </c>
      <c r="C96" s="7">
        <f>ABS(_xll.ciqfunctions.udf.CIQ($B$1,"IQ_OPERATING_LEASE_PAYMENTS","IQ_FY-2"))</f>
        <v>168.63800000000001</v>
      </c>
      <c r="D96" s="8">
        <f t="shared" si="2"/>
        <v>168.63800000000001</v>
      </c>
      <c r="E96" s="6" t="s">
        <v>39</v>
      </c>
    </row>
    <row r="97" spans="1:5" x14ac:dyDescent="0.4">
      <c r="A97" s="6" t="s">
        <v>38</v>
      </c>
      <c r="B97" s="6" t="s">
        <v>16</v>
      </c>
      <c r="C97" s="7">
        <f>ABS(_xll.ciqfunctions.udf.CIQ($B$1,"IQ_OPERATING_LEASE_PAYMENTS","IQ_FY-3"))</f>
        <v>146.48500000000001</v>
      </c>
      <c r="D97" s="8">
        <f t="shared" si="2"/>
        <v>146.48500000000001</v>
      </c>
      <c r="E97" s="6" t="s">
        <v>39</v>
      </c>
    </row>
    <row r="98" spans="1:5" x14ac:dyDescent="0.4">
      <c r="A98" s="6" t="s">
        <v>38</v>
      </c>
      <c r="B98" s="6" t="s">
        <v>17</v>
      </c>
      <c r="C98" s="7">
        <f>ABS(_xll.ciqfunctions.udf.CIQ($B$1,"IQ_OPERATING_LEASE_PAYMENTS","IQ_FY-4"))</f>
        <v>165.15</v>
      </c>
      <c r="D98" s="8">
        <f t="shared" si="2"/>
        <v>165.15</v>
      </c>
      <c r="E98" s="6" t="s">
        <v>39</v>
      </c>
    </row>
    <row r="99" spans="1:5" x14ac:dyDescent="0.4">
      <c r="A99" s="6" t="s">
        <v>38</v>
      </c>
      <c r="B99" s="6" t="s">
        <v>18</v>
      </c>
      <c r="C99" s="7">
        <f>ABS(_xll.ciqfunctions.udf.CIQ($B$1,"IQ_OPERATING_LEASE_PAYMENTS","IQ_FY-5"))</f>
        <v>130.99299999999999</v>
      </c>
      <c r="D99" s="8">
        <f t="shared" si="2"/>
        <v>130.99299999999999</v>
      </c>
      <c r="E99" s="6" t="s">
        <v>39</v>
      </c>
    </row>
    <row r="100" spans="1:5" x14ac:dyDescent="0.4">
      <c r="A100" s="6" t="s">
        <v>38</v>
      </c>
      <c r="B100" s="6" t="s">
        <v>19</v>
      </c>
      <c r="C100" s="7">
        <f>ABS(_xll.ciqfunctions.udf.CIQ($B$1,"IQ_OPERATING_LEASE_PAYMENTS","IQ_FY-6"))</f>
        <v>0</v>
      </c>
      <c r="D100" s="8">
        <f t="shared" si="2"/>
        <v>0</v>
      </c>
      <c r="E100" s="6" t="s">
        <v>39</v>
      </c>
    </row>
    <row r="101" spans="1:5" x14ac:dyDescent="0.4">
      <c r="A101" s="6" t="s">
        <v>38</v>
      </c>
      <c r="B101" s="6" t="s">
        <v>20</v>
      </c>
      <c r="C101" s="7">
        <f>ABS(_xll.ciqfunctions.udf.CIQ($B$1,"IQ_OPERATING_LEASE_PAYMENTS","IQ_FY-7"))</f>
        <v>0</v>
      </c>
      <c r="D101" s="8">
        <f t="shared" si="2"/>
        <v>0</v>
      </c>
      <c r="E101" s="6" t="s">
        <v>39</v>
      </c>
    </row>
    <row r="102" spans="1:5" x14ac:dyDescent="0.4">
      <c r="A102" s="6" t="s">
        <v>38</v>
      </c>
      <c r="B102" s="6" t="s">
        <v>21</v>
      </c>
      <c r="C102" s="7">
        <f>ABS(_xll.ciqfunctions.udf.CIQ($B$1,"IQ_OPERATING_LEASE_PAYMENTS","IQ_FY-8"))</f>
        <v>0</v>
      </c>
      <c r="D102" s="8">
        <f t="shared" ref="D102:D126" si="3">C102</f>
        <v>0</v>
      </c>
      <c r="E102" s="6" t="s">
        <v>39</v>
      </c>
    </row>
    <row r="103" spans="1:5" x14ac:dyDescent="0.4">
      <c r="A103" s="6" t="s">
        <v>38</v>
      </c>
      <c r="B103" s="6" t="s">
        <v>22</v>
      </c>
      <c r="C103" s="7">
        <f>ABS(_xll.ciqfunctions.udf.CIQ($B$1,"IQ_OPERATING_LEASE_PAYMENTS","IQ_FY-9"))</f>
        <v>0</v>
      </c>
      <c r="D103" s="8">
        <f t="shared" si="3"/>
        <v>0</v>
      </c>
      <c r="E103" s="6" t="s">
        <v>39</v>
      </c>
    </row>
    <row r="104" spans="1:5" x14ac:dyDescent="0.4">
      <c r="A104" s="6" t="s">
        <v>38</v>
      </c>
      <c r="B104" s="6" t="s">
        <v>23</v>
      </c>
      <c r="C104" s="7">
        <f>ABS(_xll.ciqfunctions.udf.CIQ($B$1,"IQ_OPERATING_LEASE_PAYMENTS","IQ_FY-10"))</f>
        <v>0</v>
      </c>
      <c r="D104" s="8">
        <f t="shared" si="3"/>
        <v>0</v>
      </c>
      <c r="E104" s="6" t="s">
        <v>39</v>
      </c>
    </row>
    <row r="105" spans="1:5" x14ac:dyDescent="0.4">
      <c r="A105" s="6" t="s">
        <v>40</v>
      </c>
      <c r="B105" s="6" t="s">
        <v>12</v>
      </c>
      <c r="C105" s="7">
        <f>_xll.ciqfunctions.udf.CIQ($B$1,"IQ_EBT_EXCL","IQ_FY-0")</f>
        <v>1484.4659999999999</v>
      </c>
      <c r="D105" s="8">
        <f t="shared" si="3"/>
        <v>1484.4659999999999</v>
      </c>
      <c r="E105" s="6" t="s">
        <v>41</v>
      </c>
    </row>
    <row r="106" spans="1:5" x14ac:dyDescent="0.4">
      <c r="A106" s="6" t="s">
        <v>40</v>
      </c>
      <c r="B106" s="6" t="s">
        <v>14</v>
      </c>
      <c r="C106" s="7">
        <f>_xll.ciqfunctions.udf.CIQ($B$1,"IQ_EBT_EXCL","IQ_FY-1")</f>
        <v>1364.8720000000001</v>
      </c>
      <c r="D106" s="8">
        <f t="shared" si="3"/>
        <v>1364.8720000000001</v>
      </c>
      <c r="E106" s="6" t="s">
        <v>41</v>
      </c>
    </row>
    <row r="107" spans="1:5" x14ac:dyDescent="0.4">
      <c r="A107" s="6" t="s">
        <v>40</v>
      </c>
      <c r="B107" s="6" t="s">
        <v>15</v>
      </c>
      <c r="C107" s="7">
        <f>_xll.ciqfunctions.udf.CIQ($B$1,"IQ_EBT_EXCL","IQ_FY-2")</f>
        <v>2136.0230000000001</v>
      </c>
      <c r="D107" s="8">
        <f t="shared" si="3"/>
        <v>2136.0230000000001</v>
      </c>
      <c r="E107" s="6" t="s">
        <v>41</v>
      </c>
    </row>
    <row r="108" spans="1:5" x14ac:dyDescent="0.4">
      <c r="A108" s="6" t="s">
        <v>40</v>
      </c>
      <c r="B108" s="6" t="s">
        <v>16</v>
      </c>
      <c r="C108" s="7">
        <f>_xll.ciqfunctions.udf.CIQ($B$1,"IQ_EBT_EXCL","IQ_FY-3")</f>
        <v>2769.9960000000001</v>
      </c>
      <c r="D108" s="8">
        <f t="shared" si="3"/>
        <v>2769.9960000000001</v>
      </c>
      <c r="E108" s="6" t="s">
        <v>41</v>
      </c>
    </row>
    <row r="109" spans="1:5" x14ac:dyDescent="0.4">
      <c r="A109" s="6" t="s">
        <v>40</v>
      </c>
      <c r="B109" s="6" t="s">
        <v>17</v>
      </c>
      <c r="C109" s="7">
        <f>_xll.ciqfunctions.udf.CIQ($B$1,"IQ_EBT_EXCL","IQ_FY-4")</f>
        <v>1664.194</v>
      </c>
      <c r="D109" s="8">
        <f t="shared" si="3"/>
        <v>1664.194</v>
      </c>
      <c r="E109" s="6" t="s">
        <v>41</v>
      </c>
    </row>
    <row r="110" spans="1:5" x14ac:dyDescent="0.4">
      <c r="A110" s="6" t="s">
        <v>40</v>
      </c>
      <c r="B110" s="6" t="s">
        <v>18</v>
      </c>
      <c r="C110" s="7">
        <f>_xll.ciqfunctions.udf.CIQ($B$1,"IQ_EBT_EXCL","IQ_FY-5")</f>
        <v>1029.174</v>
      </c>
      <c r="D110" s="8">
        <f t="shared" si="3"/>
        <v>1029.174</v>
      </c>
      <c r="E110" s="6" t="s">
        <v>41</v>
      </c>
    </row>
    <row r="111" spans="1:5" x14ac:dyDescent="0.4">
      <c r="A111" s="6" t="s">
        <v>40</v>
      </c>
      <c r="B111" s="6" t="s">
        <v>19</v>
      </c>
      <c r="C111" s="7">
        <f>_xll.ciqfunctions.udf.CIQ($B$1,"IQ_EBT_EXCL","IQ_FY-6")</f>
        <v>861.63400000000001</v>
      </c>
      <c r="D111" s="8">
        <f t="shared" si="3"/>
        <v>861.63400000000001</v>
      </c>
      <c r="E111" s="6" t="s">
        <v>41</v>
      </c>
    </row>
    <row r="112" spans="1:5" x14ac:dyDescent="0.4">
      <c r="A112" s="6" t="s">
        <v>40</v>
      </c>
      <c r="B112" s="6" t="s">
        <v>20</v>
      </c>
      <c r="C112" s="7">
        <f>_xll.ciqfunctions.udf.CIQ($B$1,"IQ_EBT_EXCL","IQ_FY-7")</f>
        <v>203.04</v>
      </c>
      <c r="D112" s="8">
        <f t="shared" si="3"/>
        <v>203.04</v>
      </c>
      <c r="E112" s="6" t="s">
        <v>41</v>
      </c>
    </row>
    <row r="113" spans="1:5" x14ac:dyDescent="0.4">
      <c r="A113" s="6" t="s">
        <v>40</v>
      </c>
      <c r="B113" s="6" t="s">
        <v>21</v>
      </c>
      <c r="C113" s="7">
        <f>_xll.ciqfunctions.udf.CIQ($B$1,"IQ_EBT_EXCL","IQ_FY-8")</f>
        <v>302.666</v>
      </c>
      <c r="D113" s="8">
        <f t="shared" si="3"/>
        <v>302.666</v>
      </c>
      <c r="E113" s="6" t="s">
        <v>41</v>
      </c>
    </row>
    <row r="114" spans="1:5" x14ac:dyDescent="0.4">
      <c r="A114" s="6" t="s">
        <v>40</v>
      </c>
      <c r="B114" s="6" t="s">
        <v>22</v>
      </c>
      <c r="C114" s="7">
        <f>_xll.ciqfunctions.udf.CIQ($B$1,"IQ_EBT_EXCL","IQ_FY-9")</f>
        <v>311.82799999999997</v>
      </c>
      <c r="D114" s="8">
        <f t="shared" si="3"/>
        <v>311.82799999999997</v>
      </c>
      <c r="E114" s="6" t="s">
        <v>41</v>
      </c>
    </row>
    <row r="115" spans="1:5" x14ac:dyDescent="0.4">
      <c r="A115" s="6" t="s">
        <v>40</v>
      </c>
      <c r="B115" s="6" t="s">
        <v>23</v>
      </c>
      <c r="C115" s="7">
        <f>_xll.ciqfunctions.udf.CIQ($B$1,"IQ_EBT_EXCL","IQ_FY-10")</f>
        <v>969.94399999999996</v>
      </c>
      <c r="D115" s="8">
        <f t="shared" si="3"/>
        <v>969.94399999999996</v>
      </c>
      <c r="E115" s="6" t="s">
        <v>41</v>
      </c>
    </row>
    <row r="116" spans="1:5" x14ac:dyDescent="0.4">
      <c r="A116" s="6" t="s">
        <v>42</v>
      </c>
      <c r="B116" s="6" t="s">
        <v>12</v>
      </c>
      <c r="C116" s="7">
        <f>_xll.ciqfunctions.udf.CIQ($B$1,"IQ_INC_TAX","IQ_FY-0")</f>
        <v>18.917999999999999</v>
      </c>
      <c r="D116" s="8">
        <f t="shared" si="3"/>
        <v>18.917999999999999</v>
      </c>
      <c r="E116" s="6" t="s">
        <v>43</v>
      </c>
    </row>
    <row r="117" spans="1:5" x14ac:dyDescent="0.4">
      <c r="A117" s="6" t="s">
        <v>42</v>
      </c>
      <c r="B117" s="6" t="s">
        <v>14</v>
      </c>
      <c r="C117" s="7">
        <f>_xll.ciqfunctions.udf.CIQ($B$1,"IQ_INC_TAX","IQ_FY-1")</f>
        <v>263.142</v>
      </c>
      <c r="D117" s="8">
        <f t="shared" si="3"/>
        <v>263.142</v>
      </c>
      <c r="E117" s="6" t="s">
        <v>43</v>
      </c>
    </row>
    <row r="118" spans="1:5" x14ac:dyDescent="0.4">
      <c r="A118" s="6" t="s">
        <v>42</v>
      </c>
      <c r="B118" s="6" t="s">
        <v>15</v>
      </c>
      <c r="C118" s="7">
        <f>_xll.ciqfunctions.udf.CIQ($B$1,"IQ_INC_TAX","IQ_FY-2")</f>
        <v>455.15600000000001</v>
      </c>
      <c r="D118" s="8">
        <f t="shared" si="3"/>
        <v>455.15600000000001</v>
      </c>
      <c r="E118" s="6" t="s">
        <v>43</v>
      </c>
    </row>
    <row r="119" spans="1:5" x14ac:dyDescent="0.4">
      <c r="A119" s="6" t="s">
        <v>42</v>
      </c>
      <c r="B119" s="6" t="s">
        <v>16</v>
      </c>
      <c r="C119" s="7">
        <f>_xll.ciqfunctions.udf.CIQ($B$1,"IQ_INC_TAX","IQ_FY-3")</f>
        <v>622.399</v>
      </c>
      <c r="D119" s="8">
        <f t="shared" si="3"/>
        <v>622.399</v>
      </c>
      <c r="E119" s="6" t="s">
        <v>43</v>
      </c>
    </row>
    <row r="120" spans="1:5" x14ac:dyDescent="0.4">
      <c r="A120" s="6" t="s">
        <v>42</v>
      </c>
      <c r="B120" s="6" t="s">
        <v>17</v>
      </c>
      <c r="C120" s="7">
        <f>_xll.ciqfunctions.udf.CIQ($B$1,"IQ_INC_TAX","IQ_FY-4")</f>
        <v>461.19900000000001</v>
      </c>
      <c r="D120" s="8">
        <f t="shared" si="3"/>
        <v>461.19900000000001</v>
      </c>
      <c r="E120" s="6" t="s">
        <v>43</v>
      </c>
    </row>
    <row r="121" spans="1:5" x14ac:dyDescent="0.4">
      <c r="A121" s="6" t="s">
        <v>42</v>
      </c>
      <c r="B121" s="6" t="s">
        <v>18</v>
      </c>
      <c r="C121" s="7">
        <f>_xll.ciqfunctions.udf.CIQ($B$1,"IQ_INC_TAX","IQ_FY-5")</f>
        <v>213.20400000000001</v>
      </c>
      <c r="D121" s="8">
        <f t="shared" si="3"/>
        <v>213.20400000000001</v>
      </c>
      <c r="E121" s="6" t="s">
        <v>43</v>
      </c>
    </row>
    <row r="122" spans="1:5" x14ac:dyDescent="0.4">
      <c r="A122" s="6" t="s">
        <v>42</v>
      </c>
      <c r="B122" s="6" t="s">
        <v>19</v>
      </c>
      <c r="C122" s="7">
        <f>_xll.ciqfunctions.udf.CIQ($B$1,"IQ_INC_TAX","IQ_FY-6")</f>
        <v>199.46</v>
      </c>
      <c r="D122" s="8">
        <f t="shared" si="3"/>
        <v>199.46</v>
      </c>
      <c r="E122" s="6" t="s">
        <v>43</v>
      </c>
    </row>
    <row r="123" spans="1:5" x14ac:dyDescent="0.4">
      <c r="A123" s="6" t="s">
        <v>42</v>
      </c>
      <c r="B123" s="6" t="s">
        <v>20</v>
      </c>
      <c r="C123" s="7">
        <f>_xll.ciqfunctions.udf.CIQ($B$1,"IQ_INC_TAX","IQ_FY-7")</f>
        <v>279.97699999999998</v>
      </c>
      <c r="D123" s="8">
        <f t="shared" si="3"/>
        <v>279.97699999999998</v>
      </c>
      <c r="E123" s="6" t="s">
        <v>43</v>
      </c>
    </row>
    <row r="124" spans="1:5" x14ac:dyDescent="0.4">
      <c r="A124" s="6" t="s">
        <v>42</v>
      </c>
      <c r="B124" s="6" t="s">
        <v>21</v>
      </c>
      <c r="C124" s="7">
        <f>_xll.ciqfunctions.udf.CIQ($B$1,"IQ_INC_TAX","IQ_FY-8")</f>
        <v>-40.514000000000003</v>
      </c>
      <c r="D124" s="8">
        <f t="shared" si="3"/>
        <v>-40.514000000000003</v>
      </c>
      <c r="E124" s="6" t="s">
        <v>43</v>
      </c>
    </row>
    <row r="125" spans="1:5" x14ac:dyDescent="0.4">
      <c r="A125" s="6" t="s">
        <v>42</v>
      </c>
      <c r="B125" s="6" t="s">
        <v>22</v>
      </c>
      <c r="C125" s="7">
        <f>_xll.ciqfunctions.udf.CIQ($B$1,"IQ_INC_TAX","IQ_FY-9")</f>
        <v>-132.27600000000001</v>
      </c>
      <c r="D125" s="8">
        <f t="shared" si="3"/>
        <v>-132.27600000000001</v>
      </c>
      <c r="E125" s="6" t="s">
        <v>43</v>
      </c>
    </row>
    <row r="126" spans="1:5" x14ac:dyDescent="0.4">
      <c r="A126" s="6" t="s">
        <v>42</v>
      </c>
      <c r="B126" s="6" t="s">
        <v>23</v>
      </c>
      <c r="C126" s="7">
        <f>_xll.ciqfunctions.udf.CIQ($B$1,"IQ_INC_TAX","IQ_FY-10")</f>
        <v>134.364</v>
      </c>
      <c r="D126" s="8">
        <f t="shared" si="3"/>
        <v>134.364</v>
      </c>
      <c r="E126" s="6" t="s">
        <v>43</v>
      </c>
    </row>
    <row r="127" spans="1:5" x14ac:dyDescent="0.4">
      <c r="A127" s="9" t="s">
        <v>44</v>
      </c>
      <c r="B127" s="10"/>
      <c r="C127" s="10"/>
      <c r="D127" s="10"/>
      <c r="E127" s="10"/>
    </row>
    <row r="128" spans="1:5" x14ac:dyDescent="0.4">
      <c r="A128" s="6" t="s">
        <v>11</v>
      </c>
      <c r="B128" s="6" t="s">
        <v>45</v>
      </c>
      <c r="C128" s="7">
        <f>_xll.ciqfunctions.udf.CIQ($B$1,"IQ_TOTAL_REV","IQ_FQ-0")</f>
        <v>22204.333999999999</v>
      </c>
      <c r="D128" s="8">
        <f t="shared" ref="D128:D171" si="4">C128</f>
        <v>22204.333999999999</v>
      </c>
      <c r="E128" s="6" t="s">
        <v>13</v>
      </c>
    </row>
    <row r="129" spans="1:5" x14ac:dyDescent="0.4">
      <c r="A129" s="6" t="s">
        <v>11</v>
      </c>
      <c r="B129" s="6" t="s">
        <v>46</v>
      </c>
      <c r="C129" s="7">
        <f>_xll.ciqfunctions.udf.CIQ($B$1,"IQ_TOTAL_REV","IQ_FQ-1")</f>
        <v>20452.022000000001</v>
      </c>
      <c r="D129" s="8">
        <f t="shared" si="4"/>
        <v>20452.022000000001</v>
      </c>
      <c r="E129" s="6" t="s">
        <v>13</v>
      </c>
    </row>
    <row r="130" spans="1:5" x14ac:dyDescent="0.4">
      <c r="A130" s="6" t="s">
        <v>11</v>
      </c>
      <c r="B130" s="6" t="s">
        <v>47</v>
      </c>
      <c r="C130" s="7">
        <f>_xll.ciqfunctions.udf.CIQ($B$1,"IQ_TOTAL_REV","IQ_FQ-2")</f>
        <v>18830</v>
      </c>
      <c r="D130" s="8">
        <f t="shared" si="4"/>
        <v>18830</v>
      </c>
      <c r="E130" s="6" t="s">
        <v>13</v>
      </c>
    </row>
    <row r="131" spans="1:5" x14ac:dyDescent="0.4">
      <c r="A131" s="6" t="s">
        <v>11</v>
      </c>
      <c r="B131" s="6" t="s">
        <v>48</v>
      </c>
      <c r="C131" s="7">
        <f>_xll.ciqfunctions.udf.CIQ($B$1,"IQ_TOTAL_REV","IQ_FQ-3")</f>
        <v>16983.538</v>
      </c>
      <c r="D131" s="8">
        <f t="shared" si="4"/>
        <v>16983.538</v>
      </c>
      <c r="E131" s="6" t="s">
        <v>13</v>
      </c>
    </row>
    <row r="132" spans="1:5" x14ac:dyDescent="0.4">
      <c r="A132" s="6" t="s">
        <v>24</v>
      </c>
      <c r="B132" s="6" t="s">
        <v>45</v>
      </c>
      <c r="C132" s="7">
        <f>_xll.ciqfunctions.udf.CIQ($B$1,"IQ_EBIT","IQ_FQ-0")</f>
        <v>948.45799999999997</v>
      </c>
      <c r="D132" s="8">
        <f t="shared" si="4"/>
        <v>948.45799999999997</v>
      </c>
      <c r="E132" s="6" t="s">
        <v>25</v>
      </c>
    </row>
    <row r="133" spans="1:5" x14ac:dyDescent="0.4">
      <c r="A133" s="6" t="s">
        <v>24</v>
      </c>
      <c r="B133" s="6" t="s">
        <v>46</v>
      </c>
      <c r="C133" s="7">
        <f>_xll.ciqfunctions.udf.CIQ($B$1,"IQ_EBIT","IQ_FQ-1")</f>
        <v>642.92100000000005</v>
      </c>
      <c r="D133" s="8">
        <f t="shared" si="4"/>
        <v>642.92100000000005</v>
      </c>
      <c r="E133" s="6" t="s">
        <v>25</v>
      </c>
    </row>
    <row r="134" spans="1:5" x14ac:dyDescent="0.4">
      <c r="A134" s="6" t="s">
        <v>24</v>
      </c>
      <c r="B134" s="6" t="s">
        <v>47</v>
      </c>
      <c r="C134" s="7">
        <f>_xll.ciqfunctions.udf.CIQ($B$1,"IQ_EBIT","IQ_FQ-2")</f>
        <v>785</v>
      </c>
      <c r="D134" s="8">
        <f t="shared" si="4"/>
        <v>785</v>
      </c>
      <c r="E134" s="6" t="s">
        <v>25</v>
      </c>
    </row>
    <row r="135" spans="1:5" x14ac:dyDescent="0.4">
      <c r="A135" s="6" t="s">
        <v>24</v>
      </c>
      <c r="B135" s="6" t="s">
        <v>48</v>
      </c>
      <c r="C135" s="7">
        <f>_xll.ciqfunctions.udf.CIQ($B$1,"IQ_EBIT","IQ_FQ-3")</f>
        <v>174.13</v>
      </c>
      <c r="D135" s="8">
        <f t="shared" si="4"/>
        <v>174.13</v>
      </c>
      <c r="E135" s="6" t="s">
        <v>25</v>
      </c>
    </row>
    <row r="136" spans="1:5" x14ac:dyDescent="0.4">
      <c r="A136" s="6" t="s">
        <v>26</v>
      </c>
      <c r="B136" s="6" t="s">
        <v>45</v>
      </c>
      <c r="C136" s="7">
        <f>_xll.ciqfunctions.udf.CIQ($B$1,"IQ_EBITDA","IQ_FQ-0")</f>
        <v>1246.0350000000001</v>
      </c>
      <c r="D136" s="8">
        <f t="shared" si="4"/>
        <v>1246.0350000000001</v>
      </c>
      <c r="E136" s="6" t="s">
        <v>27</v>
      </c>
    </row>
    <row r="137" spans="1:5" x14ac:dyDescent="0.4">
      <c r="A137" s="6" t="s">
        <v>26</v>
      </c>
      <c r="B137" s="6" t="s">
        <v>46</v>
      </c>
      <c r="C137" s="7">
        <f>_xll.ciqfunctions.udf.CIQ($B$1,"IQ_EBITDA","IQ_FQ-1")</f>
        <v>909.64700000000005</v>
      </c>
      <c r="D137" s="8">
        <f t="shared" si="4"/>
        <v>909.64700000000005</v>
      </c>
      <c r="E137" s="6" t="s">
        <v>27</v>
      </c>
    </row>
    <row r="138" spans="1:5" x14ac:dyDescent="0.4">
      <c r="A138" s="6" t="s">
        <v>26</v>
      </c>
      <c r="B138" s="6" t="s">
        <v>47</v>
      </c>
      <c r="C138" s="7">
        <f>_xll.ciqfunctions.udf.CIQ($B$1,"IQ_EBITDA","IQ_FQ-2")</f>
        <v>1048.2102500000001</v>
      </c>
      <c r="D138" s="8">
        <f t="shared" si="4"/>
        <v>1048.2102500000001</v>
      </c>
      <c r="E138" s="6" t="s">
        <v>27</v>
      </c>
    </row>
    <row r="139" spans="1:5" x14ac:dyDescent="0.4">
      <c r="A139" s="6" t="s">
        <v>26</v>
      </c>
      <c r="B139" s="6" t="s">
        <v>48</v>
      </c>
      <c r="C139" s="7">
        <f>_xll.ciqfunctions.udf.CIQ($B$1,"IQ_EBITDA","IQ_FQ-3")</f>
        <v>419.10599999999999</v>
      </c>
      <c r="D139" s="8">
        <f t="shared" si="4"/>
        <v>419.10599999999999</v>
      </c>
      <c r="E139" s="6" t="s">
        <v>27</v>
      </c>
    </row>
    <row r="140" spans="1:5" x14ac:dyDescent="0.4">
      <c r="A140" s="6" t="s">
        <v>28</v>
      </c>
      <c r="B140" s="6" t="s">
        <v>45</v>
      </c>
      <c r="C140" s="7">
        <f>_xll.ciqfunctions.udf.CIQ($B$1,"IQ_NI","IQ_FQ-0")</f>
        <v>545.53599999999994</v>
      </c>
      <c r="D140" s="8">
        <f t="shared" si="4"/>
        <v>545.53599999999994</v>
      </c>
      <c r="E140" s="6" t="s">
        <v>29</v>
      </c>
    </row>
    <row r="141" spans="1:5" x14ac:dyDescent="0.4">
      <c r="A141" s="6" t="s">
        <v>28</v>
      </c>
      <c r="B141" s="6" t="s">
        <v>46</v>
      </c>
      <c r="C141" s="7">
        <f>_xll.ciqfunctions.udf.CIQ($B$1,"IQ_NI","IQ_FQ-1")</f>
        <v>340.27600000000001</v>
      </c>
      <c r="D141" s="8">
        <f t="shared" si="4"/>
        <v>340.27600000000001</v>
      </c>
      <c r="E141" s="6" t="s">
        <v>29</v>
      </c>
    </row>
    <row r="142" spans="1:5" x14ac:dyDescent="0.4">
      <c r="A142" s="6" t="s">
        <v>28</v>
      </c>
      <c r="B142" s="6" t="s">
        <v>47</v>
      </c>
      <c r="C142" s="7">
        <f>_xll.ciqfunctions.udf.CIQ($B$1,"IQ_NI","IQ_FQ-2")</f>
        <v>505</v>
      </c>
      <c r="D142" s="8">
        <f t="shared" si="4"/>
        <v>505</v>
      </c>
      <c r="E142" s="6" t="s">
        <v>29</v>
      </c>
    </row>
    <row r="143" spans="1:5" x14ac:dyDescent="0.4">
      <c r="A143" s="6" t="s">
        <v>28</v>
      </c>
      <c r="B143" s="6" t="s">
        <v>48</v>
      </c>
      <c r="C143" s="7">
        <f>_xll.ciqfunctions.udf.CIQ($B$1,"IQ_NI","IQ_FQ-3")</f>
        <v>89.878</v>
      </c>
      <c r="D143" s="8">
        <f t="shared" si="4"/>
        <v>89.878</v>
      </c>
      <c r="E143" s="6" t="s">
        <v>29</v>
      </c>
    </row>
    <row r="144" spans="1:5" x14ac:dyDescent="0.4">
      <c r="A144" s="6" t="s">
        <v>30</v>
      </c>
      <c r="B144" s="6" t="s">
        <v>45</v>
      </c>
      <c r="C144" s="7">
        <f>ABS(_xll.ciqfunctions.udf.CIQ($B$1,"IQ_INTEREST_EXP","IQ_FQ-0"))</f>
        <v>80.861000000000004</v>
      </c>
      <c r="D144" s="8">
        <f t="shared" si="4"/>
        <v>80.861000000000004</v>
      </c>
      <c r="E144" s="6" t="s">
        <v>31</v>
      </c>
    </row>
    <row r="145" spans="1:5" x14ac:dyDescent="0.4">
      <c r="A145" s="6" t="s">
        <v>30</v>
      </c>
      <c r="B145" s="6" t="s">
        <v>46</v>
      </c>
      <c r="C145" s="7">
        <f>ABS(_xll.ciqfunctions.udf.CIQ($B$1,"IQ_INTEREST_EXP","IQ_FQ-1"))</f>
        <v>74.632000000000005</v>
      </c>
      <c r="D145" s="8">
        <f t="shared" si="4"/>
        <v>74.632000000000005</v>
      </c>
      <c r="E145" s="6" t="s">
        <v>31</v>
      </c>
    </row>
    <row r="146" spans="1:5" x14ac:dyDescent="0.4">
      <c r="A146" s="6" t="s">
        <v>30</v>
      </c>
      <c r="B146" s="6" t="s">
        <v>47</v>
      </c>
      <c r="C146" s="7">
        <f>ABS(_xll.ciqfunctions.udf.CIQ($B$1,"IQ_INTEREST_EXP","IQ_FQ-2"))</f>
        <v>0</v>
      </c>
      <c r="D146" s="8">
        <f t="shared" si="4"/>
        <v>0</v>
      </c>
      <c r="E146" s="6" t="s">
        <v>31</v>
      </c>
    </row>
    <row r="147" spans="1:5" x14ac:dyDescent="0.4">
      <c r="A147" s="6" t="s">
        <v>30</v>
      </c>
      <c r="B147" s="6" t="s">
        <v>48</v>
      </c>
      <c r="C147" s="7">
        <f>ABS(_xll.ciqfunctions.udf.CIQ($B$1,"IQ_INTEREST_EXP","IQ_FQ-3"))</f>
        <v>82.807000000000002</v>
      </c>
      <c r="D147" s="8">
        <f t="shared" si="4"/>
        <v>82.807000000000002</v>
      </c>
      <c r="E147" s="6" t="s">
        <v>31</v>
      </c>
    </row>
    <row r="148" spans="1:5" x14ac:dyDescent="0.4">
      <c r="A148" s="6" t="s">
        <v>32</v>
      </c>
      <c r="B148" s="6" t="s">
        <v>45</v>
      </c>
      <c r="C148" s="7">
        <f>ABS(_xll.ciqfunctions.udf.CIQ($B$1,"IQ_DA_CF","IQ_FQ-0"))</f>
        <v>328.233</v>
      </c>
      <c r="D148" s="8">
        <f t="shared" si="4"/>
        <v>328.233</v>
      </c>
      <c r="E148" s="6" t="s">
        <v>33</v>
      </c>
    </row>
    <row r="149" spans="1:5" x14ac:dyDescent="0.4">
      <c r="A149" s="6" t="s">
        <v>32</v>
      </c>
      <c r="B149" s="6" t="s">
        <v>46</v>
      </c>
      <c r="C149" s="7">
        <f>ABS(_xll.ciqfunctions.udf.CIQ($B$1,"IQ_DA_CF","IQ_FQ-1"))</f>
        <v>0</v>
      </c>
      <c r="D149" s="8">
        <f t="shared" si="4"/>
        <v>0</v>
      </c>
      <c r="E149" s="6" t="s">
        <v>33</v>
      </c>
    </row>
    <row r="150" spans="1:5" x14ac:dyDescent="0.4">
      <c r="A150" s="6" t="s">
        <v>32</v>
      </c>
      <c r="B150" s="6" t="s">
        <v>47</v>
      </c>
      <c r="C150" s="7">
        <f>ABS(_xll.ciqfunctions.udf.CIQ($B$1,"IQ_DA_CF","IQ_FQ-2"))</f>
        <v>0</v>
      </c>
      <c r="D150" s="8">
        <f t="shared" si="4"/>
        <v>0</v>
      </c>
      <c r="E150" s="6" t="s">
        <v>33</v>
      </c>
    </row>
    <row r="151" spans="1:5" x14ac:dyDescent="0.4">
      <c r="A151" s="6" t="s">
        <v>32</v>
      </c>
      <c r="B151" s="6" t="s">
        <v>48</v>
      </c>
      <c r="C151" s="7">
        <f>ABS(_xll.ciqfunctions.udf.CIQ($B$1,"IQ_DA_CF","IQ_FQ-3"))</f>
        <v>273.76799999999997</v>
      </c>
      <c r="D151" s="8">
        <f t="shared" si="4"/>
        <v>273.76799999999997</v>
      </c>
      <c r="E151" s="6" t="s">
        <v>33</v>
      </c>
    </row>
    <row r="152" spans="1:5" x14ac:dyDescent="0.4">
      <c r="A152" s="6" t="s">
        <v>34</v>
      </c>
      <c r="B152" s="6" t="s">
        <v>45</v>
      </c>
      <c r="C152" s="7">
        <f>_xll.ciqfunctions.udf.CIQ($B$1,"IQ_RD_EXP","IQ_FQ-0")</f>
        <v>637.72699999999998</v>
      </c>
      <c r="D152" s="8">
        <f t="shared" si="4"/>
        <v>637.72699999999998</v>
      </c>
      <c r="E152" s="6" t="s">
        <v>35</v>
      </c>
    </row>
    <row r="153" spans="1:5" x14ac:dyDescent="0.4">
      <c r="A153" s="6" t="s">
        <v>34</v>
      </c>
      <c r="B153" s="6" t="s">
        <v>46</v>
      </c>
      <c r="C153" s="7">
        <f>_xll.ciqfunctions.udf.CIQ($B$1,"IQ_RD_EXP","IQ_FQ-1")</f>
        <v>580.58500000000004</v>
      </c>
      <c r="D153" s="8">
        <f t="shared" si="4"/>
        <v>580.58500000000004</v>
      </c>
      <c r="E153" s="6" t="s">
        <v>35</v>
      </c>
    </row>
    <row r="154" spans="1:5" x14ac:dyDescent="0.4">
      <c r="A154" s="6" t="s">
        <v>34</v>
      </c>
      <c r="B154" s="6" t="s">
        <v>47</v>
      </c>
      <c r="C154" s="7">
        <f>_xll.ciqfunctions.udf.CIQ($B$1,"IQ_RD_EXP","IQ_FQ-2")</f>
        <v>524</v>
      </c>
      <c r="D154" s="8">
        <f t="shared" si="4"/>
        <v>524</v>
      </c>
      <c r="E154" s="6" t="s">
        <v>35</v>
      </c>
    </row>
    <row r="155" spans="1:5" x14ac:dyDescent="0.4">
      <c r="A155" s="6" t="s">
        <v>34</v>
      </c>
      <c r="B155" s="6" t="s">
        <v>48</v>
      </c>
      <c r="C155" s="7">
        <f>_xll.ciqfunctions.udf.CIQ($B$1,"IQ_RD_EXP","IQ_FQ-3")</f>
        <v>643.89200000000005</v>
      </c>
      <c r="D155" s="8">
        <f t="shared" si="4"/>
        <v>643.89200000000005</v>
      </c>
      <c r="E155" s="6" t="s">
        <v>35</v>
      </c>
    </row>
    <row r="156" spans="1:5" x14ac:dyDescent="0.4">
      <c r="A156" s="6" t="s">
        <v>36</v>
      </c>
      <c r="B156" s="6" t="s">
        <v>45</v>
      </c>
      <c r="C156" s="7">
        <f>ABS(_xll.ciqfunctions.udf.CIQ($B$1,"IQ_CAPEX","IQ_FQ-0"))</f>
        <v>404.82499999999999</v>
      </c>
      <c r="D156" s="8">
        <f t="shared" si="4"/>
        <v>404.82499999999999</v>
      </c>
      <c r="E156" s="6" t="s">
        <v>37</v>
      </c>
    </row>
    <row r="157" spans="1:5" x14ac:dyDescent="0.4">
      <c r="A157" s="6" t="s">
        <v>36</v>
      </c>
      <c r="B157" s="6" t="s">
        <v>46</v>
      </c>
      <c r="C157" s="7">
        <f>ABS(_xll.ciqfunctions.udf.CIQ($B$1,"IQ_CAPEX","IQ_FQ-1"))</f>
        <v>0</v>
      </c>
      <c r="D157" s="8">
        <f t="shared" si="4"/>
        <v>0</v>
      </c>
      <c r="E157" s="6" t="s">
        <v>37</v>
      </c>
    </row>
    <row r="158" spans="1:5" x14ac:dyDescent="0.4">
      <c r="A158" s="6" t="s">
        <v>36</v>
      </c>
      <c r="B158" s="6" t="s">
        <v>47</v>
      </c>
      <c r="C158" s="7">
        <f>ABS(_xll.ciqfunctions.udf.CIQ($B$1,"IQ_CAPEX","IQ_FQ-2"))</f>
        <v>0</v>
      </c>
      <c r="D158" s="8">
        <f t="shared" si="4"/>
        <v>0</v>
      </c>
      <c r="E158" s="6" t="s">
        <v>37</v>
      </c>
    </row>
    <row r="159" spans="1:5" x14ac:dyDescent="0.4">
      <c r="A159" s="6" t="s">
        <v>36</v>
      </c>
      <c r="B159" s="6" t="s">
        <v>48</v>
      </c>
      <c r="C159" s="7">
        <f>ABS(_xll.ciqfunctions.udf.CIQ($B$1,"IQ_CAPEX","IQ_FQ-3"))</f>
        <v>185.381</v>
      </c>
      <c r="D159" s="8">
        <f t="shared" si="4"/>
        <v>185.381</v>
      </c>
      <c r="E159" s="6" t="s">
        <v>37</v>
      </c>
    </row>
    <row r="160" spans="1:5" x14ac:dyDescent="0.4">
      <c r="A160" s="6" t="s">
        <v>38</v>
      </c>
      <c r="B160" s="6" t="s">
        <v>45</v>
      </c>
      <c r="C160" s="7">
        <f>ABS(_xll.ciqfunctions.udf.CIQ($B$1,"IQ_OPERATING_LEASE_PAYMENTS","IQ_FQ-0"))</f>
        <v>26.53</v>
      </c>
      <c r="D160" s="8">
        <f t="shared" si="4"/>
        <v>26.53</v>
      </c>
      <c r="E160" s="6" t="s">
        <v>39</v>
      </c>
    </row>
    <row r="161" spans="1:5" x14ac:dyDescent="0.4">
      <c r="A161" s="6" t="s">
        <v>38</v>
      </c>
      <c r="B161" s="6" t="s">
        <v>46</v>
      </c>
      <c r="C161" s="7">
        <f>ABS(_xll.ciqfunctions.udf.CIQ($B$1,"IQ_OPERATING_LEASE_PAYMENTS","IQ_FQ-1"))</f>
        <v>0</v>
      </c>
      <c r="D161" s="8">
        <f t="shared" si="4"/>
        <v>0</v>
      </c>
      <c r="E161" s="6" t="s">
        <v>39</v>
      </c>
    </row>
    <row r="162" spans="1:5" x14ac:dyDescent="0.4">
      <c r="A162" s="6" t="s">
        <v>38</v>
      </c>
      <c r="B162" s="6" t="s">
        <v>47</v>
      </c>
      <c r="C162" s="7">
        <f>ABS(_xll.ciqfunctions.udf.CIQ($B$1,"IQ_OPERATING_LEASE_PAYMENTS","IQ_FQ-2"))</f>
        <v>0</v>
      </c>
      <c r="D162" s="8">
        <f t="shared" si="4"/>
        <v>0</v>
      </c>
      <c r="E162" s="6" t="s">
        <v>39</v>
      </c>
    </row>
    <row r="163" spans="1:5" x14ac:dyDescent="0.4">
      <c r="A163" s="6" t="s">
        <v>38</v>
      </c>
      <c r="B163" s="6" t="s">
        <v>48</v>
      </c>
      <c r="C163" s="7">
        <f>ABS(_xll.ciqfunctions.udf.CIQ($B$1,"IQ_OPERATING_LEASE_PAYMENTS","IQ_FQ-3"))</f>
        <v>29.135000000000002</v>
      </c>
      <c r="D163" s="8">
        <f t="shared" si="4"/>
        <v>29.135000000000002</v>
      </c>
      <c r="E163" s="6" t="s">
        <v>39</v>
      </c>
    </row>
    <row r="164" spans="1:5" x14ac:dyDescent="0.4">
      <c r="A164" s="6" t="s">
        <v>40</v>
      </c>
      <c r="B164" s="6" t="s">
        <v>45</v>
      </c>
      <c r="C164" s="7">
        <f>_xll.ciqfunctions.udf.CIQ($B$1,"IQ_EBT_EXCL","IQ_FQ-0")</f>
        <v>818.18499999999995</v>
      </c>
      <c r="D164" s="8">
        <f t="shared" si="4"/>
        <v>818.18499999999995</v>
      </c>
      <c r="E164" s="6" t="s">
        <v>41</v>
      </c>
    </row>
    <row r="165" spans="1:5" x14ac:dyDescent="0.4">
      <c r="A165" s="6" t="s">
        <v>40</v>
      </c>
      <c r="B165" s="6" t="s">
        <v>46</v>
      </c>
      <c r="C165" s="7">
        <f>_xll.ciqfunctions.udf.CIQ($B$1,"IQ_EBT_EXCL","IQ_FQ-1")</f>
        <v>494.28500000000003</v>
      </c>
      <c r="D165" s="8">
        <f t="shared" si="4"/>
        <v>494.28500000000003</v>
      </c>
      <c r="E165" s="6" t="s">
        <v>41</v>
      </c>
    </row>
    <row r="166" spans="1:5" x14ac:dyDescent="0.4">
      <c r="A166" s="6" t="s">
        <v>40</v>
      </c>
      <c r="B166" s="6" t="s">
        <v>47</v>
      </c>
      <c r="C166" s="7">
        <f>_xll.ciqfunctions.udf.CIQ($B$1,"IQ_EBT_EXCL","IQ_FQ-2")</f>
        <v>622</v>
      </c>
      <c r="D166" s="8">
        <f t="shared" si="4"/>
        <v>622</v>
      </c>
      <c r="E166" s="6" t="s">
        <v>41</v>
      </c>
    </row>
    <row r="167" spans="1:5" x14ac:dyDescent="0.4">
      <c r="A167" s="6" t="s">
        <v>40</v>
      </c>
      <c r="B167" s="6" t="s">
        <v>48</v>
      </c>
      <c r="C167" s="7">
        <f>_xll.ciqfunctions.udf.CIQ($B$1,"IQ_EBT_EXCL","IQ_FQ-3")</f>
        <v>181.29400000000001</v>
      </c>
      <c r="D167" s="8">
        <f t="shared" si="4"/>
        <v>181.29400000000001</v>
      </c>
      <c r="E167" s="6" t="s">
        <v>41</v>
      </c>
    </row>
    <row r="168" spans="1:5" x14ac:dyDescent="0.4">
      <c r="A168" s="6" t="s">
        <v>42</v>
      </c>
      <c r="B168" s="6" t="s">
        <v>45</v>
      </c>
      <c r="C168" s="7">
        <f>_xll.ciqfunctions.udf.CIQ($B$1,"IQ_INC_TAX","IQ_FQ-0")</f>
        <v>170.215</v>
      </c>
      <c r="D168" s="8">
        <f t="shared" si="4"/>
        <v>170.215</v>
      </c>
      <c r="E168" s="6" t="s">
        <v>43</v>
      </c>
    </row>
    <row r="169" spans="1:5" x14ac:dyDescent="0.4">
      <c r="A169" s="6" t="s">
        <v>42</v>
      </c>
      <c r="B169" s="6" t="s">
        <v>46</v>
      </c>
      <c r="C169" s="7">
        <f>_xll.ciqfunctions.udf.CIQ($B$1,"IQ_INC_TAX","IQ_FQ-1")</f>
        <v>113.99299999999999</v>
      </c>
      <c r="D169" s="8">
        <f t="shared" si="4"/>
        <v>113.99299999999999</v>
      </c>
      <c r="E169" s="6" t="s">
        <v>43</v>
      </c>
    </row>
    <row r="170" spans="1:5" x14ac:dyDescent="0.4">
      <c r="A170" s="6" t="s">
        <v>42</v>
      </c>
      <c r="B170" s="6" t="s">
        <v>47</v>
      </c>
      <c r="C170" s="7">
        <f>_xll.ciqfunctions.udf.CIQ($B$1,"IQ_INC_TAX","IQ_FQ-2")</f>
        <v>84</v>
      </c>
      <c r="D170" s="8">
        <f t="shared" si="4"/>
        <v>84</v>
      </c>
      <c r="E170" s="6" t="s">
        <v>43</v>
      </c>
    </row>
    <row r="171" spans="1:5" x14ac:dyDescent="0.4">
      <c r="A171" s="6" t="s">
        <v>42</v>
      </c>
      <c r="B171" s="6" t="s">
        <v>48</v>
      </c>
      <c r="C171" s="7">
        <f>_xll.ciqfunctions.udf.CIQ($B$1,"IQ_INC_TAX","IQ_FQ-3")</f>
        <v>53.28</v>
      </c>
      <c r="D171" s="8">
        <f t="shared" si="4"/>
        <v>53.28</v>
      </c>
      <c r="E171" s="6" t="s">
        <v>43</v>
      </c>
    </row>
    <row r="172" spans="1:5" x14ac:dyDescent="0.4">
      <c r="A172" s="9" t="s">
        <v>49</v>
      </c>
      <c r="B172" s="10"/>
      <c r="C172" s="10"/>
      <c r="D172" s="10"/>
      <c r="E172" s="10"/>
    </row>
    <row r="173" spans="1:5" x14ac:dyDescent="0.4">
      <c r="A173" s="6" t="s">
        <v>50</v>
      </c>
      <c r="B173" s="6" t="s">
        <v>12</v>
      </c>
      <c r="C173" s="7">
        <f>_xll.ciqfunctions.udf.CIQ($B$1,"IQ_CASH_EQUIV","IQ_FY-0")</f>
        <v>4728.1239999999998</v>
      </c>
      <c r="D173" s="8">
        <f t="shared" ref="D173:D204" si="5">C173</f>
        <v>4728.1239999999998</v>
      </c>
      <c r="E173" s="6" t="s">
        <v>51</v>
      </c>
    </row>
    <row r="174" spans="1:5" x14ac:dyDescent="0.4">
      <c r="A174" s="6" t="s">
        <v>50</v>
      </c>
      <c r="B174" s="6" t="s">
        <v>14</v>
      </c>
      <c r="C174" s="7">
        <f>_xll.ciqfunctions.udf.CIQ($B$1,"IQ_CASH_EQUIV","IQ_FY-1")</f>
        <v>3559.8310000000001</v>
      </c>
      <c r="D174" s="8">
        <f t="shared" si="5"/>
        <v>3559.8310000000001</v>
      </c>
      <c r="E174" s="6" t="s">
        <v>51</v>
      </c>
    </row>
    <row r="175" spans="1:5" x14ac:dyDescent="0.4">
      <c r="A175" s="6" t="s">
        <v>50</v>
      </c>
      <c r="B175" s="6" t="s">
        <v>15</v>
      </c>
      <c r="C175" s="7">
        <f>_xll.ciqfunctions.udf.CIQ($B$1,"IQ_CASH_EQUIV","IQ_FY-2")</f>
        <v>4250.085</v>
      </c>
      <c r="D175" s="8">
        <f t="shared" si="5"/>
        <v>4250.085</v>
      </c>
      <c r="E175" s="6" t="s">
        <v>51</v>
      </c>
    </row>
    <row r="176" spans="1:5" x14ac:dyDescent="0.4">
      <c r="A176" s="6" t="s">
        <v>50</v>
      </c>
      <c r="B176" s="6" t="s">
        <v>16</v>
      </c>
      <c r="C176" s="7">
        <f>_xll.ciqfunctions.udf.CIQ($B$1,"IQ_CASH_EQUIV","IQ_FY-3")</f>
        <v>3930.2869999999998</v>
      </c>
      <c r="D176" s="8">
        <f t="shared" si="5"/>
        <v>3930.2869999999998</v>
      </c>
      <c r="E176" s="6" t="s">
        <v>51</v>
      </c>
    </row>
    <row r="177" spans="1:5" x14ac:dyDescent="0.4">
      <c r="A177" s="6" t="s">
        <v>50</v>
      </c>
      <c r="B177" s="6" t="s">
        <v>17</v>
      </c>
      <c r="C177" s="7">
        <f>_xll.ciqfunctions.udf.CIQ($B$1,"IQ_CASH_EQUIV","IQ_FY-4")</f>
        <v>3068.3850000000002</v>
      </c>
      <c r="D177" s="8">
        <f t="shared" si="5"/>
        <v>3068.3850000000002</v>
      </c>
      <c r="E177" s="6" t="s">
        <v>51</v>
      </c>
    </row>
    <row r="178" spans="1:5" x14ac:dyDescent="0.4">
      <c r="A178" s="6" t="s">
        <v>50</v>
      </c>
      <c r="B178" s="6" t="s">
        <v>18</v>
      </c>
      <c r="C178" s="7">
        <f>_xll.ciqfunctions.udf.CIQ($B$1,"IQ_CASH_EQUIV","IQ_FY-5")</f>
        <v>3550.99</v>
      </c>
      <c r="D178" s="8">
        <f t="shared" si="5"/>
        <v>3550.99</v>
      </c>
      <c r="E178" s="6" t="s">
        <v>51</v>
      </c>
    </row>
    <row r="179" spans="1:5" x14ac:dyDescent="0.4">
      <c r="A179" s="6" t="s">
        <v>50</v>
      </c>
      <c r="B179" s="6" t="s">
        <v>19</v>
      </c>
      <c r="C179" s="7">
        <f>_xll.ciqfunctions.udf.CIQ($B$1,"IQ_CASH_EQUIV","IQ_FY-6")</f>
        <v>2662.8539999999998</v>
      </c>
      <c r="D179" s="8">
        <f t="shared" si="5"/>
        <v>2662.8539999999998</v>
      </c>
      <c r="E179" s="6" t="s">
        <v>51</v>
      </c>
    </row>
    <row r="180" spans="1:5" x14ac:dyDescent="0.4">
      <c r="A180" s="6" t="s">
        <v>50</v>
      </c>
      <c r="B180" s="6" t="s">
        <v>20</v>
      </c>
      <c r="C180" s="7">
        <f>_xll.ciqfunctions.udf.CIQ($B$1,"IQ_CASH_EQUIV","IQ_FY-7")</f>
        <v>1848.0170000000001</v>
      </c>
      <c r="D180" s="8">
        <f t="shared" si="5"/>
        <v>1848.0170000000001</v>
      </c>
      <c r="E180" s="6" t="s">
        <v>51</v>
      </c>
    </row>
    <row r="181" spans="1:5" x14ac:dyDescent="0.4">
      <c r="A181" s="6" t="s">
        <v>50</v>
      </c>
      <c r="B181" s="6" t="s">
        <v>21</v>
      </c>
      <c r="C181" s="7">
        <f>_xll.ciqfunctions.udf.CIQ($B$1,"IQ_CASH_EQUIV","IQ_FY-8")</f>
        <v>2754.5990000000002</v>
      </c>
      <c r="D181" s="8">
        <f t="shared" si="5"/>
        <v>2754.5990000000002</v>
      </c>
      <c r="E181" s="6" t="s">
        <v>51</v>
      </c>
    </row>
    <row r="182" spans="1:5" x14ac:dyDescent="0.4">
      <c r="A182" s="6" t="s">
        <v>50</v>
      </c>
      <c r="B182" s="6" t="s">
        <v>22</v>
      </c>
      <c r="C182" s="7">
        <f>_xll.ciqfunctions.udf.CIQ($B$1,"IQ_CASH_EQUIV","IQ_FY-9")</f>
        <v>1926.88</v>
      </c>
      <c r="D182" s="8">
        <f t="shared" si="5"/>
        <v>1926.88</v>
      </c>
      <c r="E182" s="6" t="s">
        <v>51</v>
      </c>
    </row>
    <row r="183" spans="1:5" x14ac:dyDescent="0.4">
      <c r="A183" s="6" t="s">
        <v>50</v>
      </c>
      <c r="B183" s="6" t="s">
        <v>23</v>
      </c>
      <c r="C183" s="7">
        <f>_xll.ciqfunctions.udf.CIQ($B$1,"IQ_CASH_EQUIV","IQ_FY-10")</f>
        <v>2855.223</v>
      </c>
      <c r="D183" s="8">
        <f t="shared" si="5"/>
        <v>2855.223</v>
      </c>
      <c r="E183" s="6" t="s">
        <v>51</v>
      </c>
    </row>
    <row r="184" spans="1:5" x14ac:dyDescent="0.4">
      <c r="A184" s="6" t="s">
        <v>52</v>
      </c>
      <c r="B184" s="6" t="s">
        <v>12</v>
      </c>
      <c r="C184" s="7">
        <f>_xll.ciqfunctions.udf.CIQ($B$1,"IQ_TOTAL_EQUITY","IQ_FY-0")</f>
        <v>6659.9170000000004</v>
      </c>
      <c r="D184" s="8">
        <f t="shared" si="5"/>
        <v>6659.9170000000004</v>
      </c>
      <c r="E184" s="6" t="s">
        <v>53</v>
      </c>
    </row>
    <row r="185" spans="1:5" x14ac:dyDescent="0.4">
      <c r="A185" s="6" t="s">
        <v>52</v>
      </c>
      <c r="B185" s="6" t="s">
        <v>14</v>
      </c>
      <c r="C185" s="7">
        <f>_xll.ciqfunctions.udf.CIQ($B$1,"IQ_TOTAL_EQUITY","IQ_FY-1")</f>
        <v>6081.1869999999999</v>
      </c>
      <c r="D185" s="8">
        <f t="shared" si="5"/>
        <v>6081.1869999999999</v>
      </c>
      <c r="E185" s="6" t="s">
        <v>53</v>
      </c>
    </row>
    <row r="186" spans="1:5" x14ac:dyDescent="0.4">
      <c r="A186" s="6" t="s">
        <v>52</v>
      </c>
      <c r="B186" s="6" t="s">
        <v>15</v>
      </c>
      <c r="C186" s="7">
        <f>_xll.ciqfunctions.udf.CIQ($B$1,"IQ_TOTAL_EQUITY","IQ_FY-2")</f>
        <v>6047.0209999999997</v>
      </c>
      <c r="D186" s="8">
        <f t="shared" si="5"/>
        <v>6047.0209999999997</v>
      </c>
      <c r="E186" s="6" t="s">
        <v>53</v>
      </c>
    </row>
    <row r="187" spans="1:5" x14ac:dyDescent="0.4">
      <c r="A187" s="6" t="s">
        <v>52</v>
      </c>
      <c r="B187" s="6" t="s">
        <v>16</v>
      </c>
      <c r="C187" s="7">
        <f>_xll.ciqfunctions.udf.CIQ($B$1,"IQ_TOTAL_EQUITY","IQ_FY-3")</f>
        <v>5394.701</v>
      </c>
      <c r="D187" s="8">
        <f t="shared" si="5"/>
        <v>5394.701</v>
      </c>
      <c r="E187" s="6" t="s">
        <v>53</v>
      </c>
    </row>
    <row r="188" spans="1:5" x14ac:dyDescent="0.4">
      <c r="A188" s="6" t="s">
        <v>52</v>
      </c>
      <c r="B188" s="6" t="s">
        <v>17</v>
      </c>
      <c r="C188" s="7">
        <f>_xll.ciqfunctions.udf.CIQ($B$1,"IQ_TOTAL_EQUITY","IQ_FY-4")</f>
        <v>3610.5329999999999</v>
      </c>
      <c r="D188" s="8">
        <f t="shared" si="5"/>
        <v>3610.5329999999999</v>
      </c>
      <c r="E188" s="6" t="s">
        <v>53</v>
      </c>
    </row>
    <row r="189" spans="1:5" x14ac:dyDescent="0.4">
      <c r="A189" s="6" t="s">
        <v>52</v>
      </c>
      <c r="B189" s="6" t="s">
        <v>18</v>
      </c>
      <c r="C189" s="7">
        <f>_xll.ciqfunctions.udf.CIQ($B$1,"IQ_TOTAL_EQUITY","IQ_FY-5")</f>
        <v>4059.2950000000001</v>
      </c>
      <c r="D189" s="8">
        <f t="shared" si="5"/>
        <v>4059.2950000000001</v>
      </c>
      <c r="E189" s="6" t="s">
        <v>53</v>
      </c>
    </row>
    <row r="190" spans="1:5" x14ac:dyDescent="0.4">
      <c r="A190" s="6" t="s">
        <v>52</v>
      </c>
      <c r="B190" s="6" t="s">
        <v>19</v>
      </c>
      <c r="C190" s="7">
        <f>_xll.ciqfunctions.udf.CIQ($B$1,"IQ_TOTAL_EQUITY","IQ_FY-6")</f>
        <v>4097.0630000000001</v>
      </c>
      <c r="D190" s="8">
        <f t="shared" si="5"/>
        <v>4097.0630000000001</v>
      </c>
      <c r="E190" s="6" t="s">
        <v>53</v>
      </c>
    </row>
    <row r="191" spans="1:5" x14ac:dyDescent="0.4">
      <c r="A191" s="6" t="s">
        <v>52</v>
      </c>
      <c r="B191" s="6" t="s">
        <v>20</v>
      </c>
      <c r="C191" s="7">
        <f>_xll.ciqfunctions.udf.CIQ($B$1,"IQ_TOTAL_EQUITY","IQ_FY-7")</f>
        <v>4545.9880000000003</v>
      </c>
      <c r="D191" s="8">
        <f t="shared" si="5"/>
        <v>4545.9880000000003</v>
      </c>
      <c r="E191" s="6" t="s">
        <v>53</v>
      </c>
    </row>
    <row r="192" spans="1:5" x14ac:dyDescent="0.4">
      <c r="A192" s="6" t="s">
        <v>52</v>
      </c>
      <c r="B192" s="6" t="s">
        <v>21</v>
      </c>
      <c r="C192" s="7">
        <f>_xll.ciqfunctions.udf.CIQ($B$1,"IQ_TOTAL_EQUITY","IQ_FY-8")</f>
        <v>4095.2220000000002</v>
      </c>
      <c r="D192" s="8">
        <f t="shared" si="5"/>
        <v>4095.2220000000002</v>
      </c>
      <c r="E192" s="6" t="s">
        <v>53</v>
      </c>
    </row>
    <row r="193" spans="1:5" x14ac:dyDescent="0.4">
      <c r="A193" s="6" t="s">
        <v>52</v>
      </c>
      <c r="B193" s="6" t="s">
        <v>22</v>
      </c>
      <c r="C193" s="7">
        <f>_xll.ciqfunctions.udf.CIQ($B$1,"IQ_TOTAL_EQUITY","IQ_FY-9")</f>
        <v>3026.2489999999998</v>
      </c>
      <c r="D193" s="8">
        <f t="shared" si="5"/>
        <v>3026.2489999999998</v>
      </c>
      <c r="E193" s="6" t="s">
        <v>53</v>
      </c>
    </row>
    <row r="194" spans="1:5" x14ac:dyDescent="0.4">
      <c r="A194" s="6" t="s">
        <v>52</v>
      </c>
      <c r="B194" s="6" t="s">
        <v>23</v>
      </c>
      <c r="C194" s="7">
        <f>_xll.ciqfunctions.udf.CIQ($B$1,"IQ_TOTAL_EQUITY","IQ_FY-10")</f>
        <v>4106.1210000000001</v>
      </c>
      <c r="D194" s="8">
        <f t="shared" si="5"/>
        <v>4106.1210000000001</v>
      </c>
      <c r="E194" s="6" t="s">
        <v>53</v>
      </c>
    </row>
    <row r="195" spans="1:5" x14ac:dyDescent="0.4">
      <c r="A195" s="6" t="s">
        <v>54</v>
      </c>
      <c r="B195" s="6" t="s">
        <v>12</v>
      </c>
      <c r="C195" s="7">
        <f>_xll.ciqfunctions.udf.CIQ($B$1,"IQ_TOTAL_DEBT","IQ_FY-0")</f>
        <v>5732.9579999999996</v>
      </c>
      <c r="D195" s="8">
        <f t="shared" si="5"/>
        <v>5732.9579999999996</v>
      </c>
      <c r="E195" s="6" t="s">
        <v>55</v>
      </c>
    </row>
    <row r="196" spans="1:5" x14ac:dyDescent="0.4">
      <c r="A196" s="6" t="s">
        <v>54</v>
      </c>
      <c r="B196" s="6" t="s">
        <v>14</v>
      </c>
      <c r="C196" s="7">
        <f>_xll.ciqfunctions.udf.CIQ($B$1,"IQ_TOTAL_DEBT","IQ_FY-1")</f>
        <v>3961.6889999999999</v>
      </c>
      <c r="D196" s="8">
        <f t="shared" si="5"/>
        <v>3961.6889999999999</v>
      </c>
      <c r="E196" s="6" t="s">
        <v>55</v>
      </c>
    </row>
    <row r="197" spans="1:5" x14ac:dyDescent="0.4">
      <c r="A197" s="6" t="s">
        <v>54</v>
      </c>
      <c r="B197" s="6" t="s">
        <v>15</v>
      </c>
      <c r="C197" s="7">
        <f>_xll.ciqfunctions.udf.CIQ($B$1,"IQ_TOTAL_DEBT","IQ_FY-2")</f>
        <v>4359.3500000000004</v>
      </c>
      <c r="D197" s="8">
        <f t="shared" si="5"/>
        <v>4359.3500000000004</v>
      </c>
      <c r="E197" s="6" t="s">
        <v>55</v>
      </c>
    </row>
    <row r="198" spans="1:5" x14ac:dyDescent="0.4">
      <c r="A198" s="6" t="s">
        <v>54</v>
      </c>
      <c r="B198" s="6" t="s">
        <v>16</v>
      </c>
      <c r="C198" s="7">
        <f>_xll.ciqfunctions.udf.CIQ($B$1,"IQ_TOTAL_DEBT","IQ_FY-3")</f>
        <v>3829.2669999999998</v>
      </c>
      <c r="D198" s="8">
        <f t="shared" si="5"/>
        <v>3829.2669999999998</v>
      </c>
      <c r="E198" s="6" t="s">
        <v>55</v>
      </c>
    </row>
    <row r="199" spans="1:5" x14ac:dyDescent="0.4">
      <c r="A199" s="6" t="s">
        <v>54</v>
      </c>
      <c r="B199" s="6" t="s">
        <v>17</v>
      </c>
      <c r="C199" s="7">
        <f>_xll.ciqfunctions.udf.CIQ($B$1,"IQ_TOTAL_DEBT","IQ_FY-4")</f>
        <v>4464.7790000000005</v>
      </c>
      <c r="D199" s="8">
        <f t="shared" si="5"/>
        <v>4464.7790000000005</v>
      </c>
      <c r="E199" s="6" t="s">
        <v>55</v>
      </c>
    </row>
    <row r="200" spans="1:5" x14ac:dyDescent="0.4">
      <c r="A200" s="6" t="s">
        <v>54</v>
      </c>
      <c r="B200" s="6" t="s">
        <v>18</v>
      </c>
      <c r="C200" s="7">
        <f>_xll.ciqfunctions.udf.CIQ($B$1,"IQ_TOTAL_DEBT","IQ_FY-5")</f>
        <v>5298.3810000000003</v>
      </c>
      <c r="D200" s="8">
        <f t="shared" si="5"/>
        <v>5298.3810000000003</v>
      </c>
      <c r="E200" s="6" t="s">
        <v>55</v>
      </c>
    </row>
    <row r="201" spans="1:5" x14ac:dyDescent="0.4">
      <c r="A201" s="6" t="s">
        <v>54</v>
      </c>
      <c r="B201" s="6" t="s">
        <v>19</v>
      </c>
      <c r="C201" s="7">
        <f>_xll.ciqfunctions.udf.CIQ($B$1,"IQ_TOTAL_DEBT","IQ_FY-6")</f>
        <v>4379.8130000000001</v>
      </c>
      <c r="D201" s="8">
        <f t="shared" si="5"/>
        <v>4379.8130000000001</v>
      </c>
      <c r="E201" s="6" t="s">
        <v>55</v>
      </c>
    </row>
    <row r="202" spans="1:5" x14ac:dyDescent="0.4">
      <c r="A202" s="6" t="s">
        <v>54</v>
      </c>
      <c r="B202" s="6" t="s">
        <v>20</v>
      </c>
      <c r="C202" s="7">
        <f>_xll.ciqfunctions.udf.CIQ($B$1,"IQ_TOTAL_DEBT","IQ_FY-7")</f>
        <v>3815.4169999999999</v>
      </c>
      <c r="D202" s="8">
        <f t="shared" si="5"/>
        <v>3815.4169999999999</v>
      </c>
      <c r="E202" s="6" t="s">
        <v>55</v>
      </c>
    </row>
    <row r="203" spans="1:5" x14ac:dyDescent="0.4">
      <c r="A203" s="6" t="s">
        <v>54</v>
      </c>
      <c r="B203" s="6" t="s">
        <v>21</v>
      </c>
      <c r="C203" s="7">
        <f>_xll.ciqfunctions.udf.CIQ($B$1,"IQ_TOTAL_DEBT","IQ_FY-8")</f>
        <v>3036.6950000000002</v>
      </c>
      <c r="D203" s="8">
        <f t="shared" si="5"/>
        <v>3036.6950000000002</v>
      </c>
      <c r="E203" s="6" t="s">
        <v>55</v>
      </c>
    </row>
    <row r="204" spans="1:5" x14ac:dyDescent="0.4">
      <c r="A204" s="6" t="s">
        <v>54</v>
      </c>
      <c r="B204" s="6" t="s">
        <v>22</v>
      </c>
      <c r="C204" s="7">
        <f>_xll.ciqfunctions.udf.CIQ($B$1,"IQ_TOTAL_DEBT","IQ_FY-9")</f>
        <v>3250.9270000000001</v>
      </c>
      <c r="D204" s="8">
        <f t="shared" si="5"/>
        <v>3250.9270000000001</v>
      </c>
      <c r="E204" s="6" t="s">
        <v>55</v>
      </c>
    </row>
    <row r="205" spans="1:5" x14ac:dyDescent="0.4">
      <c r="A205" s="6" t="s">
        <v>54</v>
      </c>
      <c r="B205" s="6" t="s">
        <v>23</v>
      </c>
      <c r="C205" s="7">
        <f>_xll.ciqfunctions.udf.CIQ($B$1,"IQ_TOTAL_DEBT","IQ_FY-10")</f>
        <v>3054.1219999999998</v>
      </c>
      <c r="D205" s="8">
        <f t="shared" ref="D205:D236" si="6">C205</f>
        <v>3054.1219999999998</v>
      </c>
      <c r="E205" s="6" t="s">
        <v>55</v>
      </c>
    </row>
    <row r="206" spans="1:5" x14ac:dyDescent="0.4">
      <c r="A206" s="6" t="s">
        <v>56</v>
      </c>
      <c r="B206" s="6" t="s">
        <v>12</v>
      </c>
      <c r="C206" s="7">
        <f>_xll.ciqfunctions.udf.CIQ($B$1,"IQ_TOTAL_OUTSTANDING_FILING_DATE","IQ_FY-0")</f>
        <v>12404.659299999999</v>
      </c>
      <c r="D206" s="8">
        <f t="shared" si="6"/>
        <v>12404.659299999999</v>
      </c>
      <c r="E206" s="6" t="s">
        <v>57</v>
      </c>
    </row>
    <row r="207" spans="1:5" x14ac:dyDescent="0.4">
      <c r="A207" s="6" t="s">
        <v>56</v>
      </c>
      <c r="B207" s="6" t="s">
        <v>14</v>
      </c>
      <c r="C207" s="7">
        <f>_xll.ciqfunctions.udf.CIQ($B$1,"IQ_TOTAL_OUTSTANDING_FILING_DATE","IQ_FY-1")</f>
        <v>12404.659299999999</v>
      </c>
      <c r="D207" s="8">
        <f t="shared" si="6"/>
        <v>12404.659299999999</v>
      </c>
      <c r="E207" s="6" t="s">
        <v>57</v>
      </c>
    </row>
    <row r="208" spans="1:5" x14ac:dyDescent="0.4">
      <c r="A208" s="6" t="s">
        <v>56</v>
      </c>
      <c r="B208" s="6" t="s">
        <v>15</v>
      </c>
      <c r="C208" s="7">
        <f>_xll.ciqfunctions.udf.CIQ($B$1,"IQ_TOTAL_OUTSTANDING_FILING_DATE","IQ_FY-2")</f>
        <v>12128.130289999999</v>
      </c>
      <c r="D208" s="8">
        <f t="shared" si="6"/>
        <v>12128.130289999999</v>
      </c>
      <c r="E208" s="6" t="s">
        <v>57</v>
      </c>
    </row>
    <row r="209" spans="1:5" x14ac:dyDescent="0.4">
      <c r="A209" s="6" t="s">
        <v>56</v>
      </c>
      <c r="B209" s="6" t="s">
        <v>16</v>
      </c>
      <c r="C209" s="7">
        <f>_xll.ciqfunctions.udf.CIQ($B$1,"IQ_TOTAL_OUTSTANDING_FILING_DATE","IQ_FY-3")</f>
        <v>12041.705610000001</v>
      </c>
      <c r="D209" s="8">
        <f t="shared" si="6"/>
        <v>12041.705610000001</v>
      </c>
      <c r="E209" s="6" t="s">
        <v>57</v>
      </c>
    </row>
    <row r="210" spans="1:5" x14ac:dyDescent="0.4">
      <c r="A210" s="6" t="s">
        <v>56</v>
      </c>
      <c r="B210" s="6" t="s">
        <v>17</v>
      </c>
      <c r="C210" s="7">
        <f>_xll.ciqfunctions.udf.CIQ($B$1,"IQ_TOTAL_OUTSTANDING_FILING_DATE","IQ_FY-4")</f>
        <v>12041.705610000001</v>
      </c>
      <c r="D210" s="8">
        <f t="shared" si="6"/>
        <v>12041.705610000001</v>
      </c>
      <c r="E210" s="6" t="s">
        <v>57</v>
      </c>
    </row>
    <row r="211" spans="1:5" x14ac:dyDescent="0.4">
      <c r="A211" s="6" t="s">
        <v>56</v>
      </c>
      <c r="B211" s="6" t="s">
        <v>18</v>
      </c>
      <c r="C211" s="7">
        <f>_xll.ciqfunctions.udf.CIQ($B$1,"IQ_TOTAL_OUTSTANDING_FILING_DATE","IQ_FY-5")</f>
        <v>12014.79161</v>
      </c>
      <c r="D211" s="8">
        <f t="shared" si="6"/>
        <v>12014.79161</v>
      </c>
      <c r="E211" s="6" t="s">
        <v>57</v>
      </c>
    </row>
    <row r="212" spans="1:5" x14ac:dyDescent="0.4">
      <c r="A212" s="6" t="s">
        <v>56</v>
      </c>
      <c r="B212" s="6" t="s">
        <v>19</v>
      </c>
      <c r="C212" s="7">
        <f>_xll.ciqfunctions.udf.CIQ($B$1,"IQ_TOTAL_OUTSTANDING_FILING_DATE","IQ_FY-6")</f>
        <v>12014.79161</v>
      </c>
      <c r="D212" s="8">
        <f t="shared" si="6"/>
        <v>12014.79161</v>
      </c>
      <c r="E212" s="6" t="s">
        <v>57</v>
      </c>
    </row>
    <row r="213" spans="1:5" x14ac:dyDescent="0.4">
      <c r="A213" s="6" t="s">
        <v>56</v>
      </c>
      <c r="B213" s="6" t="s">
        <v>20</v>
      </c>
      <c r="C213" s="7">
        <f>_xll.ciqfunctions.udf.CIQ($B$1,"IQ_TOTAL_OUTSTANDING_FILING_DATE","IQ_FY-7")</f>
        <v>12014.79161</v>
      </c>
      <c r="D213" s="8">
        <f t="shared" si="6"/>
        <v>12014.79161</v>
      </c>
      <c r="E213" s="6" t="s">
        <v>57</v>
      </c>
    </row>
    <row r="214" spans="1:5" x14ac:dyDescent="0.4">
      <c r="A214" s="6" t="s">
        <v>56</v>
      </c>
      <c r="B214" s="6" t="s">
        <v>21</v>
      </c>
      <c r="C214" s="7">
        <f>_xll.ciqfunctions.udf.CIQ($B$1,"IQ_TOTAL_OUTSTANDING_FILING_DATE","IQ_FY-8")</f>
        <v>11108.65472</v>
      </c>
      <c r="D214" s="8">
        <f t="shared" si="6"/>
        <v>11108.65472</v>
      </c>
      <c r="E214" s="6" t="s">
        <v>57</v>
      </c>
    </row>
    <row r="215" spans="1:5" x14ac:dyDescent="0.4">
      <c r="A215" s="6" t="s">
        <v>56</v>
      </c>
      <c r="B215" s="6" t="s">
        <v>22</v>
      </c>
      <c r="C215" s="7">
        <f>_xll.ciqfunctions.udf.CIQ($B$1,"IQ_TOTAL_OUTSTANDING_FILING_DATE","IQ_FY-9")</f>
        <v>11108.65472</v>
      </c>
      <c r="D215" s="8">
        <f t="shared" si="6"/>
        <v>11108.65472</v>
      </c>
      <c r="E215" s="6" t="s">
        <v>57</v>
      </c>
    </row>
    <row r="216" spans="1:5" x14ac:dyDescent="0.4">
      <c r="A216" s="6" t="s">
        <v>56</v>
      </c>
      <c r="B216" s="6" t="s">
        <v>23</v>
      </c>
      <c r="C216" s="7">
        <f>_xll.ciqfunctions.udf.CIQ($B$1,"IQ_TOTAL_OUTSTANDING_FILING_DATE","IQ_FY-10")</f>
        <v>11108.65472</v>
      </c>
      <c r="D216" s="8">
        <f t="shared" si="6"/>
        <v>11108.65472</v>
      </c>
      <c r="E216" s="6" t="s">
        <v>57</v>
      </c>
    </row>
    <row r="217" spans="1:5" x14ac:dyDescent="0.4">
      <c r="A217" s="6" t="s">
        <v>58</v>
      </c>
      <c r="B217" s="6" t="s">
        <v>12</v>
      </c>
      <c r="C217" s="7">
        <f>_xll.ciqfunctions.udf.CIQ($B$1,"IQ_LT_INVEST","IQ_FY-0")</f>
        <v>1825.47</v>
      </c>
      <c r="D217" s="8">
        <f t="shared" si="6"/>
        <v>1825.47</v>
      </c>
      <c r="E217" s="6" t="s">
        <v>59</v>
      </c>
    </row>
    <row r="218" spans="1:5" x14ac:dyDescent="0.4">
      <c r="A218" s="6" t="s">
        <v>58</v>
      </c>
      <c r="B218" s="6" t="s">
        <v>14</v>
      </c>
      <c r="C218" s="7">
        <f>_xll.ciqfunctions.udf.CIQ($B$1,"IQ_LT_INVEST","IQ_FY-1")</f>
        <v>1768.442</v>
      </c>
      <c r="D218" s="8">
        <f t="shared" si="6"/>
        <v>1768.442</v>
      </c>
      <c r="E218" s="6" t="s">
        <v>59</v>
      </c>
    </row>
    <row r="219" spans="1:5" x14ac:dyDescent="0.4">
      <c r="A219" s="6" t="s">
        <v>58</v>
      </c>
      <c r="B219" s="6" t="s">
        <v>15</v>
      </c>
      <c r="C219" s="7">
        <f>_xll.ciqfunctions.udf.CIQ($B$1,"IQ_LT_INVEST","IQ_FY-2")</f>
        <v>1738.414</v>
      </c>
      <c r="D219" s="8">
        <f t="shared" si="6"/>
        <v>1738.414</v>
      </c>
      <c r="E219" s="6" t="s">
        <v>59</v>
      </c>
    </row>
    <row r="220" spans="1:5" x14ac:dyDescent="0.4">
      <c r="A220" s="6" t="s">
        <v>58</v>
      </c>
      <c r="B220" s="6" t="s">
        <v>16</v>
      </c>
      <c r="C220" s="7">
        <f>_xll.ciqfunctions.udf.CIQ($B$1,"IQ_LT_INVEST","IQ_FY-3")</f>
        <v>1508.527</v>
      </c>
      <c r="D220" s="8">
        <f t="shared" si="6"/>
        <v>1508.527</v>
      </c>
      <c r="E220" s="6" t="s">
        <v>59</v>
      </c>
    </row>
    <row r="221" spans="1:5" x14ac:dyDescent="0.4">
      <c r="A221" s="6" t="s">
        <v>58</v>
      </c>
      <c r="B221" s="6" t="s">
        <v>17</v>
      </c>
      <c r="C221" s="7">
        <f>_xll.ciqfunctions.udf.CIQ($B$1,"IQ_LT_INVEST","IQ_FY-4")</f>
        <v>955.26400000000001</v>
      </c>
      <c r="D221" s="8">
        <f t="shared" si="6"/>
        <v>955.26400000000001</v>
      </c>
      <c r="E221" s="6" t="s">
        <v>59</v>
      </c>
    </row>
    <row r="222" spans="1:5" x14ac:dyDescent="0.4">
      <c r="A222" s="6" t="s">
        <v>58</v>
      </c>
      <c r="B222" s="6" t="s">
        <v>18</v>
      </c>
      <c r="C222" s="7">
        <f>_xll.ciqfunctions.udf.CIQ($B$1,"IQ_LT_INVEST","IQ_FY-5")</f>
        <v>611.25</v>
      </c>
      <c r="D222" s="8">
        <f t="shared" si="6"/>
        <v>611.25</v>
      </c>
      <c r="E222" s="6" t="s">
        <v>59</v>
      </c>
    </row>
    <row r="223" spans="1:5" x14ac:dyDescent="0.4">
      <c r="A223" s="6" t="s">
        <v>58</v>
      </c>
      <c r="B223" s="6" t="s">
        <v>19</v>
      </c>
      <c r="C223" s="7">
        <f>_xll.ciqfunctions.udf.CIQ($B$1,"IQ_LT_INVEST","IQ_FY-6")</f>
        <v>599.91</v>
      </c>
      <c r="D223" s="8">
        <f t="shared" si="6"/>
        <v>599.91</v>
      </c>
      <c r="E223" s="6" t="s">
        <v>59</v>
      </c>
    </row>
    <row r="224" spans="1:5" x14ac:dyDescent="0.4">
      <c r="A224" s="6" t="s">
        <v>58</v>
      </c>
      <c r="B224" s="6" t="s">
        <v>20</v>
      </c>
      <c r="C224" s="7">
        <f>_xll.ciqfunctions.udf.CIQ($B$1,"IQ_LT_INVEST","IQ_FY-7")</f>
        <v>408.74299999999999</v>
      </c>
      <c r="D224" s="8">
        <f t="shared" si="6"/>
        <v>408.74299999999999</v>
      </c>
      <c r="E224" s="6" t="s">
        <v>59</v>
      </c>
    </row>
    <row r="225" spans="1:5" x14ac:dyDescent="0.4">
      <c r="A225" s="6" t="s">
        <v>58</v>
      </c>
      <c r="B225" s="6" t="s">
        <v>21</v>
      </c>
      <c r="C225" s="7">
        <f>_xll.ciqfunctions.udf.CIQ($B$1,"IQ_LT_INVEST","IQ_FY-8")</f>
        <v>288.46499999999997</v>
      </c>
      <c r="D225" s="8">
        <f t="shared" si="6"/>
        <v>288.46499999999997</v>
      </c>
      <c r="E225" s="6" t="s">
        <v>59</v>
      </c>
    </row>
    <row r="226" spans="1:5" x14ac:dyDescent="0.4">
      <c r="A226" s="6" t="s">
        <v>58</v>
      </c>
      <c r="B226" s="6" t="s">
        <v>22</v>
      </c>
      <c r="C226" s="7">
        <f>_xll.ciqfunctions.udf.CIQ($B$1,"IQ_LT_INVEST","IQ_FY-9")</f>
        <v>180.011</v>
      </c>
      <c r="D226" s="8">
        <f t="shared" si="6"/>
        <v>180.011</v>
      </c>
      <c r="E226" s="6" t="s">
        <v>59</v>
      </c>
    </row>
    <row r="227" spans="1:5" x14ac:dyDescent="0.4">
      <c r="A227" s="6" t="s">
        <v>58</v>
      </c>
      <c r="B227" s="6" t="s">
        <v>23</v>
      </c>
      <c r="C227" s="7">
        <f>_xll.ciqfunctions.udf.CIQ($B$1,"IQ_LT_INVEST","IQ_FY-10")</f>
        <v>119.119</v>
      </c>
      <c r="D227" s="8">
        <f t="shared" si="6"/>
        <v>119.119</v>
      </c>
      <c r="E227" s="6" t="s">
        <v>59</v>
      </c>
    </row>
    <row r="228" spans="1:5" x14ac:dyDescent="0.4">
      <c r="A228" s="6" t="s">
        <v>60</v>
      </c>
      <c r="B228" s="6" t="s">
        <v>12</v>
      </c>
      <c r="C228" s="7">
        <f>_xll.ciqfunctions.udf.CIQ($B$1,"IQ_MINORITY_INTEREST","IQ_FY-0")</f>
        <v>1138.2829999999999</v>
      </c>
      <c r="D228" s="8">
        <f t="shared" si="6"/>
        <v>1138.2829999999999</v>
      </c>
      <c r="E228" s="6" t="s">
        <v>61</v>
      </c>
    </row>
    <row r="229" spans="1:5" x14ac:dyDescent="0.4">
      <c r="A229" s="6" t="s">
        <v>60</v>
      </c>
      <c r="B229" s="6" t="s">
        <v>14</v>
      </c>
      <c r="C229" s="7">
        <f>_xll.ciqfunctions.udf.CIQ($B$1,"IQ_MINORITY_INTEREST","IQ_FY-1")</f>
        <v>1045.9469999999999</v>
      </c>
      <c r="D229" s="8">
        <f t="shared" si="6"/>
        <v>1045.9469999999999</v>
      </c>
      <c r="E229" s="6" t="s">
        <v>61</v>
      </c>
    </row>
    <row r="230" spans="1:5" x14ac:dyDescent="0.4">
      <c r="A230" s="6" t="s">
        <v>60</v>
      </c>
      <c r="B230" s="6" t="s">
        <v>15</v>
      </c>
      <c r="C230" s="7">
        <f>_xll.ciqfunctions.udf.CIQ($B$1,"IQ_MINORITY_INTEREST","IQ_FY-2")</f>
        <v>1006.784</v>
      </c>
      <c r="D230" s="8">
        <f t="shared" si="6"/>
        <v>1006.784</v>
      </c>
      <c r="E230" s="6" t="s">
        <v>61</v>
      </c>
    </row>
    <row r="231" spans="1:5" x14ac:dyDescent="0.4">
      <c r="A231" s="6" t="s">
        <v>60</v>
      </c>
      <c r="B231" s="6" t="s">
        <v>16</v>
      </c>
      <c r="C231" s="7">
        <f>_xll.ciqfunctions.udf.CIQ($B$1,"IQ_MINORITY_INTEREST","IQ_FY-3")</f>
        <v>951.41499999999996</v>
      </c>
      <c r="D231" s="8">
        <f t="shared" si="6"/>
        <v>951.41499999999996</v>
      </c>
      <c r="E231" s="6" t="s">
        <v>61</v>
      </c>
    </row>
    <row r="232" spans="1:5" x14ac:dyDescent="0.4">
      <c r="A232" s="6" t="s">
        <v>60</v>
      </c>
      <c r="B232" s="6" t="s">
        <v>17</v>
      </c>
      <c r="C232" s="7">
        <f>_xll.ciqfunctions.udf.CIQ($B$1,"IQ_MINORITY_INTEREST","IQ_FY-4")</f>
        <v>817.73500000000001</v>
      </c>
      <c r="D232" s="8">
        <f t="shared" si="6"/>
        <v>817.73500000000001</v>
      </c>
      <c r="E232" s="6" t="s">
        <v>61</v>
      </c>
    </row>
    <row r="233" spans="1:5" x14ac:dyDescent="0.4">
      <c r="A233" s="6" t="s">
        <v>60</v>
      </c>
      <c r="B233" s="6" t="s">
        <v>18</v>
      </c>
      <c r="C233" s="7">
        <f>_xll.ciqfunctions.udf.CIQ($B$1,"IQ_MINORITY_INTEREST","IQ_FY-5")</f>
        <v>1627.991</v>
      </c>
      <c r="D233" s="8">
        <f t="shared" si="6"/>
        <v>1627.991</v>
      </c>
      <c r="E233" s="6" t="s">
        <v>61</v>
      </c>
    </row>
    <row r="234" spans="1:5" x14ac:dyDescent="0.4">
      <c r="A234" s="6" t="s">
        <v>60</v>
      </c>
      <c r="B234" s="6" t="s">
        <v>19</v>
      </c>
      <c r="C234" s="7">
        <f>_xll.ciqfunctions.udf.CIQ($B$1,"IQ_MINORITY_INTEREST","IQ_FY-6")</f>
        <v>1466.848</v>
      </c>
      <c r="D234" s="8">
        <f t="shared" si="6"/>
        <v>1466.848</v>
      </c>
      <c r="E234" s="6" t="s">
        <v>61</v>
      </c>
    </row>
    <row r="235" spans="1:5" x14ac:dyDescent="0.4">
      <c r="A235" s="6" t="s">
        <v>60</v>
      </c>
      <c r="B235" s="6" t="s">
        <v>20</v>
      </c>
      <c r="C235" s="7">
        <f>_xll.ciqfunctions.udf.CIQ($B$1,"IQ_MINORITY_INTEREST","IQ_FY-7")</f>
        <v>1240.268</v>
      </c>
      <c r="D235" s="8">
        <f t="shared" si="6"/>
        <v>1240.268</v>
      </c>
      <c r="E235" s="6" t="s">
        <v>61</v>
      </c>
    </row>
    <row r="236" spans="1:5" x14ac:dyDescent="0.4">
      <c r="A236" s="6" t="s">
        <v>60</v>
      </c>
      <c r="B236" s="6" t="s">
        <v>21</v>
      </c>
      <c r="C236" s="7">
        <f>_xll.ciqfunctions.udf.CIQ($B$1,"IQ_MINORITY_INTEREST","IQ_FY-8")</f>
        <v>1084.521</v>
      </c>
      <c r="D236" s="8">
        <f t="shared" si="6"/>
        <v>1084.521</v>
      </c>
      <c r="E236" s="6" t="s">
        <v>61</v>
      </c>
    </row>
    <row r="237" spans="1:5" x14ac:dyDescent="0.4">
      <c r="A237" s="6" t="s">
        <v>60</v>
      </c>
      <c r="B237" s="6" t="s">
        <v>22</v>
      </c>
      <c r="C237" s="7">
        <f>_xll.ciqfunctions.udf.CIQ($B$1,"IQ_MINORITY_INTEREST","IQ_FY-9")</f>
        <v>238.94900000000001</v>
      </c>
      <c r="D237" s="8">
        <f t="shared" ref="D237:D238" si="7">C237</f>
        <v>238.94900000000001</v>
      </c>
      <c r="E237" s="6" t="s">
        <v>61</v>
      </c>
    </row>
    <row r="238" spans="1:5" x14ac:dyDescent="0.4">
      <c r="A238" s="6" t="s">
        <v>60</v>
      </c>
      <c r="B238" s="6" t="s">
        <v>23</v>
      </c>
      <c r="C238" s="7">
        <f>_xll.ciqfunctions.udf.CIQ($B$1,"IQ_MINORITY_INTEREST","IQ_FY-10")</f>
        <v>235.37799999999999</v>
      </c>
      <c r="D238" s="8">
        <f t="shared" si="7"/>
        <v>235.37799999999999</v>
      </c>
      <c r="E238" s="6" t="s">
        <v>61</v>
      </c>
    </row>
    <row r="239" spans="1:5" x14ac:dyDescent="0.4">
      <c r="A239" s="9" t="s">
        <v>62</v>
      </c>
      <c r="B239" s="10"/>
      <c r="C239" s="10"/>
      <c r="D239" s="10"/>
      <c r="E239" s="10"/>
    </row>
    <row r="240" spans="1:5" x14ac:dyDescent="0.4">
      <c r="A240" s="6" t="s">
        <v>63</v>
      </c>
      <c r="B240" s="6" t="s">
        <v>64</v>
      </c>
      <c r="C240" s="7">
        <f>_xll.ciqfunctions.udf.CIQ($B$1,"IQ_CLOSEPRICE")</f>
        <v>9.3699999999999992</v>
      </c>
      <c r="D240" s="8">
        <f>C240</f>
        <v>9.3699999999999992</v>
      </c>
      <c r="E240" s="6" t="s">
        <v>65</v>
      </c>
    </row>
    <row r="241" spans="1:5" x14ac:dyDescent="0.4">
      <c r="A241" s="6" t="s">
        <v>66</v>
      </c>
      <c r="B241" s="6" t="s">
        <v>64</v>
      </c>
      <c r="C241" s="7">
        <f>_xll.ciqfunctions.udf.CIQ($B$1,"IQ_MARKETCAP")</f>
        <v>116231.65766</v>
      </c>
      <c r="D241" s="8">
        <f>C241</f>
        <v>116231.65766</v>
      </c>
      <c r="E241" s="6" t="s">
        <v>67</v>
      </c>
    </row>
    <row r="242" spans="1:5" x14ac:dyDescent="0.4">
      <c r="A242" s="6" t="s">
        <v>68</v>
      </c>
      <c r="B242" s="6" t="s">
        <v>64</v>
      </c>
      <c r="C242" s="7" t="str">
        <f>_xll.ciqfunctions.udf.CIQ($B$1,"IQ_FILING_CURRENCY")</f>
        <v>USD</v>
      </c>
      <c r="D242" s="8" t="str">
        <f>C242</f>
        <v>USD</v>
      </c>
      <c r="E242" s="6" t="s">
        <v>69</v>
      </c>
    </row>
    <row r="243" spans="1:5" x14ac:dyDescent="0.4">
      <c r="A243" s="6" t="s">
        <v>70</v>
      </c>
      <c r="B243" s="6" t="s">
        <v>64</v>
      </c>
      <c r="C243" s="7" t="str">
        <f>_xll.ciqfunctions.udf.CIQ($B$1,"IQ_EXCHANGE")</f>
        <v>SEHK</v>
      </c>
      <c r="D243" s="8" t="str">
        <f>C243</f>
        <v>SEHK</v>
      </c>
      <c r="E243" s="6" t="s">
        <v>71</v>
      </c>
    </row>
    <row r="244" spans="1:5" x14ac:dyDescent="0.4">
      <c r="A244" s="6" t="s">
        <v>72</v>
      </c>
      <c r="B244" s="6" t="s">
        <v>73</v>
      </c>
      <c r="C244" s="7">
        <f>_xll.ciqfunctions.udf.CIQ($B$1,"IQ_EFFECT_TAX_RATE","IQ_FY")/100</f>
        <v>1.2774000000000001E-2</v>
      </c>
      <c r="D244" s="8">
        <f>C244</f>
        <v>1.2774000000000001E-2</v>
      </c>
      <c r="E244" s="6" t="s">
        <v>74</v>
      </c>
    </row>
    <row r="245" spans="1:5" x14ac:dyDescent="0.4">
      <c r="A245" s="9" t="s">
        <v>75</v>
      </c>
      <c r="B245" s="10"/>
      <c r="C245" s="10"/>
      <c r="D245" s="10"/>
      <c r="E245" s="10"/>
    </row>
    <row r="246" spans="1:5" x14ac:dyDescent="0.4">
      <c r="A246" s="6" t="s">
        <v>76</v>
      </c>
      <c r="B246" s="6" t="s">
        <v>64</v>
      </c>
      <c r="C246" s="7">
        <f>_xll.ciqfunctions.udf.CIQ($B$1,"IQ_OPTIONS_END_OS")</f>
        <v>0</v>
      </c>
      <c r="D246" s="8">
        <f>C246</f>
        <v>0</v>
      </c>
      <c r="E246" s="6" t="s">
        <v>77</v>
      </c>
    </row>
    <row r="247" spans="1:5" x14ac:dyDescent="0.4">
      <c r="A247" s="6" t="s">
        <v>78</v>
      </c>
      <c r="B247" s="6" t="s">
        <v>64</v>
      </c>
      <c r="C247" s="7">
        <f>_xll.ciqfunctions.udf.CIQ($B$1,"IQ_OPTIONS_STRIKE_PRICE_OS")</f>
        <v>0</v>
      </c>
      <c r="D247" s="8">
        <f>C247</f>
        <v>0</v>
      </c>
      <c r="E247" s="6" t="s">
        <v>79</v>
      </c>
    </row>
    <row r="248" spans="1:5" x14ac:dyDescent="0.4">
      <c r="A248" s="6" t="s">
        <v>80</v>
      </c>
      <c r="B248" s="6" t="s">
        <v>64</v>
      </c>
      <c r="C248" s="7" t="str">
        <f>_xll.ciqfunctions.udf.CIQ($B$1,"IQ_OPTIONS_AVG_LIFE")</f>
        <v>(Invalid Formula Name)</v>
      </c>
      <c r="D248" s="8" t="str">
        <f>C248</f>
        <v>(Invalid Formula Name)</v>
      </c>
      <c r="E248" s="6" t="s">
        <v>81</v>
      </c>
    </row>
    <row r="249" spans="1:5" x14ac:dyDescent="0.4">
      <c r="A249" s="9" t="s">
        <v>82</v>
      </c>
      <c r="B249" s="10"/>
      <c r="C249" s="10"/>
      <c r="D249" s="10"/>
      <c r="E249" s="10"/>
    </row>
    <row r="250" spans="1:5" x14ac:dyDescent="0.4">
      <c r="A250" s="6" t="s">
        <v>83</v>
      </c>
      <c r="B250" s="6" t="s">
        <v>64</v>
      </c>
      <c r="C250" s="7">
        <f>_xll.ciqfunctions.udf.CIQ($B$1,"IQ_OL_COMM_CY")</f>
        <v>0</v>
      </c>
      <c r="D250" s="8">
        <f t="shared" ref="D250:D255" si="8">C250</f>
        <v>0</v>
      </c>
      <c r="E250" s="6" t="s">
        <v>84</v>
      </c>
    </row>
    <row r="251" spans="1:5" x14ac:dyDescent="0.4">
      <c r="A251" s="6" t="s">
        <v>85</v>
      </c>
      <c r="B251" s="6" t="s">
        <v>64</v>
      </c>
      <c r="C251" s="7">
        <f>_xll.ciqfunctions.udf.CIQ($B$1,"IQ_OL_COMM_CY1")</f>
        <v>0</v>
      </c>
      <c r="D251" s="8">
        <f t="shared" si="8"/>
        <v>0</v>
      </c>
      <c r="E251" s="6" t="s">
        <v>86</v>
      </c>
    </row>
    <row r="252" spans="1:5" x14ac:dyDescent="0.4">
      <c r="A252" s="6" t="s">
        <v>87</v>
      </c>
      <c r="B252" s="6" t="s">
        <v>64</v>
      </c>
      <c r="C252" s="7">
        <f>_xll.ciqfunctions.udf.CIQ($B$1,"IQ_OL_COMM_CY2")</f>
        <v>0</v>
      </c>
      <c r="D252" s="8">
        <f t="shared" si="8"/>
        <v>0</v>
      </c>
      <c r="E252" s="6" t="s">
        <v>88</v>
      </c>
    </row>
    <row r="253" spans="1:5" x14ac:dyDescent="0.4">
      <c r="A253" s="6" t="s">
        <v>89</v>
      </c>
      <c r="B253" s="6" t="s">
        <v>64</v>
      </c>
      <c r="C253" s="7">
        <f>_xll.ciqfunctions.udf.CIQ($B$1,"IQ_OL_COMM_CY3")</f>
        <v>0</v>
      </c>
      <c r="D253" s="8">
        <f t="shared" si="8"/>
        <v>0</v>
      </c>
      <c r="E253" s="6" t="s">
        <v>90</v>
      </c>
    </row>
    <row r="254" spans="1:5" x14ac:dyDescent="0.4">
      <c r="A254" s="6" t="s">
        <v>91</v>
      </c>
      <c r="B254" s="6" t="s">
        <v>64</v>
      </c>
      <c r="C254" s="7">
        <f>_xll.ciqfunctions.udf.CIQ($B$1,"IQ_OL_COMM_CY4")</f>
        <v>0</v>
      </c>
      <c r="D254" s="8">
        <f t="shared" si="8"/>
        <v>0</v>
      </c>
      <c r="E254" s="6" t="s">
        <v>92</v>
      </c>
    </row>
    <row r="255" spans="1:5" x14ac:dyDescent="0.4">
      <c r="A255" s="6" t="s">
        <v>93</v>
      </c>
      <c r="B255" s="6" t="s">
        <v>64</v>
      </c>
      <c r="C255" s="7">
        <f>_xll.ciqfunctions.udf.CIQ($B$1,"IQ_OL_COMM_NEXT_FIVE")</f>
        <v>0</v>
      </c>
      <c r="D255" s="8">
        <f t="shared" si="8"/>
        <v>0</v>
      </c>
      <c r="E255" s="6" t="s">
        <v>94</v>
      </c>
    </row>
    <row r="256" spans="1:5" x14ac:dyDescent="0.4">
      <c r="A256" s="9" t="s">
        <v>95</v>
      </c>
      <c r="B256" s="10"/>
      <c r="C256" s="10"/>
      <c r="D256" s="10"/>
      <c r="E256" s="10"/>
    </row>
    <row r="257" spans="1:5" x14ac:dyDescent="0.4">
      <c r="A257" s="6" t="s">
        <v>96</v>
      </c>
      <c r="B257" s="6" t="s">
        <v>12</v>
      </c>
      <c r="C257" s="7">
        <f>_xll.ciqfunctions.udf.CIQ($B$1,"IQ_PERIODDATE","IQ_FY-0")</f>
        <v>45747</v>
      </c>
      <c r="D257" s="8">
        <f>C257</f>
        <v>45747</v>
      </c>
      <c r="E257" s="6" t="s">
        <v>97</v>
      </c>
    </row>
    <row r="258" spans="1:5" x14ac:dyDescent="0.4">
      <c r="A258" s="6" t="s">
        <v>98</v>
      </c>
      <c r="B258" s="6" t="s">
        <v>45</v>
      </c>
      <c r="C258" s="7">
        <f>_xll.ciqfunctions.udf.CIQ($B$1,"IQ_PERIODDATE","IQ_FQ-0")</f>
        <v>46022</v>
      </c>
      <c r="D258" s="8">
        <f>C258</f>
        <v>46022</v>
      </c>
      <c r="E258" s="6" t="s">
        <v>99</v>
      </c>
    </row>
  </sheetData>
  <mergeCells count="7">
    <mergeCell ref="A249:E249"/>
    <mergeCell ref="A239:E239"/>
    <mergeCell ref="A172:E172"/>
    <mergeCell ref="A256:E256"/>
    <mergeCell ref="A5:E5"/>
    <mergeCell ref="A127:E127"/>
    <mergeCell ref="A245:E245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8"/>
  <sheetViews>
    <sheetView workbookViewId="0"/>
  </sheetViews>
  <sheetFormatPr defaultRowHeight="14.1" x14ac:dyDescent="0.4"/>
  <sheetData>
    <row r="1" spans="1:4" x14ac:dyDescent="0.4">
      <c r="A1" t="s">
        <v>100</v>
      </c>
      <c r="B1" t="s">
        <v>101</v>
      </c>
      <c r="C1" t="s">
        <v>102</v>
      </c>
      <c r="D1" t="s">
        <v>103</v>
      </c>
    </row>
    <row r="2" spans="1:4" x14ac:dyDescent="0.4">
      <c r="A2">
        <v>6</v>
      </c>
      <c r="B2" t="s">
        <v>11</v>
      </c>
      <c r="C2" t="s">
        <v>12</v>
      </c>
      <c r="D2" t="s">
        <v>104</v>
      </c>
    </row>
    <row r="3" spans="1:4" x14ac:dyDescent="0.4">
      <c r="A3">
        <v>7</v>
      </c>
      <c r="B3" t="s">
        <v>11</v>
      </c>
      <c r="C3" t="s">
        <v>14</v>
      </c>
      <c r="D3" t="s">
        <v>104</v>
      </c>
    </row>
    <row r="4" spans="1:4" x14ac:dyDescent="0.4">
      <c r="A4">
        <v>8</v>
      </c>
      <c r="B4" t="s">
        <v>11</v>
      </c>
      <c r="C4" t="s">
        <v>15</v>
      </c>
      <c r="D4" t="s">
        <v>104</v>
      </c>
    </row>
    <row r="5" spans="1:4" x14ac:dyDescent="0.4">
      <c r="A5">
        <v>9</v>
      </c>
      <c r="B5" t="s">
        <v>11</v>
      </c>
      <c r="C5" t="s">
        <v>16</v>
      </c>
      <c r="D5" t="s">
        <v>104</v>
      </c>
    </row>
    <row r="6" spans="1:4" x14ac:dyDescent="0.4">
      <c r="A6">
        <v>10</v>
      </c>
      <c r="B6" t="s">
        <v>11</v>
      </c>
      <c r="C6" t="s">
        <v>17</v>
      </c>
      <c r="D6" t="s">
        <v>104</v>
      </c>
    </row>
    <row r="7" spans="1:4" x14ac:dyDescent="0.4">
      <c r="A7">
        <v>11</v>
      </c>
      <c r="B7" t="s">
        <v>11</v>
      </c>
      <c r="C7" t="s">
        <v>18</v>
      </c>
      <c r="D7" t="s">
        <v>104</v>
      </c>
    </row>
    <row r="8" spans="1:4" x14ac:dyDescent="0.4">
      <c r="A8">
        <v>12</v>
      </c>
      <c r="B8" t="s">
        <v>11</v>
      </c>
      <c r="C8" t="s">
        <v>19</v>
      </c>
      <c r="D8" t="s">
        <v>104</v>
      </c>
    </row>
    <row r="9" spans="1:4" x14ac:dyDescent="0.4">
      <c r="A9">
        <v>13</v>
      </c>
      <c r="B9" t="s">
        <v>11</v>
      </c>
      <c r="C9" t="s">
        <v>20</v>
      </c>
      <c r="D9" t="s">
        <v>104</v>
      </c>
    </row>
    <row r="10" spans="1:4" x14ac:dyDescent="0.4">
      <c r="A10">
        <v>14</v>
      </c>
      <c r="B10" t="s">
        <v>11</v>
      </c>
      <c r="C10" t="s">
        <v>21</v>
      </c>
      <c r="D10" t="s">
        <v>104</v>
      </c>
    </row>
    <row r="11" spans="1:4" x14ac:dyDescent="0.4">
      <c r="A11">
        <v>15</v>
      </c>
      <c r="B11" t="s">
        <v>11</v>
      </c>
      <c r="C11" t="s">
        <v>22</v>
      </c>
      <c r="D11" t="s">
        <v>104</v>
      </c>
    </row>
    <row r="12" spans="1:4" x14ac:dyDescent="0.4">
      <c r="A12">
        <v>16</v>
      </c>
      <c r="B12" t="s">
        <v>11</v>
      </c>
      <c r="C12" t="s">
        <v>23</v>
      </c>
      <c r="D12" t="s">
        <v>104</v>
      </c>
    </row>
    <row r="13" spans="1:4" x14ac:dyDescent="0.4">
      <c r="A13">
        <v>17</v>
      </c>
      <c r="B13" t="s">
        <v>24</v>
      </c>
      <c r="C13" t="s">
        <v>12</v>
      </c>
      <c r="D13" t="s">
        <v>105</v>
      </c>
    </row>
    <row r="14" spans="1:4" x14ac:dyDescent="0.4">
      <c r="A14">
        <v>18</v>
      </c>
      <c r="B14" t="s">
        <v>24</v>
      </c>
      <c r="C14" t="s">
        <v>14</v>
      </c>
      <c r="D14" t="s">
        <v>105</v>
      </c>
    </row>
    <row r="15" spans="1:4" x14ac:dyDescent="0.4">
      <c r="A15">
        <v>19</v>
      </c>
      <c r="B15" t="s">
        <v>24</v>
      </c>
      <c r="C15" t="s">
        <v>15</v>
      </c>
      <c r="D15" t="s">
        <v>105</v>
      </c>
    </row>
    <row r="16" spans="1:4" x14ac:dyDescent="0.4">
      <c r="A16">
        <v>20</v>
      </c>
      <c r="B16" t="s">
        <v>24</v>
      </c>
      <c r="C16" t="s">
        <v>16</v>
      </c>
      <c r="D16" t="s">
        <v>105</v>
      </c>
    </row>
    <row r="17" spans="1:4" x14ac:dyDescent="0.4">
      <c r="A17">
        <v>21</v>
      </c>
      <c r="B17" t="s">
        <v>24</v>
      </c>
      <c r="C17" t="s">
        <v>17</v>
      </c>
      <c r="D17" t="s">
        <v>105</v>
      </c>
    </row>
    <row r="18" spans="1:4" x14ac:dyDescent="0.4">
      <c r="A18">
        <v>22</v>
      </c>
      <c r="B18" t="s">
        <v>24</v>
      </c>
      <c r="C18" t="s">
        <v>18</v>
      </c>
      <c r="D18" t="s">
        <v>105</v>
      </c>
    </row>
    <row r="19" spans="1:4" x14ac:dyDescent="0.4">
      <c r="A19">
        <v>23</v>
      </c>
      <c r="B19" t="s">
        <v>24</v>
      </c>
      <c r="C19" t="s">
        <v>19</v>
      </c>
      <c r="D19" t="s">
        <v>105</v>
      </c>
    </row>
    <row r="20" spans="1:4" x14ac:dyDescent="0.4">
      <c r="A20">
        <v>24</v>
      </c>
      <c r="B20" t="s">
        <v>24</v>
      </c>
      <c r="C20" t="s">
        <v>20</v>
      </c>
      <c r="D20" t="s">
        <v>105</v>
      </c>
    </row>
    <row r="21" spans="1:4" x14ac:dyDescent="0.4">
      <c r="A21">
        <v>25</v>
      </c>
      <c r="B21" t="s">
        <v>24</v>
      </c>
      <c r="C21" t="s">
        <v>21</v>
      </c>
      <c r="D21" t="s">
        <v>105</v>
      </c>
    </row>
    <row r="22" spans="1:4" x14ac:dyDescent="0.4">
      <c r="A22">
        <v>26</v>
      </c>
      <c r="B22" t="s">
        <v>24</v>
      </c>
      <c r="C22" t="s">
        <v>22</v>
      </c>
      <c r="D22" t="s">
        <v>105</v>
      </c>
    </row>
    <row r="23" spans="1:4" x14ac:dyDescent="0.4">
      <c r="A23">
        <v>27</v>
      </c>
      <c r="B23" t="s">
        <v>24</v>
      </c>
      <c r="C23" t="s">
        <v>23</v>
      </c>
      <c r="D23" t="s">
        <v>105</v>
      </c>
    </row>
    <row r="24" spans="1:4" x14ac:dyDescent="0.4">
      <c r="A24">
        <v>28</v>
      </c>
      <c r="B24" t="s">
        <v>26</v>
      </c>
      <c r="C24" t="s">
        <v>12</v>
      </c>
      <c r="D24" t="s">
        <v>106</v>
      </c>
    </row>
    <row r="25" spans="1:4" x14ac:dyDescent="0.4">
      <c r="A25">
        <v>29</v>
      </c>
      <c r="B25" t="s">
        <v>26</v>
      </c>
      <c r="C25" t="s">
        <v>14</v>
      </c>
      <c r="D25" t="s">
        <v>106</v>
      </c>
    </row>
    <row r="26" spans="1:4" x14ac:dyDescent="0.4">
      <c r="A26">
        <v>30</v>
      </c>
      <c r="B26" t="s">
        <v>26</v>
      </c>
      <c r="C26" t="s">
        <v>15</v>
      </c>
      <c r="D26" t="s">
        <v>106</v>
      </c>
    </row>
    <row r="27" spans="1:4" x14ac:dyDescent="0.4">
      <c r="A27">
        <v>31</v>
      </c>
      <c r="B27" t="s">
        <v>26</v>
      </c>
      <c r="C27" t="s">
        <v>16</v>
      </c>
      <c r="D27" t="s">
        <v>106</v>
      </c>
    </row>
    <row r="28" spans="1:4" x14ac:dyDescent="0.4">
      <c r="A28">
        <v>32</v>
      </c>
      <c r="B28" t="s">
        <v>26</v>
      </c>
      <c r="C28" t="s">
        <v>17</v>
      </c>
      <c r="D28" t="s">
        <v>106</v>
      </c>
    </row>
    <row r="29" spans="1:4" x14ac:dyDescent="0.4">
      <c r="A29">
        <v>33</v>
      </c>
      <c r="B29" t="s">
        <v>26</v>
      </c>
      <c r="C29" t="s">
        <v>18</v>
      </c>
      <c r="D29" t="s">
        <v>106</v>
      </c>
    </row>
    <row r="30" spans="1:4" x14ac:dyDescent="0.4">
      <c r="A30">
        <v>34</v>
      </c>
      <c r="B30" t="s">
        <v>26</v>
      </c>
      <c r="C30" t="s">
        <v>19</v>
      </c>
      <c r="D30" t="s">
        <v>106</v>
      </c>
    </row>
    <row r="31" spans="1:4" x14ac:dyDescent="0.4">
      <c r="A31">
        <v>35</v>
      </c>
      <c r="B31" t="s">
        <v>26</v>
      </c>
      <c r="C31" t="s">
        <v>20</v>
      </c>
      <c r="D31" t="s">
        <v>106</v>
      </c>
    </row>
    <row r="32" spans="1:4" x14ac:dyDescent="0.4">
      <c r="A32">
        <v>36</v>
      </c>
      <c r="B32" t="s">
        <v>26</v>
      </c>
      <c r="C32" t="s">
        <v>21</v>
      </c>
      <c r="D32" t="s">
        <v>106</v>
      </c>
    </row>
    <row r="33" spans="1:4" x14ac:dyDescent="0.4">
      <c r="A33">
        <v>37</v>
      </c>
      <c r="B33" t="s">
        <v>26</v>
      </c>
      <c r="C33" t="s">
        <v>22</v>
      </c>
      <c r="D33" t="s">
        <v>106</v>
      </c>
    </row>
    <row r="34" spans="1:4" x14ac:dyDescent="0.4">
      <c r="A34">
        <v>38</v>
      </c>
      <c r="B34" t="s">
        <v>26</v>
      </c>
      <c r="C34" t="s">
        <v>23</v>
      </c>
      <c r="D34" t="s">
        <v>106</v>
      </c>
    </row>
    <row r="35" spans="1:4" x14ac:dyDescent="0.4">
      <c r="A35">
        <v>39</v>
      </c>
      <c r="B35" t="s">
        <v>28</v>
      </c>
      <c r="C35" t="s">
        <v>12</v>
      </c>
      <c r="D35" t="s">
        <v>107</v>
      </c>
    </row>
    <row r="36" spans="1:4" x14ac:dyDescent="0.4">
      <c r="A36">
        <v>40</v>
      </c>
      <c r="B36" t="s">
        <v>28</v>
      </c>
      <c r="C36" t="s">
        <v>14</v>
      </c>
      <c r="D36" t="s">
        <v>107</v>
      </c>
    </row>
    <row r="37" spans="1:4" x14ac:dyDescent="0.4">
      <c r="A37">
        <v>41</v>
      </c>
      <c r="B37" t="s">
        <v>28</v>
      </c>
      <c r="C37" t="s">
        <v>15</v>
      </c>
      <c r="D37" t="s">
        <v>107</v>
      </c>
    </row>
    <row r="38" spans="1:4" x14ac:dyDescent="0.4">
      <c r="A38">
        <v>42</v>
      </c>
      <c r="B38" t="s">
        <v>28</v>
      </c>
      <c r="C38" t="s">
        <v>16</v>
      </c>
      <c r="D38" t="s">
        <v>107</v>
      </c>
    </row>
    <row r="39" spans="1:4" x14ac:dyDescent="0.4">
      <c r="A39">
        <v>43</v>
      </c>
      <c r="B39" t="s">
        <v>28</v>
      </c>
      <c r="C39" t="s">
        <v>17</v>
      </c>
      <c r="D39" t="s">
        <v>107</v>
      </c>
    </row>
    <row r="40" spans="1:4" x14ac:dyDescent="0.4">
      <c r="A40">
        <v>44</v>
      </c>
      <c r="B40" t="s">
        <v>28</v>
      </c>
      <c r="C40" t="s">
        <v>18</v>
      </c>
      <c r="D40" t="s">
        <v>107</v>
      </c>
    </row>
    <row r="41" spans="1:4" x14ac:dyDescent="0.4">
      <c r="A41">
        <v>45</v>
      </c>
      <c r="B41" t="s">
        <v>28</v>
      </c>
      <c r="C41" t="s">
        <v>19</v>
      </c>
      <c r="D41" t="s">
        <v>107</v>
      </c>
    </row>
    <row r="42" spans="1:4" x14ac:dyDescent="0.4">
      <c r="A42">
        <v>46</v>
      </c>
      <c r="B42" t="s">
        <v>28</v>
      </c>
      <c r="C42" t="s">
        <v>20</v>
      </c>
      <c r="D42" t="s">
        <v>107</v>
      </c>
    </row>
    <row r="43" spans="1:4" x14ac:dyDescent="0.4">
      <c r="A43">
        <v>47</v>
      </c>
      <c r="B43" t="s">
        <v>28</v>
      </c>
      <c r="C43" t="s">
        <v>21</v>
      </c>
      <c r="D43" t="s">
        <v>107</v>
      </c>
    </row>
    <row r="44" spans="1:4" x14ac:dyDescent="0.4">
      <c r="A44">
        <v>48</v>
      </c>
      <c r="B44" t="s">
        <v>28</v>
      </c>
      <c r="C44" t="s">
        <v>22</v>
      </c>
      <c r="D44" t="s">
        <v>107</v>
      </c>
    </row>
    <row r="45" spans="1:4" x14ac:dyDescent="0.4">
      <c r="A45">
        <v>49</v>
      </c>
      <c r="B45" t="s">
        <v>28</v>
      </c>
      <c r="C45" t="s">
        <v>23</v>
      </c>
      <c r="D45" t="s">
        <v>107</v>
      </c>
    </row>
    <row r="46" spans="1:4" x14ac:dyDescent="0.4">
      <c r="A46">
        <v>50</v>
      </c>
      <c r="B46" t="s">
        <v>30</v>
      </c>
      <c r="C46" t="s">
        <v>12</v>
      </c>
      <c r="D46" t="s">
        <v>108</v>
      </c>
    </row>
    <row r="47" spans="1:4" x14ac:dyDescent="0.4">
      <c r="A47">
        <v>51</v>
      </c>
      <c r="B47" t="s">
        <v>30</v>
      </c>
      <c r="C47" t="s">
        <v>14</v>
      </c>
      <c r="D47" t="s">
        <v>108</v>
      </c>
    </row>
    <row r="48" spans="1:4" x14ac:dyDescent="0.4">
      <c r="A48">
        <v>52</v>
      </c>
      <c r="B48" t="s">
        <v>30</v>
      </c>
      <c r="C48" t="s">
        <v>15</v>
      </c>
      <c r="D48" t="s">
        <v>108</v>
      </c>
    </row>
    <row r="49" spans="1:4" x14ac:dyDescent="0.4">
      <c r="A49">
        <v>53</v>
      </c>
      <c r="B49" t="s">
        <v>30</v>
      </c>
      <c r="C49" t="s">
        <v>16</v>
      </c>
      <c r="D49" t="s">
        <v>108</v>
      </c>
    </row>
    <row r="50" spans="1:4" x14ac:dyDescent="0.4">
      <c r="A50">
        <v>54</v>
      </c>
      <c r="B50" t="s">
        <v>30</v>
      </c>
      <c r="C50" t="s">
        <v>17</v>
      </c>
      <c r="D50" t="s">
        <v>108</v>
      </c>
    </row>
    <row r="51" spans="1:4" x14ac:dyDescent="0.4">
      <c r="A51">
        <v>55</v>
      </c>
      <c r="B51" t="s">
        <v>30</v>
      </c>
      <c r="C51" t="s">
        <v>18</v>
      </c>
      <c r="D51" t="s">
        <v>108</v>
      </c>
    </row>
    <row r="52" spans="1:4" x14ac:dyDescent="0.4">
      <c r="A52">
        <v>56</v>
      </c>
      <c r="B52" t="s">
        <v>30</v>
      </c>
      <c r="C52" t="s">
        <v>19</v>
      </c>
      <c r="D52" t="s">
        <v>108</v>
      </c>
    </row>
    <row r="53" spans="1:4" x14ac:dyDescent="0.4">
      <c r="A53">
        <v>57</v>
      </c>
      <c r="B53" t="s">
        <v>30</v>
      </c>
      <c r="C53" t="s">
        <v>20</v>
      </c>
      <c r="D53" t="s">
        <v>108</v>
      </c>
    </row>
    <row r="54" spans="1:4" x14ac:dyDescent="0.4">
      <c r="A54">
        <v>58</v>
      </c>
      <c r="B54" t="s">
        <v>30</v>
      </c>
      <c r="C54" t="s">
        <v>21</v>
      </c>
      <c r="D54" t="s">
        <v>108</v>
      </c>
    </row>
    <row r="55" spans="1:4" x14ac:dyDescent="0.4">
      <c r="A55">
        <v>59</v>
      </c>
      <c r="B55" t="s">
        <v>30</v>
      </c>
      <c r="C55" t="s">
        <v>22</v>
      </c>
      <c r="D55" t="s">
        <v>108</v>
      </c>
    </row>
    <row r="56" spans="1:4" x14ac:dyDescent="0.4">
      <c r="A56">
        <v>60</v>
      </c>
      <c r="B56" t="s">
        <v>30</v>
      </c>
      <c r="C56" t="s">
        <v>23</v>
      </c>
      <c r="D56" t="s">
        <v>108</v>
      </c>
    </row>
    <row r="57" spans="1:4" x14ac:dyDescent="0.4">
      <c r="A57">
        <v>61</v>
      </c>
      <c r="B57" t="s">
        <v>32</v>
      </c>
      <c r="C57" t="s">
        <v>12</v>
      </c>
      <c r="D57" t="s">
        <v>109</v>
      </c>
    </row>
    <row r="58" spans="1:4" x14ac:dyDescent="0.4">
      <c r="A58">
        <v>62</v>
      </c>
      <c r="B58" t="s">
        <v>32</v>
      </c>
      <c r="C58" t="s">
        <v>14</v>
      </c>
      <c r="D58" t="s">
        <v>109</v>
      </c>
    </row>
    <row r="59" spans="1:4" x14ac:dyDescent="0.4">
      <c r="A59">
        <v>63</v>
      </c>
      <c r="B59" t="s">
        <v>32</v>
      </c>
      <c r="C59" t="s">
        <v>15</v>
      </c>
      <c r="D59" t="s">
        <v>109</v>
      </c>
    </row>
    <row r="60" spans="1:4" x14ac:dyDescent="0.4">
      <c r="A60">
        <v>64</v>
      </c>
      <c r="B60" t="s">
        <v>32</v>
      </c>
      <c r="C60" t="s">
        <v>16</v>
      </c>
      <c r="D60" t="s">
        <v>109</v>
      </c>
    </row>
    <row r="61" spans="1:4" x14ac:dyDescent="0.4">
      <c r="A61">
        <v>65</v>
      </c>
      <c r="B61" t="s">
        <v>32</v>
      </c>
      <c r="C61" t="s">
        <v>17</v>
      </c>
      <c r="D61" t="s">
        <v>109</v>
      </c>
    </row>
    <row r="62" spans="1:4" x14ac:dyDescent="0.4">
      <c r="A62">
        <v>66</v>
      </c>
      <c r="B62" t="s">
        <v>32</v>
      </c>
      <c r="C62" t="s">
        <v>18</v>
      </c>
      <c r="D62" t="s">
        <v>109</v>
      </c>
    </row>
    <row r="63" spans="1:4" x14ac:dyDescent="0.4">
      <c r="A63">
        <v>67</v>
      </c>
      <c r="B63" t="s">
        <v>32</v>
      </c>
      <c r="C63" t="s">
        <v>19</v>
      </c>
      <c r="D63" t="s">
        <v>109</v>
      </c>
    </row>
    <row r="64" spans="1:4" x14ac:dyDescent="0.4">
      <c r="A64">
        <v>68</v>
      </c>
      <c r="B64" t="s">
        <v>32</v>
      </c>
      <c r="C64" t="s">
        <v>20</v>
      </c>
      <c r="D64" t="s">
        <v>109</v>
      </c>
    </row>
    <row r="65" spans="1:4" x14ac:dyDescent="0.4">
      <c r="A65">
        <v>69</v>
      </c>
      <c r="B65" t="s">
        <v>32</v>
      </c>
      <c r="C65" t="s">
        <v>21</v>
      </c>
      <c r="D65" t="s">
        <v>109</v>
      </c>
    </row>
    <row r="66" spans="1:4" x14ac:dyDescent="0.4">
      <c r="A66">
        <v>70</v>
      </c>
      <c r="B66" t="s">
        <v>32</v>
      </c>
      <c r="C66" t="s">
        <v>22</v>
      </c>
      <c r="D66" t="s">
        <v>109</v>
      </c>
    </row>
    <row r="67" spans="1:4" x14ac:dyDescent="0.4">
      <c r="A67">
        <v>71</v>
      </c>
      <c r="B67" t="s">
        <v>32</v>
      </c>
      <c r="C67" t="s">
        <v>23</v>
      </c>
      <c r="D67" t="s">
        <v>109</v>
      </c>
    </row>
    <row r="68" spans="1:4" x14ac:dyDescent="0.4">
      <c r="A68">
        <v>72</v>
      </c>
      <c r="B68" t="s">
        <v>34</v>
      </c>
      <c r="C68" t="s">
        <v>12</v>
      </c>
      <c r="D68" t="s">
        <v>110</v>
      </c>
    </row>
    <row r="69" spans="1:4" x14ac:dyDescent="0.4">
      <c r="A69">
        <v>73</v>
      </c>
      <c r="B69" t="s">
        <v>34</v>
      </c>
      <c r="C69" t="s">
        <v>14</v>
      </c>
      <c r="D69" t="s">
        <v>110</v>
      </c>
    </row>
    <row r="70" spans="1:4" x14ac:dyDescent="0.4">
      <c r="A70">
        <v>74</v>
      </c>
      <c r="B70" t="s">
        <v>34</v>
      </c>
      <c r="C70" t="s">
        <v>15</v>
      </c>
      <c r="D70" t="s">
        <v>110</v>
      </c>
    </row>
    <row r="71" spans="1:4" x14ac:dyDescent="0.4">
      <c r="A71">
        <v>75</v>
      </c>
      <c r="B71" t="s">
        <v>34</v>
      </c>
      <c r="C71" t="s">
        <v>16</v>
      </c>
      <c r="D71" t="s">
        <v>110</v>
      </c>
    </row>
    <row r="72" spans="1:4" x14ac:dyDescent="0.4">
      <c r="A72">
        <v>76</v>
      </c>
      <c r="B72" t="s">
        <v>34</v>
      </c>
      <c r="C72" t="s">
        <v>17</v>
      </c>
      <c r="D72" t="s">
        <v>110</v>
      </c>
    </row>
    <row r="73" spans="1:4" x14ac:dyDescent="0.4">
      <c r="A73">
        <v>77</v>
      </c>
      <c r="B73" t="s">
        <v>34</v>
      </c>
      <c r="C73" t="s">
        <v>18</v>
      </c>
      <c r="D73" t="s">
        <v>110</v>
      </c>
    </row>
    <row r="74" spans="1:4" x14ac:dyDescent="0.4">
      <c r="A74">
        <v>78</v>
      </c>
      <c r="B74" t="s">
        <v>34</v>
      </c>
      <c r="C74" t="s">
        <v>19</v>
      </c>
      <c r="D74" t="s">
        <v>110</v>
      </c>
    </row>
    <row r="75" spans="1:4" x14ac:dyDescent="0.4">
      <c r="A75">
        <v>79</v>
      </c>
      <c r="B75" t="s">
        <v>34</v>
      </c>
      <c r="C75" t="s">
        <v>20</v>
      </c>
      <c r="D75" t="s">
        <v>110</v>
      </c>
    </row>
    <row r="76" spans="1:4" x14ac:dyDescent="0.4">
      <c r="A76">
        <v>80</v>
      </c>
      <c r="B76" t="s">
        <v>34</v>
      </c>
      <c r="C76" t="s">
        <v>21</v>
      </c>
      <c r="D76" t="s">
        <v>110</v>
      </c>
    </row>
    <row r="77" spans="1:4" x14ac:dyDescent="0.4">
      <c r="A77">
        <v>81</v>
      </c>
      <c r="B77" t="s">
        <v>34</v>
      </c>
      <c r="C77" t="s">
        <v>22</v>
      </c>
      <c r="D77" t="s">
        <v>110</v>
      </c>
    </row>
    <row r="78" spans="1:4" x14ac:dyDescent="0.4">
      <c r="A78">
        <v>82</v>
      </c>
      <c r="B78" t="s">
        <v>34</v>
      </c>
      <c r="C78" t="s">
        <v>23</v>
      </c>
      <c r="D78" t="s">
        <v>110</v>
      </c>
    </row>
    <row r="79" spans="1:4" x14ac:dyDescent="0.4">
      <c r="A79">
        <v>83</v>
      </c>
      <c r="B79" t="s">
        <v>36</v>
      </c>
      <c r="C79" t="s">
        <v>12</v>
      </c>
      <c r="D79" t="s">
        <v>111</v>
      </c>
    </row>
    <row r="80" spans="1:4" x14ac:dyDescent="0.4">
      <c r="A80">
        <v>84</v>
      </c>
      <c r="B80" t="s">
        <v>36</v>
      </c>
      <c r="C80" t="s">
        <v>14</v>
      </c>
      <c r="D80" t="s">
        <v>111</v>
      </c>
    </row>
    <row r="81" spans="1:4" x14ac:dyDescent="0.4">
      <c r="A81">
        <v>85</v>
      </c>
      <c r="B81" t="s">
        <v>36</v>
      </c>
      <c r="C81" t="s">
        <v>15</v>
      </c>
      <c r="D81" t="s">
        <v>111</v>
      </c>
    </row>
    <row r="82" spans="1:4" x14ac:dyDescent="0.4">
      <c r="A82">
        <v>86</v>
      </c>
      <c r="B82" t="s">
        <v>36</v>
      </c>
      <c r="C82" t="s">
        <v>16</v>
      </c>
      <c r="D82" t="s">
        <v>111</v>
      </c>
    </row>
    <row r="83" spans="1:4" x14ac:dyDescent="0.4">
      <c r="A83">
        <v>87</v>
      </c>
      <c r="B83" t="s">
        <v>36</v>
      </c>
      <c r="C83" t="s">
        <v>17</v>
      </c>
      <c r="D83" t="s">
        <v>111</v>
      </c>
    </row>
    <row r="84" spans="1:4" x14ac:dyDescent="0.4">
      <c r="A84">
        <v>88</v>
      </c>
      <c r="B84" t="s">
        <v>36</v>
      </c>
      <c r="C84" t="s">
        <v>18</v>
      </c>
      <c r="D84" t="s">
        <v>111</v>
      </c>
    </row>
    <row r="85" spans="1:4" x14ac:dyDescent="0.4">
      <c r="A85">
        <v>89</v>
      </c>
      <c r="B85" t="s">
        <v>36</v>
      </c>
      <c r="C85" t="s">
        <v>19</v>
      </c>
      <c r="D85" t="s">
        <v>111</v>
      </c>
    </row>
    <row r="86" spans="1:4" x14ac:dyDescent="0.4">
      <c r="A86">
        <v>90</v>
      </c>
      <c r="B86" t="s">
        <v>36</v>
      </c>
      <c r="C86" t="s">
        <v>20</v>
      </c>
      <c r="D86" t="s">
        <v>111</v>
      </c>
    </row>
    <row r="87" spans="1:4" x14ac:dyDescent="0.4">
      <c r="A87">
        <v>91</v>
      </c>
      <c r="B87" t="s">
        <v>36</v>
      </c>
      <c r="C87" t="s">
        <v>21</v>
      </c>
      <c r="D87" t="s">
        <v>111</v>
      </c>
    </row>
    <row r="88" spans="1:4" x14ac:dyDescent="0.4">
      <c r="A88">
        <v>92</v>
      </c>
      <c r="B88" t="s">
        <v>36</v>
      </c>
      <c r="C88" t="s">
        <v>22</v>
      </c>
      <c r="D88" t="s">
        <v>111</v>
      </c>
    </row>
    <row r="89" spans="1:4" x14ac:dyDescent="0.4">
      <c r="A89">
        <v>93</v>
      </c>
      <c r="B89" t="s">
        <v>36</v>
      </c>
      <c r="C89" t="s">
        <v>23</v>
      </c>
      <c r="D89" t="s">
        <v>111</v>
      </c>
    </row>
    <row r="90" spans="1:4" x14ac:dyDescent="0.4">
      <c r="A90">
        <v>94</v>
      </c>
      <c r="B90" t="s">
        <v>38</v>
      </c>
      <c r="C90" t="s">
        <v>12</v>
      </c>
      <c r="D90" t="s">
        <v>112</v>
      </c>
    </row>
    <row r="91" spans="1:4" x14ac:dyDescent="0.4">
      <c r="A91">
        <v>95</v>
      </c>
      <c r="B91" t="s">
        <v>38</v>
      </c>
      <c r="C91" t="s">
        <v>14</v>
      </c>
      <c r="D91" t="s">
        <v>112</v>
      </c>
    </row>
    <row r="92" spans="1:4" x14ac:dyDescent="0.4">
      <c r="A92">
        <v>96</v>
      </c>
      <c r="B92" t="s">
        <v>38</v>
      </c>
      <c r="C92" t="s">
        <v>15</v>
      </c>
      <c r="D92" t="s">
        <v>112</v>
      </c>
    </row>
    <row r="93" spans="1:4" x14ac:dyDescent="0.4">
      <c r="A93">
        <v>97</v>
      </c>
      <c r="B93" t="s">
        <v>38</v>
      </c>
      <c r="C93" t="s">
        <v>16</v>
      </c>
      <c r="D93" t="s">
        <v>112</v>
      </c>
    </row>
    <row r="94" spans="1:4" x14ac:dyDescent="0.4">
      <c r="A94">
        <v>98</v>
      </c>
      <c r="B94" t="s">
        <v>38</v>
      </c>
      <c r="C94" t="s">
        <v>17</v>
      </c>
      <c r="D94" t="s">
        <v>112</v>
      </c>
    </row>
    <row r="95" spans="1:4" x14ac:dyDescent="0.4">
      <c r="A95">
        <v>99</v>
      </c>
      <c r="B95" t="s">
        <v>38</v>
      </c>
      <c r="C95" t="s">
        <v>18</v>
      </c>
      <c r="D95" t="s">
        <v>112</v>
      </c>
    </row>
    <row r="96" spans="1:4" x14ac:dyDescent="0.4">
      <c r="A96">
        <v>100</v>
      </c>
      <c r="B96" t="s">
        <v>38</v>
      </c>
      <c r="C96" t="s">
        <v>19</v>
      </c>
      <c r="D96" t="s">
        <v>112</v>
      </c>
    </row>
    <row r="97" spans="1:4" x14ac:dyDescent="0.4">
      <c r="A97">
        <v>101</v>
      </c>
      <c r="B97" t="s">
        <v>38</v>
      </c>
      <c r="C97" t="s">
        <v>20</v>
      </c>
      <c r="D97" t="s">
        <v>112</v>
      </c>
    </row>
    <row r="98" spans="1:4" x14ac:dyDescent="0.4">
      <c r="A98">
        <v>102</v>
      </c>
      <c r="B98" t="s">
        <v>38</v>
      </c>
      <c r="C98" t="s">
        <v>21</v>
      </c>
      <c r="D98" t="s">
        <v>112</v>
      </c>
    </row>
    <row r="99" spans="1:4" x14ac:dyDescent="0.4">
      <c r="A99">
        <v>103</v>
      </c>
      <c r="B99" t="s">
        <v>38</v>
      </c>
      <c r="C99" t="s">
        <v>22</v>
      </c>
      <c r="D99" t="s">
        <v>112</v>
      </c>
    </row>
    <row r="100" spans="1:4" x14ac:dyDescent="0.4">
      <c r="A100">
        <v>104</v>
      </c>
      <c r="B100" t="s">
        <v>38</v>
      </c>
      <c r="C100" t="s">
        <v>23</v>
      </c>
      <c r="D100" t="s">
        <v>112</v>
      </c>
    </row>
    <row r="101" spans="1:4" x14ac:dyDescent="0.4">
      <c r="A101">
        <v>105</v>
      </c>
      <c r="B101" t="s">
        <v>40</v>
      </c>
      <c r="C101" t="s">
        <v>12</v>
      </c>
      <c r="D101" t="s">
        <v>113</v>
      </c>
    </row>
    <row r="102" spans="1:4" x14ac:dyDescent="0.4">
      <c r="A102">
        <v>106</v>
      </c>
      <c r="B102" t="s">
        <v>40</v>
      </c>
      <c r="C102" t="s">
        <v>14</v>
      </c>
      <c r="D102" t="s">
        <v>113</v>
      </c>
    </row>
    <row r="103" spans="1:4" x14ac:dyDescent="0.4">
      <c r="A103">
        <v>107</v>
      </c>
      <c r="B103" t="s">
        <v>40</v>
      </c>
      <c r="C103" t="s">
        <v>15</v>
      </c>
      <c r="D103" t="s">
        <v>113</v>
      </c>
    </row>
    <row r="104" spans="1:4" x14ac:dyDescent="0.4">
      <c r="A104">
        <v>108</v>
      </c>
      <c r="B104" t="s">
        <v>40</v>
      </c>
      <c r="C104" t="s">
        <v>16</v>
      </c>
      <c r="D104" t="s">
        <v>113</v>
      </c>
    </row>
    <row r="105" spans="1:4" x14ac:dyDescent="0.4">
      <c r="A105">
        <v>109</v>
      </c>
      <c r="B105" t="s">
        <v>40</v>
      </c>
      <c r="C105" t="s">
        <v>17</v>
      </c>
      <c r="D105" t="s">
        <v>113</v>
      </c>
    </row>
    <row r="106" spans="1:4" x14ac:dyDescent="0.4">
      <c r="A106">
        <v>110</v>
      </c>
      <c r="B106" t="s">
        <v>40</v>
      </c>
      <c r="C106" t="s">
        <v>18</v>
      </c>
      <c r="D106" t="s">
        <v>113</v>
      </c>
    </row>
    <row r="107" spans="1:4" x14ac:dyDescent="0.4">
      <c r="A107">
        <v>111</v>
      </c>
      <c r="B107" t="s">
        <v>40</v>
      </c>
      <c r="C107" t="s">
        <v>19</v>
      </c>
      <c r="D107" t="s">
        <v>113</v>
      </c>
    </row>
    <row r="108" spans="1:4" x14ac:dyDescent="0.4">
      <c r="A108">
        <v>112</v>
      </c>
      <c r="B108" t="s">
        <v>40</v>
      </c>
      <c r="C108" t="s">
        <v>20</v>
      </c>
      <c r="D108" t="s">
        <v>113</v>
      </c>
    </row>
    <row r="109" spans="1:4" x14ac:dyDescent="0.4">
      <c r="A109">
        <v>113</v>
      </c>
      <c r="B109" t="s">
        <v>40</v>
      </c>
      <c r="C109" t="s">
        <v>21</v>
      </c>
      <c r="D109" t="s">
        <v>113</v>
      </c>
    </row>
    <row r="110" spans="1:4" x14ac:dyDescent="0.4">
      <c r="A110">
        <v>114</v>
      </c>
      <c r="B110" t="s">
        <v>40</v>
      </c>
      <c r="C110" t="s">
        <v>22</v>
      </c>
      <c r="D110" t="s">
        <v>113</v>
      </c>
    </row>
    <row r="111" spans="1:4" x14ac:dyDescent="0.4">
      <c r="A111">
        <v>115</v>
      </c>
      <c r="B111" t="s">
        <v>40</v>
      </c>
      <c r="C111" t="s">
        <v>23</v>
      </c>
      <c r="D111" t="s">
        <v>113</v>
      </c>
    </row>
    <row r="112" spans="1:4" x14ac:dyDescent="0.4">
      <c r="A112">
        <v>116</v>
      </c>
      <c r="B112" t="s">
        <v>42</v>
      </c>
      <c r="C112" t="s">
        <v>12</v>
      </c>
      <c r="D112" t="s">
        <v>114</v>
      </c>
    </row>
    <row r="113" spans="1:4" x14ac:dyDescent="0.4">
      <c r="A113">
        <v>117</v>
      </c>
      <c r="B113" t="s">
        <v>42</v>
      </c>
      <c r="C113" t="s">
        <v>14</v>
      </c>
      <c r="D113" t="s">
        <v>114</v>
      </c>
    </row>
    <row r="114" spans="1:4" x14ac:dyDescent="0.4">
      <c r="A114">
        <v>118</v>
      </c>
      <c r="B114" t="s">
        <v>42</v>
      </c>
      <c r="C114" t="s">
        <v>15</v>
      </c>
      <c r="D114" t="s">
        <v>114</v>
      </c>
    </row>
    <row r="115" spans="1:4" x14ac:dyDescent="0.4">
      <c r="A115">
        <v>119</v>
      </c>
      <c r="B115" t="s">
        <v>42</v>
      </c>
      <c r="C115" t="s">
        <v>16</v>
      </c>
      <c r="D115" t="s">
        <v>114</v>
      </c>
    </row>
    <row r="116" spans="1:4" x14ac:dyDescent="0.4">
      <c r="A116">
        <v>120</v>
      </c>
      <c r="B116" t="s">
        <v>42</v>
      </c>
      <c r="C116" t="s">
        <v>17</v>
      </c>
      <c r="D116" t="s">
        <v>114</v>
      </c>
    </row>
    <row r="117" spans="1:4" x14ac:dyDescent="0.4">
      <c r="A117">
        <v>121</v>
      </c>
      <c r="B117" t="s">
        <v>42</v>
      </c>
      <c r="C117" t="s">
        <v>18</v>
      </c>
      <c r="D117" t="s">
        <v>114</v>
      </c>
    </row>
    <row r="118" spans="1:4" x14ac:dyDescent="0.4">
      <c r="A118">
        <v>122</v>
      </c>
      <c r="B118" t="s">
        <v>42</v>
      </c>
      <c r="C118" t="s">
        <v>19</v>
      </c>
      <c r="D118" t="s">
        <v>114</v>
      </c>
    </row>
    <row r="119" spans="1:4" x14ac:dyDescent="0.4">
      <c r="A119">
        <v>123</v>
      </c>
      <c r="B119" t="s">
        <v>42</v>
      </c>
      <c r="C119" t="s">
        <v>20</v>
      </c>
      <c r="D119" t="s">
        <v>114</v>
      </c>
    </row>
    <row r="120" spans="1:4" x14ac:dyDescent="0.4">
      <c r="A120">
        <v>124</v>
      </c>
      <c r="B120" t="s">
        <v>42</v>
      </c>
      <c r="C120" t="s">
        <v>21</v>
      </c>
      <c r="D120" t="s">
        <v>114</v>
      </c>
    </row>
    <row r="121" spans="1:4" x14ac:dyDescent="0.4">
      <c r="A121">
        <v>125</v>
      </c>
      <c r="B121" t="s">
        <v>42</v>
      </c>
      <c r="C121" t="s">
        <v>22</v>
      </c>
      <c r="D121" t="s">
        <v>114</v>
      </c>
    </row>
    <row r="122" spans="1:4" x14ac:dyDescent="0.4">
      <c r="A122">
        <v>126</v>
      </c>
      <c r="B122" t="s">
        <v>42</v>
      </c>
      <c r="C122" t="s">
        <v>23</v>
      </c>
      <c r="D122" t="s">
        <v>114</v>
      </c>
    </row>
    <row r="123" spans="1:4" x14ac:dyDescent="0.4">
      <c r="A123">
        <v>128</v>
      </c>
      <c r="B123" t="s">
        <v>11</v>
      </c>
      <c r="C123" t="s">
        <v>45</v>
      </c>
      <c r="D123" t="s">
        <v>104</v>
      </c>
    </row>
    <row r="124" spans="1:4" x14ac:dyDescent="0.4">
      <c r="A124">
        <v>129</v>
      </c>
      <c r="B124" t="s">
        <v>11</v>
      </c>
      <c r="C124" t="s">
        <v>46</v>
      </c>
      <c r="D124" t="s">
        <v>104</v>
      </c>
    </row>
    <row r="125" spans="1:4" x14ac:dyDescent="0.4">
      <c r="A125">
        <v>130</v>
      </c>
      <c r="B125" t="s">
        <v>11</v>
      </c>
      <c r="C125" t="s">
        <v>47</v>
      </c>
      <c r="D125" t="s">
        <v>104</v>
      </c>
    </row>
    <row r="126" spans="1:4" x14ac:dyDescent="0.4">
      <c r="A126">
        <v>131</v>
      </c>
      <c r="B126" t="s">
        <v>11</v>
      </c>
      <c r="C126" t="s">
        <v>48</v>
      </c>
      <c r="D126" t="s">
        <v>104</v>
      </c>
    </row>
    <row r="127" spans="1:4" x14ac:dyDescent="0.4">
      <c r="A127">
        <v>132</v>
      </c>
      <c r="B127" t="s">
        <v>24</v>
      </c>
      <c r="C127" t="s">
        <v>45</v>
      </c>
      <c r="D127" t="s">
        <v>105</v>
      </c>
    </row>
    <row r="128" spans="1:4" x14ac:dyDescent="0.4">
      <c r="A128">
        <v>133</v>
      </c>
      <c r="B128" t="s">
        <v>24</v>
      </c>
      <c r="C128" t="s">
        <v>46</v>
      </c>
      <c r="D128" t="s">
        <v>105</v>
      </c>
    </row>
    <row r="129" spans="1:4" x14ac:dyDescent="0.4">
      <c r="A129">
        <v>134</v>
      </c>
      <c r="B129" t="s">
        <v>24</v>
      </c>
      <c r="C129" t="s">
        <v>47</v>
      </c>
      <c r="D129" t="s">
        <v>105</v>
      </c>
    </row>
    <row r="130" spans="1:4" x14ac:dyDescent="0.4">
      <c r="A130">
        <v>135</v>
      </c>
      <c r="B130" t="s">
        <v>24</v>
      </c>
      <c r="C130" t="s">
        <v>48</v>
      </c>
      <c r="D130" t="s">
        <v>105</v>
      </c>
    </row>
    <row r="131" spans="1:4" x14ac:dyDescent="0.4">
      <c r="A131">
        <v>136</v>
      </c>
      <c r="B131" t="s">
        <v>26</v>
      </c>
      <c r="C131" t="s">
        <v>45</v>
      </c>
      <c r="D131" t="s">
        <v>106</v>
      </c>
    </row>
    <row r="132" spans="1:4" x14ac:dyDescent="0.4">
      <c r="A132">
        <v>137</v>
      </c>
      <c r="B132" t="s">
        <v>26</v>
      </c>
      <c r="C132" t="s">
        <v>46</v>
      </c>
      <c r="D132" t="s">
        <v>106</v>
      </c>
    </row>
    <row r="133" spans="1:4" x14ac:dyDescent="0.4">
      <c r="A133">
        <v>138</v>
      </c>
      <c r="B133" t="s">
        <v>26</v>
      </c>
      <c r="C133" t="s">
        <v>47</v>
      </c>
      <c r="D133" t="s">
        <v>106</v>
      </c>
    </row>
    <row r="134" spans="1:4" x14ac:dyDescent="0.4">
      <c r="A134">
        <v>139</v>
      </c>
      <c r="B134" t="s">
        <v>26</v>
      </c>
      <c r="C134" t="s">
        <v>48</v>
      </c>
      <c r="D134" t="s">
        <v>106</v>
      </c>
    </row>
    <row r="135" spans="1:4" x14ac:dyDescent="0.4">
      <c r="A135">
        <v>140</v>
      </c>
      <c r="B135" t="s">
        <v>28</v>
      </c>
      <c r="C135" t="s">
        <v>45</v>
      </c>
      <c r="D135" t="s">
        <v>107</v>
      </c>
    </row>
    <row r="136" spans="1:4" x14ac:dyDescent="0.4">
      <c r="A136">
        <v>141</v>
      </c>
      <c r="B136" t="s">
        <v>28</v>
      </c>
      <c r="C136" t="s">
        <v>46</v>
      </c>
      <c r="D136" t="s">
        <v>107</v>
      </c>
    </row>
    <row r="137" spans="1:4" x14ac:dyDescent="0.4">
      <c r="A137">
        <v>142</v>
      </c>
      <c r="B137" t="s">
        <v>28</v>
      </c>
      <c r="C137" t="s">
        <v>47</v>
      </c>
      <c r="D137" t="s">
        <v>107</v>
      </c>
    </row>
    <row r="138" spans="1:4" x14ac:dyDescent="0.4">
      <c r="A138">
        <v>143</v>
      </c>
      <c r="B138" t="s">
        <v>28</v>
      </c>
      <c r="C138" t="s">
        <v>48</v>
      </c>
      <c r="D138" t="s">
        <v>107</v>
      </c>
    </row>
    <row r="139" spans="1:4" x14ac:dyDescent="0.4">
      <c r="A139">
        <v>144</v>
      </c>
      <c r="B139" t="s">
        <v>30</v>
      </c>
      <c r="C139" t="s">
        <v>45</v>
      </c>
      <c r="D139" t="s">
        <v>108</v>
      </c>
    </row>
    <row r="140" spans="1:4" x14ac:dyDescent="0.4">
      <c r="A140">
        <v>145</v>
      </c>
      <c r="B140" t="s">
        <v>30</v>
      </c>
      <c r="C140" t="s">
        <v>46</v>
      </c>
      <c r="D140" t="s">
        <v>108</v>
      </c>
    </row>
    <row r="141" spans="1:4" x14ac:dyDescent="0.4">
      <c r="A141">
        <v>146</v>
      </c>
      <c r="B141" t="s">
        <v>30</v>
      </c>
      <c r="C141" t="s">
        <v>47</v>
      </c>
      <c r="D141" t="s">
        <v>108</v>
      </c>
    </row>
    <row r="142" spans="1:4" x14ac:dyDescent="0.4">
      <c r="A142">
        <v>147</v>
      </c>
      <c r="B142" t="s">
        <v>30</v>
      </c>
      <c r="C142" t="s">
        <v>48</v>
      </c>
      <c r="D142" t="s">
        <v>108</v>
      </c>
    </row>
    <row r="143" spans="1:4" x14ac:dyDescent="0.4">
      <c r="A143">
        <v>148</v>
      </c>
      <c r="B143" t="s">
        <v>32</v>
      </c>
      <c r="C143" t="s">
        <v>45</v>
      </c>
      <c r="D143" t="s">
        <v>109</v>
      </c>
    </row>
    <row r="144" spans="1:4" x14ac:dyDescent="0.4">
      <c r="A144">
        <v>149</v>
      </c>
      <c r="B144" t="s">
        <v>32</v>
      </c>
      <c r="C144" t="s">
        <v>46</v>
      </c>
      <c r="D144" t="s">
        <v>109</v>
      </c>
    </row>
    <row r="145" spans="1:4" x14ac:dyDescent="0.4">
      <c r="A145">
        <v>150</v>
      </c>
      <c r="B145" t="s">
        <v>32</v>
      </c>
      <c r="C145" t="s">
        <v>47</v>
      </c>
      <c r="D145" t="s">
        <v>109</v>
      </c>
    </row>
    <row r="146" spans="1:4" x14ac:dyDescent="0.4">
      <c r="A146">
        <v>151</v>
      </c>
      <c r="B146" t="s">
        <v>32</v>
      </c>
      <c r="C146" t="s">
        <v>48</v>
      </c>
      <c r="D146" t="s">
        <v>109</v>
      </c>
    </row>
    <row r="147" spans="1:4" x14ac:dyDescent="0.4">
      <c r="A147">
        <v>152</v>
      </c>
      <c r="B147" t="s">
        <v>34</v>
      </c>
      <c r="C147" t="s">
        <v>45</v>
      </c>
      <c r="D147" t="s">
        <v>110</v>
      </c>
    </row>
    <row r="148" spans="1:4" x14ac:dyDescent="0.4">
      <c r="A148">
        <v>153</v>
      </c>
      <c r="B148" t="s">
        <v>34</v>
      </c>
      <c r="C148" t="s">
        <v>46</v>
      </c>
      <c r="D148" t="s">
        <v>110</v>
      </c>
    </row>
    <row r="149" spans="1:4" x14ac:dyDescent="0.4">
      <c r="A149">
        <v>154</v>
      </c>
      <c r="B149" t="s">
        <v>34</v>
      </c>
      <c r="C149" t="s">
        <v>47</v>
      </c>
      <c r="D149" t="s">
        <v>110</v>
      </c>
    </row>
    <row r="150" spans="1:4" x14ac:dyDescent="0.4">
      <c r="A150">
        <v>155</v>
      </c>
      <c r="B150" t="s">
        <v>34</v>
      </c>
      <c r="C150" t="s">
        <v>48</v>
      </c>
      <c r="D150" t="s">
        <v>110</v>
      </c>
    </row>
    <row r="151" spans="1:4" x14ac:dyDescent="0.4">
      <c r="A151">
        <v>156</v>
      </c>
      <c r="B151" t="s">
        <v>36</v>
      </c>
      <c r="C151" t="s">
        <v>45</v>
      </c>
      <c r="D151" t="s">
        <v>111</v>
      </c>
    </row>
    <row r="152" spans="1:4" x14ac:dyDescent="0.4">
      <c r="A152">
        <v>157</v>
      </c>
      <c r="B152" t="s">
        <v>36</v>
      </c>
      <c r="C152" t="s">
        <v>46</v>
      </c>
      <c r="D152" t="s">
        <v>111</v>
      </c>
    </row>
    <row r="153" spans="1:4" x14ac:dyDescent="0.4">
      <c r="A153">
        <v>158</v>
      </c>
      <c r="B153" t="s">
        <v>36</v>
      </c>
      <c r="C153" t="s">
        <v>47</v>
      </c>
      <c r="D153" t="s">
        <v>111</v>
      </c>
    </row>
    <row r="154" spans="1:4" x14ac:dyDescent="0.4">
      <c r="A154">
        <v>159</v>
      </c>
      <c r="B154" t="s">
        <v>36</v>
      </c>
      <c r="C154" t="s">
        <v>48</v>
      </c>
      <c r="D154" t="s">
        <v>111</v>
      </c>
    </row>
    <row r="155" spans="1:4" x14ac:dyDescent="0.4">
      <c r="A155">
        <v>160</v>
      </c>
      <c r="B155" t="s">
        <v>38</v>
      </c>
      <c r="C155" t="s">
        <v>45</v>
      </c>
      <c r="D155" t="s">
        <v>112</v>
      </c>
    </row>
    <row r="156" spans="1:4" x14ac:dyDescent="0.4">
      <c r="A156">
        <v>161</v>
      </c>
      <c r="B156" t="s">
        <v>38</v>
      </c>
      <c r="C156" t="s">
        <v>46</v>
      </c>
      <c r="D156" t="s">
        <v>112</v>
      </c>
    </row>
    <row r="157" spans="1:4" x14ac:dyDescent="0.4">
      <c r="A157">
        <v>162</v>
      </c>
      <c r="B157" t="s">
        <v>38</v>
      </c>
      <c r="C157" t="s">
        <v>47</v>
      </c>
      <c r="D157" t="s">
        <v>112</v>
      </c>
    </row>
    <row r="158" spans="1:4" x14ac:dyDescent="0.4">
      <c r="A158">
        <v>163</v>
      </c>
      <c r="B158" t="s">
        <v>38</v>
      </c>
      <c r="C158" t="s">
        <v>48</v>
      </c>
      <c r="D158" t="s">
        <v>112</v>
      </c>
    </row>
    <row r="159" spans="1:4" x14ac:dyDescent="0.4">
      <c r="A159">
        <v>164</v>
      </c>
      <c r="B159" t="s">
        <v>40</v>
      </c>
      <c r="C159" t="s">
        <v>45</v>
      </c>
      <c r="D159" t="s">
        <v>113</v>
      </c>
    </row>
    <row r="160" spans="1:4" x14ac:dyDescent="0.4">
      <c r="A160">
        <v>165</v>
      </c>
      <c r="B160" t="s">
        <v>40</v>
      </c>
      <c r="C160" t="s">
        <v>46</v>
      </c>
      <c r="D160" t="s">
        <v>113</v>
      </c>
    </row>
    <row r="161" spans="1:4" x14ac:dyDescent="0.4">
      <c r="A161">
        <v>166</v>
      </c>
      <c r="B161" t="s">
        <v>40</v>
      </c>
      <c r="C161" t="s">
        <v>47</v>
      </c>
      <c r="D161" t="s">
        <v>113</v>
      </c>
    </row>
    <row r="162" spans="1:4" x14ac:dyDescent="0.4">
      <c r="A162">
        <v>167</v>
      </c>
      <c r="B162" t="s">
        <v>40</v>
      </c>
      <c r="C162" t="s">
        <v>48</v>
      </c>
      <c r="D162" t="s">
        <v>113</v>
      </c>
    </row>
    <row r="163" spans="1:4" x14ac:dyDescent="0.4">
      <c r="A163">
        <v>168</v>
      </c>
      <c r="B163" t="s">
        <v>42</v>
      </c>
      <c r="C163" t="s">
        <v>45</v>
      </c>
      <c r="D163" t="s">
        <v>114</v>
      </c>
    </row>
    <row r="164" spans="1:4" x14ac:dyDescent="0.4">
      <c r="A164">
        <v>169</v>
      </c>
      <c r="B164" t="s">
        <v>42</v>
      </c>
      <c r="C164" t="s">
        <v>46</v>
      </c>
      <c r="D164" t="s">
        <v>114</v>
      </c>
    </row>
    <row r="165" spans="1:4" x14ac:dyDescent="0.4">
      <c r="A165">
        <v>170</v>
      </c>
      <c r="B165" t="s">
        <v>42</v>
      </c>
      <c r="C165" t="s">
        <v>47</v>
      </c>
      <c r="D165" t="s">
        <v>114</v>
      </c>
    </row>
    <row r="166" spans="1:4" x14ac:dyDescent="0.4">
      <c r="A166">
        <v>171</v>
      </c>
      <c r="B166" t="s">
        <v>42</v>
      </c>
      <c r="C166" t="s">
        <v>48</v>
      </c>
      <c r="D166" t="s">
        <v>114</v>
      </c>
    </row>
    <row r="167" spans="1:4" x14ac:dyDescent="0.4">
      <c r="A167">
        <v>173</v>
      </c>
      <c r="B167" t="s">
        <v>50</v>
      </c>
      <c r="C167" t="s">
        <v>12</v>
      </c>
      <c r="D167" t="s">
        <v>115</v>
      </c>
    </row>
    <row r="168" spans="1:4" x14ac:dyDescent="0.4">
      <c r="A168">
        <v>174</v>
      </c>
      <c r="B168" t="s">
        <v>50</v>
      </c>
      <c r="C168" t="s">
        <v>14</v>
      </c>
      <c r="D168" t="s">
        <v>115</v>
      </c>
    </row>
    <row r="169" spans="1:4" x14ac:dyDescent="0.4">
      <c r="A169">
        <v>175</v>
      </c>
      <c r="B169" t="s">
        <v>50</v>
      </c>
      <c r="C169" t="s">
        <v>15</v>
      </c>
      <c r="D169" t="s">
        <v>115</v>
      </c>
    </row>
    <row r="170" spans="1:4" x14ac:dyDescent="0.4">
      <c r="A170">
        <v>176</v>
      </c>
      <c r="B170" t="s">
        <v>50</v>
      </c>
      <c r="C170" t="s">
        <v>16</v>
      </c>
      <c r="D170" t="s">
        <v>115</v>
      </c>
    </row>
    <row r="171" spans="1:4" x14ac:dyDescent="0.4">
      <c r="A171">
        <v>177</v>
      </c>
      <c r="B171" t="s">
        <v>50</v>
      </c>
      <c r="C171" t="s">
        <v>17</v>
      </c>
      <c r="D171" t="s">
        <v>115</v>
      </c>
    </row>
    <row r="172" spans="1:4" x14ac:dyDescent="0.4">
      <c r="A172">
        <v>178</v>
      </c>
      <c r="B172" t="s">
        <v>50</v>
      </c>
      <c r="C172" t="s">
        <v>18</v>
      </c>
      <c r="D172" t="s">
        <v>115</v>
      </c>
    </row>
    <row r="173" spans="1:4" x14ac:dyDescent="0.4">
      <c r="A173">
        <v>179</v>
      </c>
      <c r="B173" t="s">
        <v>50</v>
      </c>
      <c r="C173" t="s">
        <v>19</v>
      </c>
      <c r="D173" t="s">
        <v>115</v>
      </c>
    </row>
    <row r="174" spans="1:4" x14ac:dyDescent="0.4">
      <c r="A174">
        <v>180</v>
      </c>
      <c r="B174" t="s">
        <v>50</v>
      </c>
      <c r="C174" t="s">
        <v>20</v>
      </c>
      <c r="D174" t="s">
        <v>115</v>
      </c>
    </row>
    <row r="175" spans="1:4" x14ac:dyDescent="0.4">
      <c r="A175">
        <v>181</v>
      </c>
      <c r="B175" t="s">
        <v>50</v>
      </c>
      <c r="C175" t="s">
        <v>21</v>
      </c>
      <c r="D175" t="s">
        <v>115</v>
      </c>
    </row>
    <row r="176" spans="1:4" x14ac:dyDescent="0.4">
      <c r="A176">
        <v>182</v>
      </c>
      <c r="B176" t="s">
        <v>50</v>
      </c>
      <c r="C176" t="s">
        <v>22</v>
      </c>
      <c r="D176" t="s">
        <v>115</v>
      </c>
    </row>
    <row r="177" spans="1:4" x14ac:dyDescent="0.4">
      <c r="A177">
        <v>183</v>
      </c>
      <c r="B177" t="s">
        <v>50</v>
      </c>
      <c r="C177" t="s">
        <v>23</v>
      </c>
      <c r="D177" t="s">
        <v>115</v>
      </c>
    </row>
    <row r="178" spans="1:4" x14ac:dyDescent="0.4">
      <c r="A178">
        <v>184</v>
      </c>
      <c r="B178" t="s">
        <v>52</v>
      </c>
      <c r="C178" t="s">
        <v>12</v>
      </c>
      <c r="D178" t="s">
        <v>116</v>
      </c>
    </row>
    <row r="179" spans="1:4" x14ac:dyDescent="0.4">
      <c r="A179">
        <v>185</v>
      </c>
      <c r="B179" t="s">
        <v>52</v>
      </c>
      <c r="C179" t="s">
        <v>14</v>
      </c>
      <c r="D179" t="s">
        <v>116</v>
      </c>
    </row>
    <row r="180" spans="1:4" x14ac:dyDescent="0.4">
      <c r="A180">
        <v>186</v>
      </c>
      <c r="B180" t="s">
        <v>52</v>
      </c>
      <c r="C180" t="s">
        <v>15</v>
      </c>
      <c r="D180" t="s">
        <v>116</v>
      </c>
    </row>
    <row r="181" spans="1:4" x14ac:dyDescent="0.4">
      <c r="A181">
        <v>187</v>
      </c>
      <c r="B181" t="s">
        <v>52</v>
      </c>
      <c r="C181" t="s">
        <v>16</v>
      </c>
      <c r="D181" t="s">
        <v>116</v>
      </c>
    </row>
    <row r="182" spans="1:4" x14ac:dyDescent="0.4">
      <c r="A182">
        <v>188</v>
      </c>
      <c r="B182" t="s">
        <v>52</v>
      </c>
      <c r="C182" t="s">
        <v>17</v>
      </c>
      <c r="D182" t="s">
        <v>116</v>
      </c>
    </row>
    <row r="183" spans="1:4" x14ac:dyDescent="0.4">
      <c r="A183">
        <v>189</v>
      </c>
      <c r="B183" t="s">
        <v>52</v>
      </c>
      <c r="C183" t="s">
        <v>18</v>
      </c>
      <c r="D183" t="s">
        <v>116</v>
      </c>
    </row>
    <row r="184" spans="1:4" x14ac:dyDescent="0.4">
      <c r="A184">
        <v>190</v>
      </c>
      <c r="B184" t="s">
        <v>52</v>
      </c>
      <c r="C184" t="s">
        <v>19</v>
      </c>
      <c r="D184" t="s">
        <v>116</v>
      </c>
    </row>
    <row r="185" spans="1:4" x14ac:dyDescent="0.4">
      <c r="A185">
        <v>191</v>
      </c>
      <c r="B185" t="s">
        <v>52</v>
      </c>
      <c r="C185" t="s">
        <v>20</v>
      </c>
      <c r="D185" t="s">
        <v>116</v>
      </c>
    </row>
    <row r="186" spans="1:4" x14ac:dyDescent="0.4">
      <c r="A186">
        <v>192</v>
      </c>
      <c r="B186" t="s">
        <v>52</v>
      </c>
      <c r="C186" t="s">
        <v>21</v>
      </c>
      <c r="D186" t="s">
        <v>116</v>
      </c>
    </row>
    <row r="187" spans="1:4" x14ac:dyDescent="0.4">
      <c r="A187">
        <v>193</v>
      </c>
      <c r="B187" t="s">
        <v>52</v>
      </c>
      <c r="C187" t="s">
        <v>22</v>
      </c>
      <c r="D187" t="s">
        <v>116</v>
      </c>
    </row>
    <row r="188" spans="1:4" x14ac:dyDescent="0.4">
      <c r="A188">
        <v>194</v>
      </c>
      <c r="B188" t="s">
        <v>52</v>
      </c>
      <c r="C188" t="s">
        <v>23</v>
      </c>
      <c r="D188" t="s">
        <v>116</v>
      </c>
    </row>
    <row r="189" spans="1:4" x14ac:dyDescent="0.4">
      <c r="A189">
        <v>195</v>
      </c>
      <c r="B189" t="s">
        <v>54</v>
      </c>
      <c r="C189" t="s">
        <v>12</v>
      </c>
      <c r="D189" t="s">
        <v>117</v>
      </c>
    </row>
    <row r="190" spans="1:4" x14ac:dyDescent="0.4">
      <c r="A190">
        <v>196</v>
      </c>
      <c r="B190" t="s">
        <v>54</v>
      </c>
      <c r="C190" t="s">
        <v>14</v>
      </c>
      <c r="D190" t="s">
        <v>117</v>
      </c>
    </row>
    <row r="191" spans="1:4" x14ac:dyDescent="0.4">
      <c r="A191">
        <v>197</v>
      </c>
      <c r="B191" t="s">
        <v>54</v>
      </c>
      <c r="C191" t="s">
        <v>15</v>
      </c>
      <c r="D191" t="s">
        <v>117</v>
      </c>
    </row>
    <row r="192" spans="1:4" x14ac:dyDescent="0.4">
      <c r="A192">
        <v>198</v>
      </c>
      <c r="B192" t="s">
        <v>54</v>
      </c>
      <c r="C192" t="s">
        <v>16</v>
      </c>
      <c r="D192" t="s">
        <v>117</v>
      </c>
    </row>
    <row r="193" spans="1:4" x14ac:dyDescent="0.4">
      <c r="A193">
        <v>199</v>
      </c>
      <c r="B193" t="s">
        <v>54</v>
      </c>
      <c r="C193" t="s">
        <v>17</v>
      </c>
      <c r="D193" t="s">
        <v>117</v>
      </c>
    </row>
    <row r="194" spans="1:4" x14ac:dyDescent="0.4">
      <c r="A194">
        <v>200</v>
      </c>
      <c r="B194" t="s">
        <v>54</v>
      </c>
      <c r="C194" t="s">
        <v>18</v>
      </c>
      <c r="D194" t="s">
        <v>117</v>
      </c>
    </row>
    <row r="195" spans="1:4" x14ac:dyDescent="0.4">
      <c r="A195">
        <v>201</v>
      </c>
      <c r="B195" t="s">
        <v>54</v>
      </c>
      <c r="C195" t="s">
        <v>19</v>
      </c>
      <c r="D195" t="s">
        <v>117</v>
      </c>
    </row>
    <row r="196" spans="1:4" x14ac:dyDescent="0.4">
      <c r="A196">
        <v>202</v>
      </c>
      <c r="B196" t="s">
        <v>54</v>
      </c>
      <c r="C196" t="s">
        <v>20</v>
      </c>
      <c r="D196" t="s">
        <v>117</v>
      </c>
    </row>
    <row r="197" spans="1:4" x14ac:dyDescent="0.4">
      <c r="A197">
        <v>203</v>
      </c>
      <c r="B197" t="s">
        <v>54</v>
      </c>
      <c r="C197" t="s">
        <v>21</v>
      </c>
      <c r="D197" t="s">
        <v>117</v>
      </c>
    </row>
    <row r="198" spans="1:4" x14ac:dyDescent="0.4">
      <c r="A198">
        <v>204</v>
      </c>
      <c r="B198" t="s">
        <v>54</v>
      </c>
      <c r="C198" t="s">
        <v>22</v>
      </c>
      <c r="D198" t="s">
        <v>117</v>
      </c>
    </row>
    <row r="199" spans="1:4" x14ac:dyDescent="0.4">
      <c r="A199">
        <v>205</v>
      </c>
      <c r="B199" t="s">
        <v>54</v>
      </c>
      <c r="C199" t="s">
        <v>23</v>
      </c>
      <c r="D199" t="s">
        <v>117</v>
      </c>
    </row>
    <row r="200" spans="1:4" x14ac:dyDescent="0.4">
      <c r="A200">
        <v>206</v>
      </c>
      <c r="B200" t="s">
        <v>56</v>
      </c>
      <c r="C200" t="s">
        <v>12</v>
      </c>
      <c r="D200" t="s">
        <v>118</v>
      </c>
    </row>
    <row r="201" spans="1:4" x14ac:dyDescent="0.4">
      <c r="A201">
        <v>207</v>
      </c>
      <c r="B201" t="s">
        <v>56</v>
      </c>
      <c r="C201" t="s">
        <v>14</v>
      </c>
      <c r="D201" t="s">
        <v>118</v>
      </c>
    </row>
    <row r="202" spans="1:4" x14ac:dyDescent="0.4">
      <c r="A202">
        <v>208</v>
      </c>
      <c r="B202" t="s">
        <v>56</v>
      </c>
      <c r="C202" t="s">
        <v>15</v>
      </c>
      <c r="D202" t="s">
        <v>118</v>
      </c>
    </row>
    <row r="203" spans="1:4" x14ac:dyDescent="0.4">
      <c r="A203">
        <v>209</v>
      </c>
      <c r="B203" t="s">
        <v>56</v>
      </c>
      <c r="C203" t="s">
        <v>16</v>
      </c>
      <c r="D203" t="s">
        <v>118</v>
      </c>
    </row>
    <row r="204" spans="1:4" x14ac:dyDescent="0.4">
      <c r="A204">
        <v>210</v>
      </c>
      <c r="B204" t="s">
        <v>56</v>
      </c>
      <c r="C204" t="s">
        <v>17</v>
      </c>
      <c r="D204" t="s">
        <v>118</v>
      </c>
    </row>
    <row r="205" spans="1:4" x14ac:dyDescent="0.4">
      <c r="A205">
        <v>211</v>
      </c>
      <c r="B205" t="s">
        <v>56</v>
      </c>
      <c r="C205" t="s">
        <v>18</v>
      </c>
      <c r="D205" t="s">
        <v>118</v>
      </c>
    </row>
    <row r="206" spans="1:4" x14ac:dyDescent="0.4">
      <c r="A206">
        <v>212</v>
      </c>
      <c r="B206" t="s">
        <v>56</v>
      </c>
      <c r="C206" t="s">
        <v>19</v>
      </c>
      <c r="D206" t="s">
        <v>118</v>
      </c>
    </row>
    <row r="207" spans="1:4" x14ac:dyDescent="0.4">
      <c r="A207">
        <v>213</v>
      </c>
      <c r="B207" t="s">
        <v>56</v>
      </c>
      <c r="C207" t="s">
        <v>20</v>
      </c>
      <c r="D207" t="s">
        <v>118</v>
      </c>
    </row>
    <row r="208" spans="1:4" x14ac:dyDescent="0.4">
      <c r="A208">
        <v>214</v>
      </c>
      <c r="B208" t="s">
        <v>56</v>
      </c>
      <c r="C208" t="s">
        <v>21</v>
      </c>
      <c r="D208" t="s">
        <v>118</v>
      </c>
    </row>
    <row r="209" spans="1:4" x14ac:dyDescent="0.4">
      <c r="A209">
        <v>215</v>
      </c>
      <c r="B209" t="s">
        <v>56</v>
      </c>
      <c r="C209" t="s">
        <v>22</v>
      </c>
      <c r="D209" t="s">
        <v>118</v>
      </c>
    </row>
    <row r="210" spans="1:4" x14ac:dyDescent="0.4">
      <c r="A210">
        <v>216</v>
      </c>
      <c r="B210" t="s">
        <v>56</v>
      </c>
      <c r="C210" t="s">
        <v>23</v>
      </c>
      <c r="D210" t="s">
        <v>118</v>
      </c>
    </row>
    <row r="211" spans="1:4" x14ac:dyDescent="0.4">
      <c r="A211">
        <v>217</v>
      </c>
      <c r="B211" t="s">
        <v>58</v>
      </c>
      <c r="C211" t="s">
        <v>12</v>
      </c>
      <c r="D211" t="s">
        <v>119</v>
      </c>
    </row>
    <row r="212" spans="1:4" x14ac:dyDescent="0.4">
      <c r="A212">
        <v>218</v>
      </c>
      <c r="B212" t="s">
        <v>58</v>
      </c>
      <c r="C212" t="s">
        <v>14</v>
      </c>
      <c r="D212" t="s">
        <v>119</v>
      </c>
    </row>
    <row r="213" spans="1:4" x14ac:dyDescent="0.4">
      <c r="A213">
        <v>219</v>
      </c>
      <c r="B213" t="s">
        <v>58</v>
      </c>
      <c r="C213" t="s">
        <v>15</v>
      </c>
      <c r="D213" t="s">
        <v>119</v>
      </c>
    </row>
    <row r="214" spans="1:4" x14ac:dyDescent="0.4">
      <c r="A214">
        <v>220</v>
      </c>
      <c r="B214" t="s">
        <v>58</v>
      </c>
      <c r="C214" t="s">
        <v>16</v>
      </c>
      <c r="D214" t="s">
        <v>119</v>
      </c>
    </row>
    <row r="215" spans="1:4" x14ac:dyDescent="0.4">
      <c r="A215">
        <v>221</v>
      </c>
      <c r="B215" t="s">
        <v>58</v>
      </c>
      <c r="C215" t="s">
        <v>17</v>
      </c>
      <c r="D215" t="s">
        <v>119</v>
      </c>
    </row>
    <row r="216" spans="1:4" x14ac:dyDescent="0.4">
      <c r="A216">
        <v>222</v>
      </c>
      <c r="B216" t="s">
        <v>58</v>
      </c>
      <c r="C216" t="s">
        <v>18</v>
      </c>
      <c r="D216" t="s">
        <v>119</v>
      </c>
    </row>
    <row r="217" spans="1:4" x14ac:dyDescent="0.4">
      <c r="A217">
        <v>223</v>
      </c>
      <c r="B217" t="s">
        <v>58</v>
      </c>
      <c r="C217" t="s">
        <v>19</v>
      </c>
      <c r="D217" t="s">
        <v>119</v>
      </c>
    </row>
    <row r="218" spans="1:4" x14ac:dyDescent="0.4">
      <c r="A218">
        <v>224</v>
      </c>
      <c r="B218" t="s">
        <v>58</v>
      </c>
      <c r="C218" t="s">
        <v>20</v>
      </c>
      <c r="D218" t="s">
        <v>119</v>
      </c>
    </row>
    <row r="219" spans="1:4" x14ac:dyDescent="0.4">
      <c r="A219">
        <v>225</v>
      </c>
      <c r="B219" t="s">
        <v>58</v>
      </c>
      <c r="C219" t="s">
        <v>21</v>
      </c>
      <c r="D219" t="s">
        <v>119</v>
      </c>
    </row>
    <row r="220" spans="1:4" x14ac:dyDescent="0.4">
      <c r="A220">
        <v>226</v>
      </c>
      <c r="B220" t="s">
        <v>58</v>
      </c>
      <c r="C220" t="s">
        <v>22</v>
      </c>
      <c r="D220" t="s">
        <v>119</v>
      </c>
    </row>
    <row r="221" spans="1:4" x14ac:dyDescent="0.4">
      <c r="A221">
        <v>227</v>
      </c>
      <c r="B221" t="s">
        <v>58</v>
      </c>
      <c r="C221" t="s">
        <v>23</v>
      </c>
      <c r="D221" t="s">
        <v>119</v>
      </c>
    </row>
    <row r="222" spans="1:4" x14ac:dyDescent="0.4">
      <c r="A222">
        <v>228</v>
      </c>
      <c r="B222" t="s">
        <v>60</v>
      </c>
      <c r="C222" t="s">
        <v>12</v>
      </c>
      <c r="D222" t="s">
        <v>120</v>
      </c>
    </row>
    <row r="223" spans="1:4" x14ac:dyDescent="0.4">
      <c r="A223">
        <v>229</v>
      </c>
      <c r="B223" t="s">
        <v>60</v>
      </c>
      <c r="C223" t="s">
        <v>14</v>
      </c>
      <c r="D223" t="s">
        <v>120</v>
      </c>
    </row>
    <row r="224" spans="1:4" x14ac:dyDescent="0.4">
      <c r="A224">
        <v>230</v>
      </c>
      <c r="B224" t="s">
        <v>60</v>
      </c>
      <c r="C224" t="s">
        <v>15</v>
      </c>
      <c r="D224" t="s">
        <v>120</v>
      </c>
    </row>
    <row r="225" spans="1:4" x14ac:dyDescent="0.4">
      <c r="A225">
        <v>231</v>
      </c>
      <c r="B225" t="s">
        <v>60</v>
      </c>
      <c r="C225" t="s">
        <v>16</v>
      </c>
      <c r="D225" t="s">
        <v>120</v>
      </c>
    </row>
    <row r="226" spans="1:4" x14ac:dyDescent="0.4">
      <c r="A226">
        <v>232</v>
      </c>
      <c r="B226" t="s">
        <v>60</v>
      </c>
      <c r="C226" t="s">
        <v>17</v>
      </c>
      <c r="D226" t="s">
        <v>120</v>
      </c>
    </row>
    <row r="227" spans="1:4" x14ac:dyDescent="0.4">
      <c r="A227">
        <v>233</v>
      </c>
      <c r="B227" t="s">
        <v>60</v>
      </c>
      <c r="C227" t="s">
        <v>18</v>
      </c>
      <c r="D227" t="s">
        <v>120</v>
      </c>
    </row>
    <row r="228" spans="1:4" x14ac:dyDescent="0.4">
      <c r="A228">
        <v>234</v>
      </c>
      <c r="B228" t="s">
        <v>60</v>
      </c>
      <c r="C228" t="s">
        <v>19</v>
      </c>
      <c r="D228" t="s">
        <v>120</v>
      </c>
    </row>
    <row r="229" spans="1:4" x14ac:dyDescent="0.4">
      <c r="A229">
        <v>235</v>
      </c>
      <c r="B229" t="s">
        <v>60</v>
      </c>
      <c r="C229" t="s">
        <v>20</v>
      </c>
      <c r="D229" t="s">
        <v>120</v>
      </c>
    </row>
    <row r="230" spans="1:4" x14ac:dyDescent="0.4">
      <c r="A230">
        <v>236</v>
      </c>
      <c r="B230" t="s">
        <v>60</v>
      </c>
      <c r="C230" t="s">
        <v>21</v>
      </c>
      <c r="D230" t="s">
        <v>120</v>
      </c>
    </row>
    <row r="231" spans="1:4" x14ac:dyDescent="0.4">
      <c r="A231">
        <v>237</v>
      </c>
      <c r="B231" t="s">
        <v>60</v>
      </c>
      <c r="C231" t="s">
        <v>22</v>
      </c>
      <c r="D231" t="s">
        <v>120</v>
      </c>
    </row>
    <row r="232" spans="1:4" x14ac:dyDescent="0.4">
      <c r="A232">
        <v>238</v>
      </c>
      <c r="B232" t="s">
        <v>60</v>
      </c>
      <c r="C232" t="s">
        <v>23</v>
      </c>
      <c r="D232" t="s">
        <v>120</v>
      </c>
    </row>
    <row r="233" spans="1:4" x14ac:dyDescent="0.4">
      <c r="A233">
        <v>240</v>
      </c>
      <c r="B233" t="s">
        <v>63</v>
      </c>
      <c r="C233" t="s">
        <v>64</v>
      </c>
      <c r="D233" t="s">
        <v>121</v>
      </c>
    </row>
    <row r="234" spans="1:4" x14ac:dyDescent="0.4">
      <c r="A234">
        <v>241</v>
      </c>
      <c r="B234" t="s">
        <v>66</v>
      </c>
      <c r="C234" t="s">
        <v>64</v>
      </c>
      <c r="D234" t="s">
        <v>122</v>
      </c>
    </row>
    <row r="235" spans="1:4" x14ac:dyDescent="0.4">
      <c r="A235">
        <v>242</v>
      </c>
      <c r="B235" t="s">
        <v>68</v>
      </c>
      <c r="C235" t="s">
        <v>64</v>
      </c>
      <c r="D235" t="s">
        <v>123</v>
      </c>
    </row>
    <row r="236" spans="1:4" x14ac:dyDescent="0.4">
      <c r="A236">
        <v>243</v>
      </c>
      <c r="B236" t="s">
        <v>70</v>
      </c>
      <c r="C236" t="s">
        <v>64</v>
      </c>
      <c r="D236" t="s">
        <v>124</v>
      </c>
    </row>
    <row r="237" spans="1:4" x14ac:dyDescent="0.4">
      <c r="A237">
        <v>244</v>
      </c>
      <c r="B237" t="s">
        <v>72</v>
      </c>
      <c r="C237" t="s">
        <v>73</v>
      </c>
      <c r="D237" t="s">
        <v>125</v>
      </c>
    </row>
    <row r="238" spans="1:4" x14ac:dyDescent="0.4">
      <c r="A238">
        <v>246</v>
      </c>
      <c r="B238" t="s">
        <v>76</v>
      </c>
      <c r="C238" t="s">
        <v>64</v>
      </c>
      <c r="D238" t="s">
        <v>126</v>
      </c>
    </row>
    <row r="239" spans="1:4" x14ac:dyDescent="0.4">
      <c r="A239">
        <v>247</v>
      </c>
      <c r="B239" t="s">
        <v>78</v>
      </c>
      <c r="C239" t="s">
        <v>64</v>
      </c>
      <c r="D239" t="s">
        <v>127</v>
      </c>
    </row>
    <row r="240" spans="1:4" x14ac:dyDescent="0.4">
      <c r="A240">
        <v>248</v>
      </c>
      <c r="B240" t="s">
        <v>80</v>
      </c>
      <c r="C240" t="s">
        <v>64</v>
      </c>
      <c r="D240" t="s">
        <v>128</v>
      </c>
    </row>
    <row r="241" spans="1:4" x14ac:dyDescent="0.4">
      <c r="A241">
        <v>250</v>
      </c>
      <c r="B241" t="s">
        <v>83</v>
      </c>
      <c r="C241" t="s">
        <v>64</v>
      </c>
      <c r="D241" t="s">
        <v>129</v>
      </c>
    </row>
    <row r="242" spans="1:4" x14ac:dyDescent="0.4">
      <c r="A242">
        <v>251</v>
      </c>
      <c r="B242" t="s">
        <v>85</v>
      </c>
      <c r="C242" t="s">
        <v>64</v>
      </c>
      <c r="D242" t="s">
        <v>130</v>
      </c>
    </row>
    <row r="243" spans="1:4" x14ac:dyDescent="0.4">
      <c r="A243">
        <v>252</v>
      </c>
      <c r="B243" t="s">
        <v>87</v>
      </c>
      <c r="C243" t="s">
        <v>64</v>
      </c>
      <c r="D243" t="s">
        <v>131</v>
      </c>
    </row>
    <row r="244" spans="1:4" x14ac:dyDescent="0.4">
      <c r="A244">
        <v>253</v>
      </c>
      <c r="B244" t="s">
        <v>89</v>
      </c>
      <c r="C244" t="s">
        <v>64</v>
      </c>
      <c r="D244" t="s">
        <v>132</v>
      </c>
    </row>
    <row r="245" spans="1:4" x14ac:dyDescent="0.4">
      <c r="A245">
        <v>254</v>
      </c>
      <c r="B245" t="s">
        <v>91</v>
      </c>
      <c r="C245" t="s">
        <v>64</v>
      </c>
      <c r="D245" t="s">
        <v>133</v>
      </c>
    </row>
    <row r="246" spans="1:4" x14ac:dyDescent="0.4">
      <c r="A246">
        <v>255</v>
      </c>
      <c r="B246" t="s">
        <v>93</v>
      </c>
      <c r="C246" t="s">
        <v>64</v>
      </c>
      <c r="D246" t="s">
        <v>134</v>
      </c>
    </row>
    <row r="247" spans="1:4" x14ac:dyDescent="0.4">
      <c r="A247">
        <v>257</v>
      </c>
      <c r="B247" t="s">
        <v>96</v>
      </c>
      <c r="C247" t="s">
        <v>12</v>
      </c>
      <c r="D247" t="s">
        <v>135</v>
      </c>
    </row>
    <row r="248" spans="1:4" x14ac:dyDescent="0.4">
      <c r="A248">
        <v>258</v>
      </c>
      <c r="B248" t="s">
        <v>98</v>
      </c>
      <c r="C248" t="s">
        <v>45</v>
      </c>
      <c r="D248" t="s">
        <v>135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2026-03-20T04:05:25Z</dcterms:created>
  <dcterms:modified xsi:type="dcterms:W3CDTF">2026-03-20T04:17:11Z</dcterms:modified>
</cp:coreProperties>
</file>