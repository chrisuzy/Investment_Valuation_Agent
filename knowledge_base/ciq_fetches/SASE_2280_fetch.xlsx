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yu29\AD_CC_pilot\knowledge_base\ciq_fetches\"/>
    </mc:Choice>
  </mc:AlternateContent>
  <xr:revisionPtr revIDLastSave="0" documentId="13_ncr:1_{1AD30739-BDF3-46B4-8C81-D6BAE18DDA7D}" xr6:coauthVersionLast="47" xr6:coauthVersionMax="47" xr10:uidLastSave="{00000000-0000-0000-0000-000000000000}"/>
  <bookViews>
    <workbookView xWindow="-96" yWindow="-96" windowWidth="19392" windowHeight="11472" firstSheet="1" activeTab="1" xr2:uid="{00000000-000D-0000-FFFF-FFFF00000000}"/>
  </bookViews>
  <sheets>
    <sheet name="_CIQHiddenCacheSheet" sheetId="2" state="veryHidden" r:id="rId1"/>
    <sheet name="CIQ Fetch" sheetId="1" r:id="rId2"/>
  </sheets>
  <definedNames>
    <definedName name="CIQWBGuid" hidden="1">"c5e27f66-bbf8-4f76-8e1c-79917f9c7deb"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"03/06/2026 01:57:37"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B5" i="1"/>
  <c r="B10" i="1"/>
  <c r="B65" i="1"/>
  <c r="B66" i="1"/>
  <c r="B45" i="1"/>
  <c r="B51" i="1"/>
  <c r="B52" i="1"/>
  <c r="B53" i="1"/>
  <c r="B58" i="1"/>
  <c r="B64" i="1"/>
  <c r="B36" i="1"/>
  <c r="B37" i="1"/>
  <c r="B38" i="1"/>
  <c r="B39" i="1"/>
  <c r="B43" i="1"/>
  <c r="B44" i="1"/>
  <c r="B22" i="1"/>
  <c r="B23" i="1"/>
  <c r="B28" i="1"/>
  <c r="B33" i="1"/>
  <c r="B34" i="1"/>
  <c r="B35" i="1"/>
  <c r="B13" i="1"/>
  <c r="B14" i="1"/>
  <c r="B18" i="1"/>
  <c r="B19" i="1"/>
  <c r="B20" i="1"/>
  <c r="B21" i="1"/>
  <c r="B4" i="1"/>
  <c r="B11" i="1"/>
  <c r="B12" i="1"/>
</calcChain>
</file>

<file path=xl/sharedStrings.xml><?xml version="1.0" encoding="utf-8"?>
<sst xmlns="http://schemas.openxmlformats.org/spreadsheetml/2006/main" count="150" uniqueCount="107">
  <si>
    <t>Variable</t>
  </si>
  <si>
    <t>CIQ Formula</t>
  </si>
  <si>
    <t>GT Value</t>
  </si>
  <si>
    <t>Status</t>
  </si>
  <si>
    <t>Notes</t>
  </si>
  <si>
    <t>1. Company Information</t>
  </si>
  <si>
    <t>Company Name</t>
  </si>
  <si>
    <t>Almarai</t>
  </si>
  <si>
    <t>OK</t>
  </si>
  <si>
    <t>Country</t>
  </si>
  <si>
    <t>Saudi Arabia</t>
  </si>
  <si>
    <t>Industry</t>
  </si>
  <si>
    <t>Food Processing</t>
  </si>
  <si>
    <t>MANUAL</t>
  </si>
  <si>
    <t>Mapped via Damodaran industry lookup</t>
  </si>
  <si>
    <t>(user correction row)</t>
  </si>
  <si>
    <t>2. Financials — LTM (Most Recent 12 Months)</t>
  </si>
  <si>
    <t>Revenues (LTM)</t>
  </si>
  <si>
    <t>WRONG</t>
  </si>
  <si>
    <t>IQ_FY-0 returns 22064.9 — need IQ_LTM period</t>
  </si>
  <si>
    <t>EBIT (LTM)</t>
  </si>
  <si>
    <t>Same FY vs LTM issue</t>
  </si>
  <si>
    <t>Interest Expense (LTM)</t>
  </si>
  <si>
    <t>FY returns 474.4, need LTM</t>
  </si>
  <si>
    <t>BV Equity (LTM)</t>
  </si>
  <si>
    <t>Returns 20527 (incl minority). Need stockholders equity only</t>
  </si>
  <si>
    <t>BV Debt (LTM)</t>
  </si>
  <si>
    <t>Returns 13039 (interest-bearing only). GT uses broader definition</t>
  </si>
  <si>
    <t>3. Financials — Last 10K</t>
  </si>
  <si>
    <t>Revenues (FY-0)</t>
  </si>
  <si>
    <t>FY-0 matches Last 10K</t>
  </si>
  <si>
    <t>EBIT (FY-0)</t>
  </si>
  <si>
    <t>Interest Expense (FY-0)</t>
  </si>
  <si>
    <t>BV Equity (FY-0)</t>
  </si>
  <si>
    <t>Same issue — returns total equity incl minority</t>
  </si>
  <si>
    <t>BV Debt (FY-0)</t>
  </si>
  <si>
    <t>Same issue — too narrow</t>
  </si>
  <si>
    <t>D&amp;A (FY-0)</t>
  </si>
  <si>
    <t>MISSING</t>
  </si>
  <si>
    <t>Returns 0 for Almarai — IFRS reporting issue</t>
  </si>
  <si>
    <t>4. R&amp;D Expenses</t>
  </si>
  <si>
    <t>Has R&amp;D?</t>
  </si>
  <si>
    <t>No</t>
  </si>
  <si>
    <t>Almarai has no R&amp;D — toggle is No</t>
  </si>
  <si>
    <t>R&amp;D Expense (Current)</t>
  </si>
  <si>
    <t>Expected 0 for food company</t>
  </si>
  <si>
    <t>5. Operating Leases</t>
  </si>
  <si>
    <t>Has Operating Leases?</t>
  </si>
  <si>
    <t>Almarai — no lease commitments in GT</t>
  </si>
  <si>
    <t>Lease Expense (Current)</t>
  </si>
  <si>
    <t>Lease Yr 1</t>
  </si>
  <si>
    <t>Check if available</t>
  </si>
  <si>
    <t>Lease Yr 2</t>
  </si>
  <si>
    <t>Lease Yr 3</t>
  </si>
  <si>
    <t>Lease Yr 4</t>
  </si>
  <si>
    <t>Lease Yr 5</t>
  </si>
  <si>
    <t>Lease Beyond Yr 5</t>
  </si>
  <si>
    <t>6. Balance Sheet Items</t>
  </si>
  <si>
    <t>Cash &amp; Marketable Securities</t>
  </si>
  <si>
    <t>Returns 523 — too narrow, misses investments/deposits</t>
  </si>
  <si>
    <t>Cross Holdings</t>
  </si>
  <si>
    <t>No working mnemonic found</t>
  </si>
  <si>
    <t>Minority Interests</t>
  </si>
  <si>
    <t>Returns -0.24</t>
  </si>
  <si>
    <t>(user: enter correct Cash formula here)</t>
  </si>
  <si>
    <t>(user: enter correct Cross Holdings formula here)</t>
  </si>
  <si>
    <t>(user: enter correct Minority Interests formula here)</t>
  </si>
  <si>
    <t>7. Market Data</t>
  </si>
  <si>
    <t>Shares Outstanding</t>
  </si>
  <si>
    <t>Returns 'Invalid Date' error</t>
  </si>
  <si>
    <t>Stock Price</t>
  </si>
  <si>
    <t>Returns 42.5 — date/currency mismatch, need price as of 2026-02-01 in SAR</t>
  </si>
  <si>
    <t>Market Cap</t>
  </si>
  <si>
    <t>UNKNOWN</t>
  </si>
  <si>
    <t>Need to verify</t>
  </si>
  <si>
    <t>(user: enter correct Shares formula here)</t>
  </si>
  <si>
    <t>(user: enter correct Stock Price formula here)</t>
  </si>
  <si>
    <t>8. Tax Rates</t>
  </si>
  <si>
    <t>Effective Tax Rate</t>
  </si>
  <si>
    <t>Returns nothing</t>
  </si>
  <si>
    <t>Marginal Tax Rate</t>
  </si>
  <si>
    <t>Saudi corporate tax rate — user input</t>
  </si>
  <si>
    <t>(user: enter correct Effective Tax Rate formula here)</t>
  </si>
  <si>
    <t>9. Employee Options</t>
  </si>
  <si>
    <t>Has Options?</t>
  </si>
  <si>
    <t>GT says No but still has option data</t>
  </si>
  <si>
    <t>Number of Options</t>
  </si>
  <si>
    <t>Formula fails</t>
  </si>
  <si>
    <t>Average Strike Price</t>
  </si>
  <si>
    <t>Average Maturity</t>
  </si>
  <si>
    <t>Std Dev of Stock Price</t>
  </si>
  <si>
    <t>Not from CIQ — calculated or manual</t>
  </si>
  <si>
    <t>Dividend Yield</t>
  </si>
  <si>
    <t>Not in GT Input sheet directly</t>
  </si>
  <si>
    <t>10. Other Computed Fields</t>
  </si>
  <si>
    <t>Years Since Last 10K</t>
  </si>
  <si>
    <t>COMPUTED</t>
  </si>
  <si>
    <t>Calculated from filing dates</t>
  </si>
  <si>
    <t>My notes</t>
    <phoneticPr fontId="6" type="noConversion"/>
  </si>
  <si>
    <t>Just ignore this. The formula is correct.</t>
    <phoneticPr fontId="6" type="noConversion"/>
  </si>
  <si>
    <t xml:space="preserve">For this one, the formula is correct, but you need to check whether there is a positive or negative in front of the numbers, as it is categorized as an expense.Be consistent with what the Damodaran's formula defines.
</t>
    <phoneticPr fontId="6" type="noConversion"/>
  </si>
  <si>
    <t>BAABTAVMT0NBTAFI/////wFQIwAAACFDSVEuU0FTRToyMjgwLklRX09QVElPTlNfQVZHX0xJRkUFAAAAAAAAAAgAAAAWKEludmFsaWQgRm9ybXVsYSBOYW1lKdg/gYaHg94IzRabhoeD3ggjQ0lRLlNBU0U6MjI4MC5JUV9PUFRJT05TX0FWR19TVFJJS0UFAAAAAAAAAAgAAAAWKEludmFsaWQgRm9ybXVsYSBOYW1lKdg/gYaHg94IzRabhoeD3ggpQ0lRLlNBU0U6MjI4MC5JUV9JTlZFU1RfQUZGSUxJQVRFUy5JUV9MVE0FAAAAAAAAAAgAAAAWKEludmFsaWQgRm9ybXVsYSBOYW1lKdg/gYaHg94IJz+bhoeD3ggiQ0lRLlNBU0U6MjI4MC5JUV9PUEVSX0xFQVNFX0FGVEVSNQUAAAAAAAAACAAAABYoSW52YWxpZCBGb3JtdWxhIE5hbWUp2D+BhoeD3gjNFpuGh4PeCB9DSVEuU0FTRToyMjgwLklRX09QRVJfTEVBU0VfWVI1BQAAAAAAAAAIAAAAFihJbnZhbGlkIEZvcm11bGEgTmFtZSnYP4GGh4PeCM0Wm4aHg94IH0NJUS5TQVNFOjIyODAuSVFfT1BFUl9MRUFTRV9ZUjQFAAAAAAAAAAgAAAAWKEludmFsaWQgRm9ybXVsYSBOYW1lKdg/gYaHg94IzRabhoeD3ggqQ0lRLlNBU0U6MjI4MC5JUV9FRkZFQ1RJVkVfVEFYX1JBVEUuSVFfTFRNBQAAAAAAAAAIAAAAFihJbnZhbGlkIEZvcm11bGEgTmFtZSnYP4GGh4PeCM0Wm4aHg94IJENJUS5TQVNFOjIyODAuSVFfT1BUSU9OU19PVVRTVEFORElORwUAAAAAAAAACAAA</t>
  </si>
  <si>
    <t>ABYoSW52YWxpZCBGb3JtdWxhIE5hbWUp2D+BhoeD3gjNFpuGh4PeCB9DSVEuU0FTRToyMjgwLklRX09QRVJfTEVBU0VfWVIyBQAAAAAAAAAIAAAAFihJbnZhbGlkIEZvcm11bGEgTmFtZSnYP4GGh4PeCCc/m4aHg94IJ0NJUS5TQVNFOjIyODAuSVFfT1BFUl9MRUFTRV9FWFAuSVFfRlktMAUAAAAAAAAACAAAABYoSW52YWxpZCBGb3JtdWxhIE5hbWUp2D+BhoeD3ggnP5uGh4PeCB9DSVEuU0FTRToyMjgwLklRX09QRVJfTEVBU0VfWVIzBQAAAAAAAAAIAAAAFihJbnZhbGlkIEZvcm11bGEgTmFtZSnYP4GGh4PeCM0Wm4aHg94IH0NJUS5TQVNFOjIyODAuSVFfT1BFUl9MRUFTRV9ZUjEFAAAAAAAAAAgAAAAWKEludmFsaWQgRm9ybXVsYSBOYW1lKdg/gYaHg94IJz+bhoeD3ggdQ0lRLlNBU0U6MjI4MC5JUV9DT1VOVFJZX05BTUUBAAAA3SpqAQMAAAAMU2F1ZGkgQXJhYmlhANg/gYaHg94II/wjTYmD3ggdQ0lRLlNBU0U6MjI4MC5JUV9DT01QQU5ZX05BTUUBAAAA3SpqAQMAAAAPQWxtYXJhaSBDb21wYW55ANg/gYaHg94IJz+bhoeD3ggaQ0lRLlNBU0U6MjI4MC5JUV9NQVJLRVRDQVABAAAA3SpqAQIAAAAFNDI1MDABBgAAAAUAAAABMQEAAAALLTE5MDk0ODY5NzMDAAAAAzEzMwIAAAAGMTAwMDU0BAAAAAEwBwAAAAkzLzE1LzIwMjY0Z4GGh4PeCM0Wm4aHg94IG0NJUS5TQVNFOjIyODAuSVFfQ0xPU0VQUklD</t>
  </si>
  <si>
    <t>RQEAAADdKmoBAgAAAAQ0Mi41ADRngYaHg94IzRabhoeD3ggiQ0lRLlNBU0U6MjI4MC5JUV9TSEFSRVNPVVRTVEFORElORwEAAADdKmoBAgAAAAQxMDAwADRngYaHg94IzRabhoeD3ggfQ0lRLlNBU0U6MjI4MC5JUV9SRF9FWFAuSVFfRlktMAEAAADdKmoBAwAAAAAANGeBhoeD3ggnP5uGh4PeCClDSVEuU0FTRToyMjgwLklRX01JTk9SSVRZX0lOVEVSRVNULklRX0xUTQEAAADdKmoBAgAAAAYtMC4yNDQBCAAAAAUAAAABMQEAAAALLTE5MDk0ODY5NTkDAAAAAzEzMwIAAAAEMTA1MgQAAAABMAcAAAAJMy8xNi8yMDI2CAAAAAoxMi8zMS8yMDI1CQAAAAEwNGeBhoeD3gjNFpuGh4PeCCJDSVEuU0FTRToyMjgwLklRX0NBU0hfRVFVSVYuSVFfTFRNAQAAAN0qagECAAAABzUyMy4wMzkBCAAAAAUAAAABMQEAAAALLTE5MDk0ODY5NTkDAAAAAzEzMwIAAAAEMTA5NgQAAAABMAcAAAAJMy8xNi8yMDI2CAAAAAoxMi8zMS8yMDI1CQAAAAEwNGeBhoeD3ggnP5uGh4PeCCNDSVEuU0FTRToyMjgwLklRX1RPVEFMX0RFQlQuSVFfRlktMAEAAADdKmoBAgAAAAkxMzAzOS4yNTkBCAAAAAUAAAABMQEAAAALLTE5MDk0ODcxOTkDAAAAAzEzMwIAAAAENDE3MwQAAAABMAcAAAAJMy8xNi8yMDI2CAAAAAoxMi8zMS8yMDI1CQAAAAEwNGeBhoeD3ggnP5uGh4PeCCVDSVEuU0FTRToyMjgwLklRX1RPVEFMX0VRVUlUWS5JUV9GWS0w</t>
  </si>
  <si>
    <t>AQAAAN0qagECAAAACTIwNTI3LjIzNgEIAAAABQAAAAExAQAAAAstMTkwOTQ4NzE5OQMAAAADMTMzAgAAAAQxMjc1BAAAAAEwBwAAAAkzLzE2LzIwMjYIAAAACjEyLzMxLzIwMjUJAAAAATA0Z4GGh4PeCCc/m4aHg94IJUNJUS5TQVNFOjIyODAuSVFfSU5URVJFU1RfRVhQLklRX0ZZLTABAAAA3SpqAQIAAAAILTQ3NC40MDkBCAAAAAUAAAABMQEAAAALLTE5MDk0ODcxOTkDAAAAAzEzMwIAAAACODIEAAAAATAHAAAACTMvMTYvMjAyNggAAAAKMTIvMzEvMjAyNQkAAAABMDRngYaHg94IJz+bhoeD3ggdQ0lRLlNBU0U6MjI4MC5JUV9FQklULklRX0ZZLTABAAAA3SpqAQIAAAAIMzA4MC43MzMBCAAAAAUAAAABMQEAAAALLTE5MDk0ODcxOTkDAAAAAzEzMwIAAAADNDAwBAAAAAEwBwAAAAkzLzE2LzIwMjYIAAAACjEyLzMxLzIwMjUJAAAAATA0Z4GGh4PeCCc/m4aHg94IIkNJUS5TQVNFOjIyODAuSVFfVE9UQUxfUkVWLklRX0ZZLTABAAAA3SpqAQIAAAAJMjIwNjQuODc2AQgAAAAFAAAAATEBAAAACy0xOTA5NDg3MTk5AwAAAAMxMzMCAAAAAjI4BAAAAAEwBwAAAAkzLzE2LzIwMjYIAAAACjEyLzMxLzIwMjUJAAAAATA0Z4GGh4PeCCc/m4aHg94IIkNJUS5TQVNFOjIyODAuSVFfVE9UQUxfREVCVC5JUV9MVE0BAAAA3SpqAQIAAAAJMTMwMzkuMjU5AQgAAAAFAAAAATEBAAAACy0xOTA5NDg2OTU5AwAAAAMxMzMC</t>
  </si>
  <si>
    <t>AAAABDQxNzMEAAAAATAHAAAACTMvMTYvMjAyNggAAAAKMTIvMzEvMjAyNQkAAAABMDRngYaHg94IJz+bhoeD3ggkQ0lRLlNBU0U6MjI4MC5JUV9UT1RBTF9FUVVJVFkuSVFfTFRNAQAAAN0qagECAAAACTIwNTI3LjIzNgEIAAAABQAAAAExAQAAAAstMTkwOTQ4Njk1OQMAAAADMTMzAgAAAAQxMjc1BAAAAAEwBwAAAAkzLzE2LzIwMjYIAAAACjEyLzMxLzIwMjUJAAAAATA0Z4GGh4PeCCc/m4aHg94IJENJUS5TQVNFOjIyODAuSVFfSU5URVJFU1RfRVhQLklRX0xUTQEAAADdKmoBAgAAAAgtNDc0LjQwOQEIAAAABQAAAAExAQAAAAstMTkwOTQ4Njk1OQMAAAADMTMzAgAAAAI4MgQAAAABMAcAAAAJMy8xNi8yMDI2CAAAAAoxMi8zMS8yMDI1CQAAAAEwNGeBhoeD3ghxZpuGh4PeCBxDSVEuU0FTRToyMjgwLklRX0VCSVQuSVFfTFRNAQAAAN0qagECAAAACDMwODAuNzMzAQgAAAAFAAAAATEBAAAACy0xOTA5NDg2OTU5AwAAAAMxMzMCAAAAAzQwMAQAAAABMAcAAAAJMy8xNi8yMDI2CAAAAAoxMi8zMS8yMDI1CQAAAAEwNGeBhoeD3ghxZpuGh4PeCCFDSVEuU0FTRToyMjgwLklRX1RPVEFMX1JFVi5JUV9MVE0BAAAA3SpqAQIAAAAJMjIwNjQuODc2AQgAAAAFAAAAATEBAAAACy0xOTA5NDg2OTU5AwAAAAMxMzMCAAAAAjI4BAAAAAEwBwAAAAkzLzE2LzIwMjYIAAAACjEyLzMxLzIwMjUJAAAAATA0Z4GGh4PeCMEd</t>
  </si>
  <si>
    <t>WqyHg94IG0NJUS5TQVNFOjIyODAuSVFfREEuSVFfRlktMAEAAADdKmoBAwAAAAAANGeBhoeD3ggnP5uGh4PeCB9DSVEuU0FTRToyMjgwLklRX1RPVEFMX1JFVi4yMDAwAQAAAN0qagECAAAACTIyMDY0Ljg3NgEIAAAABQAAAAExAQAAAAstMTkwOTQ4Njk1OQMAAAADMTMzAgAAAAIyOAQAAAABMAcAAAAJMy8xNi8yMDI2CAAAAAoxMi8zMS8yMDI1CQAAAAEwUzUM0IeD3gj1nR7Qh4PeCBhDSVEuU0FTRToyMjgwLklRX0RBLjIwMDABAAAA3SpqAQMAAAAAABEfpZuJg94IC8G4m4mD3gghQ0lRLlNBU0U6MjI4MC5JUV9EQV9TVVBQTF9DRi4yMDAwAQAAAN0qagECAAAACDI0MjQuNTc2AQgAAAAFAAAAATEBAAAACy0xOTA5NDg2OTU5AwAAAAMxMzMCAAAABDIxNzEEAAAAATAHAAAACTMvMTYvMjAyNggAAAAKMTIvMzEvMjAyNQkAAAABMPJBuKWJg94IZwHLpYmD3ggbQ0lRLlNBU0U6MjI4MC5JUV9EQV9DRi4xMDAwAQAAAN0qagECAAAACDI0MzYuMDI4AQgAAAAFAAAAATEBAAAACy0xOTA5NDg3MTk5AwAAAAMxMzMCAAAABDIxNjAEAAAAATAHAAAACTMvMTYvMjAyNggAAAAKMTIvMzEvMjAyNQkAAAABMPLWucKJg94I09LIwomD3gg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</si>
</sst>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2"/>
      <name val="宋体"/>
      <charset val="134"/>
    </font>
    <font>
      <b/>
      <sz val="11"/>
      <color rgb="FF008000"/>
      <name val="宋体"/>
      <charset val="134"/>
    </font>
    <font>
      <i/>
      <sz val="11"/>
      <color rgb="FF999999"/>
      <name val="宋体"/>
      <charset val="134"/>
    </font>
    <font>
      <b/>
      <sz val="11"/>
      <color rgb="FFFF0000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D5E8D4"/>
        <bgColor rgb="FFD5E8D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4" borderId="1" xfId="0" applyFill="1" applyBorder="1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  <xf numFmtId="0" fontId="2" fillId="3" borderId="0" xfId="0" applyFont="1" applyFill="1"/>
    <xf numFmtId="0" fontId="0" fillId="0" borderId="0" xfId="0"/>
    <xf numFmtId="0" fontId="7" fillId="2" borderId="2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F856-3644-4162-B565-1E4C498BB865}">
  <dimension ref="A1:G1"/>
  <sheetViews>
    <sheetView workbookViewId="0"/>
  </sheetViews>
  <sheetFormatPr defaultRowHeight="14.1" x14ac:dyDescent="0.4"/>
  <sheetData>
    <row r="1" spans="1:7" x14ac:dyDescent="0.4">
      <c r="A1">
        <v>7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F52" workbookViewId="0">
      <selection activeCell="F72" sqref="F72"/>
    </sheetView>
  </sheetViews>
  <sheetFormatPr defaultRowHeight="14.1" x14ac:dyDescent="0.4"/>
  <cols>
    <col min="1" max="1" width="40" customWidth="1"/>
    <col min="2" max="2" width="55" customWidth="1"/>
    <col min="3" max="3" width="18" customWidth="1"/>
    <col min="4" max="4" width="12" customWidth="1"/>
    <col min="5" max="5" width="60" customWidth="1"/>
    <col min="6" max="6" width="167.26171875" style="10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98</v>
      </c>
    </row>
    <row r="3" spans="1:6" ht="15.3" x14ac:dyDescent="0.45">
      <c r="A3" s="7" t="s">
        <v>5</v>
      </c>
      <c r="B3" s="8"/>
      <c r="C3" s="8"/>
      <c r="D3" s="8"/>
      <c r="E3" s="8"/>
    </row>
    <row r="4" spans="1:6" x14ac:dyDescent="0.4">
      <c r="A4" s="2" t="s">
        <v>6</v>
      </c>
      <c r="B4" s="2" t="str">
        <f>_xll.ciqfunctions.udf.CIQ("SASE:2280","IQ_COMPANY_NAME")</f>
        <v>Almarai Company</v>
      </c>
      <c r="C4" s="3" t="s">
        <v>7</v>
      </c>
      <c r="D4" s="4" t="s">
        <v>8</v>
      </c>
      <c r="E4" s="2"/>
    </row>
    <row r="5" spans="1:6" x14ac:dyDescent="0.4">
      <c r="A5" s="2" t="s">
        <v>9</v>
      </c>
      <c r="B5" s="2" t="str">
        <f>_xll.ciqfunctions.udf.CIQ("SASE:2280","IQ_COUNTRY_NAME")</f>
        <v>Saudi Arabia</v>
      </c>
      <c r="C5" s="3" t="s">
        <v>10</v>
      </c>
      <c r="D5" s="4" t="s">
        <v>8</v>
      </c>
      <c r="E5" s="2"/>
    </row>
    <row r="6" spans="1:6" x14ac:dyDescent="0.4">
      <c r="A6" s="2" t="s">
        <v>11</v>
      </c>
      <c r="B6" s="2"/>
      <c r="C6" s="3" t="s">
        <v>12</v>
      </c>
      <c r="D6" s="2" t="s">
        <v>13</v>
      </c>
      <c r="E6" s="2" t="s">
        <v>14</v>
      </c>
    </row>
    <row r="7" spans="1:6" x14ac:dyDescent="0.4">
      <c r="A7" s="5" t="s">
        <v>15</v>
      </c>
    </row>
    <row r="9" spans="1:6" ht="15.3" x14ac:dyDescent="0.45">
      <c r="A9" s="7" t="s">
        <v>16</v>
      </c>
      <c r="B9" s="8"/>
      <c r="C9" s="8"/>
      <c r="D9" s="8"/>
      <c r="E9" s="8"/>
    </row>
    <row r="10" spans="1:6" x14ac:dyDescent="0.4">
      <c r="A10" s="2" t="s">
        <v>17</v>
      </c>
      <c r="B10" s="2">
        <f>_xll.ciqfunctions.udf.CIQ("SASE:2280","IQ_TOTAL_REV","IQ_LTM")</f>
        <v>22064.876</v>
      </c>
      <c r="C10" s="3">
        <v>21765.4</v>
      </c>
      <c r="D10" s="6" t="s">
        <v>18</v>
      </c>
      <c r="E10" s="2" t="s">
        <v>19</v>
      </c>
      <c r="F10" s="10" t="s">
        <v>99</v>
      </c>
    </row>
    <row r="11" spans="1:6" x14ac:dyDescent="0.4">
      <c r="A11" s="2" t="s">
        <v>20</v>
      </c>
      <c r="B11" s="2">
        <f>_xll.ciqfunctions.udf.CIQ("SASE:2280","IQ_EBIT","IQ_LTM")</f>
        <v>3080.7330000000002</v>
      </c>
      <c r="C11" s="3">
        <v>3060.9</v>
      </c>
      <c r="D11" s="6" t="s">
        <v>18</v>
      </c>
      <c r="E11" s="2" t="s">
        <v>21</v>
      </c>
      <c r="F11" s="10" t="s">
        <v>99</v>
      </c>
    </row>
    <row r="12" spans="1:6" x14ac:dyDescent="0.4">
      <c r="A12" s="2" t="s">
        <v>22</v>
      </c>
      <c r="B12" s="2">
        <f>_xll.ciqfunctions.udf.CIQ("SASE:2280","IQ_INTEREST_EXP","IQ_LTM")</f>
        <v>-474.40899999999999</v>
      </c>
      <c r="C12" s="3">
        <v>493.4</v>
      </c>
      <c r="D12" s="6" t="s">
        <v>18</v>
      </c>
      <c r="E12" s="2" t="s">
        <v>23</v>
      </c>
      <c r="F12" s="10" t="s">
        <v>100</v>
      </c>
    </row>
    <row r="13" spans="1:6" x14ac:dyDescent="0.4">
      <c r="A13" s="2" t="s">
        <v>24</v>
      </c>
      <c r="B13" s="2">
        <f>_xll.ciqfunctions.udf.CIQ("SASE:2280","IQ_TOTAL_EQUITY","IQ_LTM")</f>
        <v>20527.236000000001</v>
      </c>
      <c r="C13" s="3">
        <v>10667.8</v>
      </c>
      <c r="D13" s="6" t="s">
        <v>18</v>
      </c>
      <c r="E13" s="2" t="s">
        <v>25</v>
      </c>
    </row>
    <row r="14" spans="1:6" x14ac:dyDescent="0.4">
      <c r="A14" s="2" t="s">
        <v>26</v>
      </c>
      <c r="B14" s="2">
        <f>_xll.ciqfunctions.udf.CIQ("SASE:2280","IQ_TOTAL_DEBT","IQ_LTM")</f>
        <v>13039.259</v>
      </c>
      <c r="C14" s="3">
        <v>45063</v>
      </c>
      <c r="D14" s="6" t="s">
        <v>18</v>
      </c>
      <c r="E14" s="2" t="s">
        <v>27</v>
      </c>
    </row>
    <row r="15" spans="1:6" x14ac:dyDescent="0.4">
      <c r="A15" s="5" t="s">
        <v>15</v>
      </c>
    </row>
    <row r="17" spans="1:6" ht="15.3" x14ac:dyDescent="0.45">
      <c r="A17" s="7" t="s">
        <v>28</v>
      </c>
      <c r="B17" s="8"/>
      <c r="C17" s="8"/>
      <c r="D17" s="8"/>
      <c r="E17" s="8"/>
    </row>
    <row r="18" spans="1:6" x14ac:dyDescent="0.4">
      <c r="A18" s="2" t="s">
        <v>29</v>
      </c>
      <c r="B18" s="2">
        <f>_xll.ciqfunctions.udf.CIQ("SASE:2280","IQ_TOTAL_REV","IQ_FY-0")</f>
        <v>22064.876</v>
      </c>
      <c r="C18" s="3">
        <v>20979.5</v>
      </c>
      <c r="D18" s="4" t="s">
        <v>8</v>
      </c>
      <c r="E18" s="2" t="s">
        <v>30</v>
      </c>
    </row>
    <row r="19" spans="1:6" x14ac:dyDescent="0.4">
      <c r="A19" s="2" t="s">
        <v>31</v>
      </c>
      <c r="B19" s="2">
        <f>_xll.ciqfunctions.udf.CIQ("SASE:2280","IQ_EBIT","IQ_FY-0")</f>
        <v>3080.7330000000002</v>
      </c>
      <c r="C19" s="3">
        <v>3064.1</v>
      </c>
      <c r="D19" s="4" t="s">
        <v>8</v>
      </c>
      <c r="E19" s="2"/>
    </row>
    <row r="20" spans="1:6" x14ac:dyDescent="0.4">
      <c r="A20" s="2" t="s">
        <v>32</v>
      </c>
      <c r="B20" s="2">
        <f>_xll.ciqfunctions.udf.CIQ("SASE:2280","IQ_INTEREST_EXP","IQ_FY-0")</f>
        <v>-474.40899999999999</v>
      </c>
      <c r="C20" s="3">
        <v>562.70000000000005</v>
      </c>
      <c r="D20" s="4" t="s">
        <v>8</v>
      </c>
      <c r="E20" s="2"/>
    </row>
    <row r="21" spans="1:6" x14ac:dyDescent="0.4">
      <c r="A21" s="2" t="s">
        <v>33</v>
      </c>
      <c r="B21" s="2">
        <f>_xll.ciqfunctions.udf.CIQ("SASE:2280","IQ_TOTAL_EQUITY","IQ_FY-0")</f>
        <v>20527.236000000001</v>
      </c>
      <c r="C21" s="3">
        <v>13111.1</v>
      </c>
      <c r="D21" s="6" t="s">
        <v>18</v>
      </c>
      <c r="E21" s="2" t="s">
        <v>34</v>
      </c>
    </row>
    <row r="22" spans="1:6" x14ac:dyDescent="0.4">
      <c r="A22" s="2" t="s">
        <v>35</v>
      </c>
      <c r="B22" s="2">
        <f>_xll.ciqfunctions.udf.CIQ("SASE:2280","IQ_TOTAL_DEBT","IQ_FY-0")</f>
        <v>13039.259</v>
      </c>
      <c r="C22" s="3">
        <v>44544</v>
      </c>
      <c r="D22" s="6" t="s">
        <v>18</v>
      </c>
      <c r="E22" s="2" t="s">
        <v>36</v>
      </c>
    </row>
    <row r="23" spans="1:6" x14ac:dyDescent="0.4">
      <c r="A23" s="2" t="s">
        <v>37</v>
      </c>
      <c r="B23" s="2">
        <f>_xll.ciqfunctions.udf.CIQ("SASE:2280","IQ_DA","IQ_FY-0")</f>
        <v>0</v>
      </c>
      <c r="C23" s="3"/>
      <c r="D23" s="2" t="s">
        <v>38</v>
      </c>
      <c r="E23" s="2" t="s">
        <v>39</v>
      </c>
      <c r="F23" s="10">
        <f>_xll.ciqfunctions.udf.CIQ("SASE:2280", "IQ_DA_CF", IQ_FY)</f>
        <v>2436.0279999999998</v>
      </c>
    </row>
    <row r="24" spans="1:6" x14ac:dyDescent="0.4">
      <c r="A24" s="5" t="s">
        <v>15</v>
      </c>
    </row>
    <row r="26" spans="1:6" ht="15.3" x14ac:dyDescent="0.45">
      <c r="A26" s="7" t="s">
        <v>40</v>
      </c>
      <c r="B26" s="8"/>
      <c r="C26" s="8"/>
      <c r="D26" s="8"/>
      <c r="E26" s="8"/>
    </row>
    <row r="27" spans="1:6" x14ac:dyDescent="0.4">
      <c r="A27" s="2" t="s">
        <v>41</v>
      </c>
      <c r="B27" s="2"/>
      <c r="C27" s="3" t="s">
        <v>42</v>
      </c>
      <c r="D27" s="2" t="s">
        <v>13</v>
      </c>
      <c r="E27" s="2" t="s">
        <v>43</v>
      </c>
    </row>
    <row r="28" spans="1:6" x14ac:dyDescent="0.4">
      <c r="A28" s="2" t="s">
        <v>44</v>
      </c>
      <c r="B28" s="2">
        <f>_xll.ciqfunctions.udf.CIQ("SASE:2280","IQ_RD_EXP","IQ_FY-0")</f>
        <v>0</v>
      </c>
      <c r="C28" s="3">
        <v>0</v>
      </c>
      <c r="D28" s="4" t="s">
        <v>8</v>
      </c>
      <c r="E28" s="2" t="s">
        <v>45</v>
      </c>
    </row>
    <row r="29" spans="1:6" x14ac:dyDescent="0.4">
      <c r="A29" s="5" t="s">
        <v>15</v>
      </c>
    </row>
    <row r="31" spans="1:6" ht="15.3" x14ac:dyDescent="0.45">
      <c r="A31" s="7" t="s">
        <v>46</v>
      </c>
      <c r="B31" s="8"/>
      <c r="C31" s="8"/>
      <c r="D31" s="8"/>
      <c r="E31" s="8"/>
    </row>
    <row r="32" spans="1:6" x14ac:dyDescent="0.4">
      <c r="A32" s="2" t="s">
        <v>47</v>
      </c>
      <c r="B32" s="2"/>
      <c r="C32" s="3" t="s">
        <v>42</v>
      </c>
      <c r="D32" s="2" t="s">
        <v>13</v>
      </c>
      <c r="E32" s="2" t="s">
        <v>48</v>
      </c>
    </row>
    <row r="33" spans="1:5" x14ac:dyDescent="0.4">
      <c r="A33" s="2" t="s">
        <v>49</v>
      </c>
      <c r="B33" s="2" t="str">
        <f>_xll.ciqfunctions.udf.CIQ("SASE:2280","IQ_OPER_LEASE_EXP","IQ_FY-0")</f>
        <v>(Invalid Formula Name)</v>
      </c>
      <c r="C33" s="3">
        <v>0</v>
      </c>
      <c r="D33" s="4" t="s">
        <v>8</v>
      </c>
      <c r="E33" s="2"/>
    </row>
    <row r="34" spans="1:5" x14ac:dyDescent="0.4">
      <c r="A34" s="2" t="s">
        <v>50</v>
      </c>
      <c r="B34" s="2" t="str">
        <f>_xll.ciqfunctions.udf.CIQ("SASE:2280","IQ_OPER_LEASE_YR1")</f>
        <v>(Invalid Formula Name)</v>
      </c>
      <c r="C34" s="3"/>
      <c r="D34" s="2" t="s">
        <v>38</v>
      </c>
      <c r="E34" s="2" t="s">
        <v>51</v>
      </c>
    </row>
    <row r="35" spans="1:5" x14ac:dyDescent="0.4">
      <c r="A35" s="2" t="s">
        <v>52</v>
      </c>
      <c r="B35" s="2" t="str">
        <f>_xll.ciqfunctions.udf.CIQ("SASE:2280","IQ_OPER_LEASE_YR2")</f>
        <v>(Invalid Formula Name)</v>
      </c>
      <c r="C35" s="3"/>
      <c r="D35" s="2" t="s">
        <v>38</v>
      </c>
      <c r="E35" s="2"/>
    </row>
    <row r="36" spans="1:5" x14ac:dyDescent="0.4">
      <c r="A36" s="2" t="s">
        <v>53</v>
      </c>
      <c r="B36" s="2" t="str">
        <f>_xll.ciqfunctions.udf.CIQ("SASE:2280","IQ_OPER_LEASE_YR3")</f>
        <v>(Invalid Formula Name)</v>
      </c>
      <c r="C36" s="3"/>
      <c r="D36" s="2" t="s">
        <v>38</v>
      </c>
      <c r="E36" s="2"/>
    </row>
    <row r="37" spans="1:5" x14ac:dyDescent="0.4">
      <c r="A37" s="2" t="s">
        <v>54</v>
      </c>
      <c r="B37" s="2" t="str">
        <f>_xll.ciqfunctions.udf.CIQ("SASE:2280","IQ_OPER_LEASE_YR4")</f>
        <v>(Invalid Formula Name)</v>
      </c>
      <c r="C37" s="3"/>
      <c r="D37" s="2" t="s">
        <v>38</v>
      </c>
      <c r="E37" s="2"/>
    </row>
    <row r="38" spans="1:5" x14ac:dyDescent="0.4">
      <c r="A38" s="2" t="s">
        <v>55</v>
      </c>
      <c r="B38" s="2" t="str">
        <f>_xll.ciqfunctions.udf.CIQ("SASE:2280","IQ_OPER_LEASE_YR5")</f>
        <v>(Invalid Formula Name)</v>
      </c>
      <c r="C38" s="3"/>
      <c r="D38" s="2" t="s">
        <v>38</v>
      </c>
      <c r="E38" s="2"/>
    </row>
    <row r="39" spans="1:5" x14ac:dyDescent="0.4">
      <c r="A39" s="2" t="s">
        <v>56</v>
      </c>
      <c r="B39" s="2" t="str">
        <f>_xll.ciqfunctions.udf.CIQ("SASE:2280","IQ_OPER_LEASE_AFTER5")</f>
        <v>(Invalid Formula Name)</v>
      </c>
      <c r="C39" s="3"/>
      <c r="D39" s="2" t="s">
        <v>38</v>
      </c>
      <c r="E39" s="2"/>
    </row>
    <row r="40" spans="1:5" x14ac:dyDescent="0.4">
      <c r="A40" s="5" t="s">
        <v>15</v>
      </c>
    </row>
    <row r="42" spans="1:5" ht="15.3" x14ac:dyDescent="0.45">
      <c r="A42" s="7" t="s">
        <v>57</v>
      </c>
      <c r="B42" s="8"/>
      <c r="C42" s="8"/>
      <c r="D42" s="8"/>
      <c r="E42" s="8"/>
    </row>
    <row r="43" spans="1:5" x14ac:dyDescent="0.4">
      <c r="A43" s="2" t="s">
        <v>58</v>
      </c>
      <c r="B43" s="2">
        <f>_xll.ciqfunctions.udf.CIQ("SASE:2280","IQ_CASH_EQUIV","IQ_LTM")</f>
        <v>523.03899999999999</v>
      </c>
      <c r="C43" s="3">
        <v>19000</v>
      </c>
      <c r="D43" s="6" t="s">
        <v>18</v>
      </c>
      <c r="E43" s="2" t="s">
        <v>59</v>
      </c>
    </row>
    <row r="44" spans="1:5" x14ac:dyDescent="0.4">
      <c r="A44" s="2" t="s">
        <v>60</v>
      </c>
      <c r="B44" s="2" t="str">
        <f>_xll.ciqfunctions.udf.CIQ("SASE:2280","IQ_INVEST_AFFILIATES","IQ_LTM")</f>
        <v>(Invalid Formula Name)</v>
      </c>
      <c r="C44" s="3">
        <v>21119</v>
      </c>
      <c r="D44" s="2" t="s">
        <v>38</v>
      </c>
      <c r="E44" s="2" t="s">
        <v>61</v>
      </c>
    </row>
    <row r="45" spans="1:5" x14ac:dyDescent="0.4">
      <c r="A45" s="2" t="s">
        <v>62</v>
      </c>
      <c r="B45" s="2">
        <f>_xll.ciqfunctions.udf.CIQ("SASE:2280","IQ_MINORITY_INTEREST","IQ_LTM")</f>
        <v>-0.24399999999999999</v>
      </c>
      <c r="C45" s="3">
        <v>1558</v>
      </c>
      <c r="D45" s="6" t="s">
        <v>18</v>
      </c>
      <c r="E45" s="2" t="s">
        <v>63</v>
      </c>
    </row>
    <row r="46" spans="1:5" x14ac:dyDescent="0.4">
      <c r="A46" s="5" t="s">
        <v>64</v>
      </c>
    </row>
    <row r="47" spans="1:5" x14ac:dyDescent="0.4">
      <c r="A47" s="5" t="s">
        <v>65</v>
      </c>
    </row>
    <row r="48" spans="1:5" x14ac:dyDescent="0.4">
      <c r="A48" s="5" t="s">
        <v>66</v>
      </c>
    </row>
    <row r="50" spans="1:5" ht="15.3" x14ac:dyDescent="0.45">
      <c r="A50" s="7" t="s">
        <v>67</v>
      </c>
      <c r="B50" s="8"/>
      <c r="C50" s="8"/>
      <c r="D50" s="8"/>
      <c r="E50" s="8"/>
    </row>
    <row r="51" spans="1:5" x14ac:dyDescent="0.4">
      <c r="A51" s="2" t="s">
        <v>68</v>
      </c>
      <c r="B51" s="2">
        <f>_xll.ciqfunctions.udf.CIQ("SASE:2280","IQ_SHARESOUTSTANDING")</f>
        <v>1000</v>
      </c>
      <c r="C51" s="3">
        <v>4315</v>
      </c>
      <c r="D51" s="6" t="s">
        <v>18</v>
      </c>
      <c r="E51" s="2" t="s">
        <v>69</v>
      </c>
    </row>
    <row r="52" spans="1:5" x14ac:dyDescent="0.4">
      <c r="A52" s="2" t="s">
        <v>70</v>
      </c>
      <c r="B52" s="2">
        <f>_xll.ciqfunctions.udf.CIQ("SASE:2280","IQ_CLOSEPRICE")</f>
        <v>42.5</v>
      </c>
      <c r="C52" s="3">
        <v>72.28</v>
      </c>
      <c r="D52" s="6" t="s">
        <v>18</v>
      </c>
      <c r="E52" s="2" t="s">
        <v>71</v>
      </c>
    </row>
    <row r="53" spans="1:5" x14ac:dyDescent="0.4">
      <c r="A53" s="2" t="s">
        <v>72</v>
      </c>
      <c r="B53" s="2">
        <f>_xll.ciqfunctions.udf.CIQ("SASE:2280","IQ_MARKETCAP")</f>
        <v>42500</v>
      </c>
      <c r="C53" s="3"/>
      <c r="D53" s="2" t="s">
        <v>73</v>
      </c>
      <c r="E53" s="2" t="s">
        <v>74</v>
      </c>
    </row>
    <row r="54" spans="1:5" x14ac:dyDescent="0.4">
      <c r="A54" s="5" t="s">
        <v>75</v>
      </c>
    </row>
    <row r="55" spans="1:5" x14ac:dyDescent="0.4">
      <c r="A55" s="5" t="s">
        <v>76</v>
      </c>
    </row>
    <row r="57" spans="1:5" ht="15.3" x14ac:dyDescent="0.45">
      <c r="A57" s="7" t="s">
        <v>77</v>
      </c>
      <c r="B57" s="8"/>
      <c r="C57" s="8"/>
      <c r="D57" s="8"/>
      <c r="E57" s="8"/>
    </row>
    <row r="58" spans="1:5" x14ac:dyDescent="0.4">
      <c r="A58" s="2" t="s">
        <v>78</v>
      </c>
      <c r="B58" s="2" t="str">
        <f>_xll.ciqfunctions.udf.CIQ("SASE:2280","IQ_EFFECTIVE_TAX_RATE","IQ_LTM")</f>
        <v>(Invalid Formula Name)</v>
      </c>
      <c r="C58" s="3">
        <v>0.17499999999999999</v>
      </c>
      <c r="D58" s="6" t="s">
        <v>18</v>
      </c>
      <c r="E58" s="2" t="s">
        <v>79</v>
      </c>
    </row>
    <row r="59" spans="1:5" x14ac:dyDescent="0.4">
      <c r="A59" s="2" t="s">
        <v>80</v>
      </c>
      <c r="B59" s="2"/>
      <c r="C59" s="3">
        <v>0.25</v>
      </c>
      <c r="D59" s="2" t="s">
        <v>13</v>
      </c>
      <c r="E59" s="2" t="s">
        <v>81</v>
      </c>
    </row>
    <row r="60" spans="1:5" x14ac:dyDescent="0.4">
      <c r="A60" s="5" t="s">
        <v>82</v>
      </c>
    </row>
    <row r="62" spans="1:5" ht="15.3" x14ac:dyDescent="0.45">
      <c r="A62" s="7" t="s">
        <v>83</v>
      </c>
      <c r="B62" s="8"/>
      <c r="C62" s="8"/>
      <c r="D62" s="8"/>
      <c r="E62" s="8"/>
    </row>
    <row r="63" spans="1:5" x14ac:dyDescent="0.4">
      <c r="A63" s="2" t="s">
        <v>84</v>
      </c>
      <c r="B63" s="2"/>
      <c r="C63" s="3" t="s">
        <v>42</v>
      </c>
      <c r="D63" s="2" t="s">
        <v>13</v>
      </c>
      <c r="E63" s="2" t="s">
        <v>85</v>
      </c>
    </row>
    <row r="64" spans="1:5" x14ac:dyDescent="0.4">
      <c r="A64" s="2" t="s">
        <v>86</v>
      </c>
      <c r="B64" s="2" t="str">
        <f>_xll.ciqfunctions.udf.CIQ("SASE:2280","IQ_OPTIONS_OUTSTANDING")</f>
        <v>(Invalid Formula Name)</v>
      </c>
      <c r="C64" s="3">
        <v>7.72</v>
      </c>
      <c r="D64" s="2" t="s">
        <v>38</v>
      </c>
      <c r="E64" s="2" t="s">
        <v>87</v>
      </c>
    </row>
    <row r="65" spans="1:5" x14ac:dyDescent="0.4">
      <c r="A65" s="2" t="s">
        <v>88</v>
      </c>
      <c r="B65" s="2" t="str">
        <f>_xll.ciqfunctions.udf.CIQ("SASE:2280","IQ_OPTIONS_AVG_STRIKE")</f>
        <v>(Invalid Formula Name)</v>
      </c>
      <c r="C65" s="3">
        <v>1.29</v>
      </c>
      <c r="D65" s="2" t="s">
        <v>38</v>
      </c>
      <c r="E65" s="2" t="s">
        <v>87</v>
      </c>
    </row>
    <row r="66" spans="1:5" x14ac:dyDescent="0.4">
      <c r="A66" s="2" t="s">
        <v>89</v>
      </c>
      <c r="B66" s="2" t="str">
        <f>_xll.ciqfunctions.udf.CIQ("SASE:2280","IQ_OPTIONS_AVG_LIFE")</f>
        <v>(Invalid Formula Name)</v>
      </c>
      <c r="C66" s="3">
        <v>7</v>
      </c>
      <c r="D66" s="2" t="s">
        <v>38</v>
      </c>
      <c r="E66" s="2" t="s">
        <v>87</v>
      </c>
    </row>
    <row r="67" spans="1:5" x14ac:dyDescent="0.4">
      <c r="A67" s="2" t="s">
        <v>90</v>
      </c>
      <c r="B67" s="2"/>
      <c r="C67" s="3">
        <v>0.45</v>
      </c>
      <c r="D67" s="2" t="s">
        <v>13</v>
      </c>
      <c r="E67" s="2" t="s">
        <v>91</v>
      </c>
    </row>
    <row r="68" spans="1:5" x14ac:dyDescent="0.4">
      <c r="A68" s="2" t="s">
        <v>92</v>
      </c>
      <c r="B68" s="2"/>
      <c r="C68" s="3"/>
      <c r="D68" s="2" t="s">
        <v>13</v>
      </c>
      <c r="E68" s="2" t="s">
        <v>93</v>
      </c>
    </row>
    <row r="69" spans="1:5" x14ac:dyDescent="0.4">
      <c r="A69" s="5" t="s">
        <v>15</v>
      </c>
    </row>
    <row r="71" spans="1:5" ht="15.3" x14ac:dyDescent="0.45">
      <c r="A71" s="7" t="s">
        <v>94</v>
      </c>
      <c r="B71" s="8"/>
      <c r="C71" s="8"/>
      <c r="D71" s="8"/>
      <c r="E71" s="8"/>
    </row>
    <row r="72" spans="1:5" x14ac:dyDescent="0.4">
      <c r="A72" s="2" t="s">
        <v>95</v>
      </c>
      <c r="B72" s="2"/>
      <c r="C72" s="3">
        <v>0.5</v>
      </c>
      <c r="D72" s="2" t="s">
        <v>96</v>
      </c>
      <c r="E72" s="2" t="s">
        <v>97</v>
      </c>
    </row>
  </sheetData>
  <mergeCells count="10">
    <mergeCell ref="A71:E71"/>
    <mergeCell ref="A31:E31"/>
    <mergeCell ref="A17:E17"/>
    <mergeCell ref="A9:E9"/>
    <mergeCell ref="A3:E3"/>
    <mergeCell ref="A50:E50"/>
    <mergeCell ref="A62:E62"/>
    <mergeCell ref="A26:E26"/>
    <mergeCell ref="A57:E57"/>
    <mergeCell ref="A42:E4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CIQ Fetch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Yu29 Zhang</cp:lastModifiedBy>
  <dcterms:created xsi:type="dcterms:W3CDTF">2026-03-16T10:04:54Z</dcterms:created>
  <dcterms:modified xsi:type="dcterms:W3CDTF">2026-03-16T10:43:23Z</dcterms:modified>
</cp:coreProperties>
</file>