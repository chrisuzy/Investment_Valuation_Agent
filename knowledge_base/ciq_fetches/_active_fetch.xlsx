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Q_Data" sheetId="1" state="visible" r:id="rId1"/>
    <sheet name="_Row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color rgb="00666666"/>
    </font>
    <font>
      <i val="1"/>
      <color rgb="00444444"/>
    </font>
    <font>
      <b val="1"/>
      <color rgb="00FFFFFF"/>
      <sz val="11"/>
    </font>
    <font>
      <b val="1"/>
      <sz val="11"/>
    </font>
    <font>
      <color rgb="000000CC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6" fillId="4" borderId="0" pivotButton="0" quotePrefix="0" xfId="0"/>
    <xf numFmtId="0" fontId="0" fillId="0" borderId="1" pivotButton="0" quotePrefix="0" xfId="0"/>
    <xf numFmtId="0" fontId="7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20" customWidth="1" min="4" max="4"/>
    <col width="40" customWidth="1" min="5" max="5"/>
  </cols>
  <sheetData>
    <row r="1">
      <c r="A1" s="1" t="inlineStr">
        <is>
          <t>Ticker:</t>
        </is>
      </c>
      <c r="B1" s="2" t="inlineStr">
        <is>
          <t>NYSE:BABA</t>
        </is>
      </c>
      <c r="C1" s="3" t="inlineStr">
        <is>
          <t>← Change this ticker, then wait for CIQ to resolve all formulas, then Save.</t>
        </is>
      </c>
    </row>
    <row r="2">
      <c r="A2" t="inlineStr">
        <is>
          <t>Instructions:</t>
        </is>
      </c>
      <c r="B2" s="4" t="inlineStr">
        <is>
          <t>1) Enter ticker in B1  2) Wait for #GETTING_DATA to disappear  3) Save (Ctrl+S)  4) Load in app</t>
        </is>
      </c>
    </row>
    <row r="4">
      <c r="A4" s="5" t="inlineStr">
        <is>
          <t>Variable</t>
        </is>
      </c>
      <c r="B4" s="5" t="inlineStr">
        <is>
          <t>Period</t>
        </is>
      </c>
      <c r="C4" s="5" t="inlineStr">
        <is>
          <t>CIQ Formula</t>
        </is>
      </c>
      <c r="D4" s="5" t="inlineStr">
        <is>
          <t>Resolved Value</t>
        </is>
      </c>
      <c r="E4" s="5" t="inlineStr">
        <is>
          <t>Description</t>
        </is>
      </c>
    </row>
    <row r="5">
      <c r="A5" s="6" t="inlineStr">
        <is>
          <t>INCOME STATEMENT (Annual)</t>
        </is>
      </c>
    </row>
    <row r="6">
      <c r="A6" s="7" t="inlineStr">
        <is>
          <t>revenues</t>
        </is>
      </c>
      <c r="B6" s="7" t="inlineStr">
        <is>
          <t>IQ_FY-0</t>
        </is>
      </c>
      <c r="C6" s="8">
        <f>_xll.ciqfunctions.udf.CIQ($B$1,"IQ_TOTAL_REV","IQ_FY-0")</f>
        <v/>
      </c>
      <c r="D6" s="9">
        <f>C6</f>
        <v/>
      </c>
      <c r="E6" s="7" t="inlineStr">
        <is>
          <t>Total Revenue</t>
        </is>
      </c>
    </row>
    <row r="7">
      <c r="A7" s="7" t="inlineStr">
        <is>
          <t>revenues</t>
        </is>
      </c>
      <c r="B7" s="7" t="inlineStr">
        <is>
          <t>IQ_FY-1</t>
        </is>
      </c>
      <c r="C7" s="8">
        <f>_xll.ciqfunctions.udf.CIQ($B$1,"IQ_TOTAL_REV","IQ_FY-1")</f>
        <v/>
      </c>
      <c r="D7" s="9">
        <f>C7</f>
        <v/>
      </c>
      <c r="E7" s="7" t="inlineStr">
        <is>
          <t>Total Revenue</t>
        </is>
      </c>
    </row>
    <row r="8">
      <c r="A8" s="7" t="inlineStr">
        <is>
          <t>revenues</t>
        </is>
      </c>
      <c r="B8" s="7" t="inlineStr">
        <is>
          <t>IQ_FY-2</t>
        </is>
      </c>
      <c r="C8" s="8">
        <f>_xll.ciqfunctions.udf.CIQ($B$1,"IQ_TOTAL_REV","IQ_FY-2")</f>
        <v/>
      </c>
      <c r="D8" s="9">
        <f>C8</f>
        <v/>
      </c>
      <c r="E8" s="7" t="inlineStr">
        <is>
          <t>Total Revenue</t>
        </is>
      </c>
    </row>
    <row r="9">
      <c r="A9" s="7" t="inlineStr">
        <is>
          <t>revenues</t>
        </is>
      </c>
      <c r="B9" s="7" t="inlineStr">
        <is>
          <t>IQ_FY-3</t>
        </is>
      </c>
      <c r="C9" s="8">
        <f>_xll.ciqfunctions.udf.CIQ($B$1,"IQ_TOTAL_REV","IQ_FY-3")</f>
        <v/>
      </c>
      <c r="D9" s="9">
        <f>C9</f>
        <v/>
      </c>
      <c r="E9" s="7" t="inlineStr">
        <is>
          <t>Total Revenue</t>
        </is>
      </c>
    </row>
    <row r="10">
      <c r="A10" s="7" t="inlineStr">
        <is>
          <t>revenues</t>
        </is>
      </c>
      <c r="B10" s="7" t="inlineStr">
        <is>
          <t>IQ_FY-4</t>
        </is>
      </c>
      <c r="C10" s="8">
        <f>_xll.ciqfunctions.udf.CIQ($B$1,"IQ_TOTAL_REV","IQ_FY-4")</f>
        <v/>
      </c>
      <c r="D10" s="9">
        <f>C10</f>
        <v/>
      </c>
      <c r="E10" s="7" t="inlineStr">
        <is>
          <t>Total Revenue</t>
        </is>
      </c>
    </row>
    <row r="11">
      <c r="A11" s="7" t="inlineStr">
        <is>
          <t>revenues</t>
        </is>
      </c>
      <c r="B11" s="7" t="inlineStr">
        <is>
          <t>IQ_FY-5</t>
        </is>
      </c>
      <c r="C11" s="8">
        <f>_xll.ciqfunctions.udf.CIQ($B$1,"IQ_TOTAL_REV","IQ_FY-5")</f>
        <v/>
      </c>
      <c r="D11" s="9">
        <f>C11</f>
        <v/>
      </c>
      <c r="E11" s="7" t="inlineStr">
        <is>
          <t>Total Revenue</t>
        </is>
      </c>
    </row>
    <row r="12">
      <c r="A12" s="7" t="inlineStr">
        <is>
          <t>revenues</t>
        </is>
      </c>
      <c r="B12" s="7" t="inlineStr">
        <is>
          <t>IQ_FY-6</t>
        </is>
      </c>
      <c r="C12" s="8">
        <f>_xll.ciqfunctions.udf.CIQ($B$1,"IQ_TOTAL_REV","IQ_FY-6")</f>
        <v/>
      </c>
      <c r="D12" s="9">
        <f>C12</f>
        <v/>
      </c>
      <c r="E12" s="7" t="inlineStr">
        <is>
          <t>Total Revenue</t>
        </is>
      </c>
    </row>
    <row r="13">
      <c r="A13" s="7" t="inlineStr">
        <is>
          <t>revenues</t>
        </is>
      </c>
      <c r="B13" s="7" t="inlineStr">
        <is>
          <t>IQ_FY-7</t>
        </is>
      </c>
      <c r="C13" s="8">
        <f>_xll.ciqfunctions.udf.CIQ($B$1,"IQ_TOTAL_REV","IQ_FY-7")</f>
        <v/>
      </c>
      <c r="D13" s="9">
        <f>C13</f>
        <v/>
      </c>
      <c r="E13" s="7" t="inlineStr">
        <is>
          <t>Total Revenue</t>
        </is>
      </c>
    </row>
    <row r="14">
      <c r="A14" s="7" t="inlineStr">
        <is>
          <t>revenues</t>
        </is>
      </c>
      <c r="B14" s="7" t="inlineStr">
        <is>
          <t>IQ_FY-8</t>
        </is>
      </c>
      <c r="C14" s="8">
        <f>_xll.ciqfunctions.udf.CIQ($B$1,"IQ_TOTAL_REV","IQ_FY-8")</f>
        <v/>
      </c>
      <c r="D14" s="9">
        <f>C14</f>
        <v/>
      </c>
      <c r="E14" s="7" t="inlineStr">
        <is>
          <t>Total Revenue</t>
        </is>
      </c>
    </row>
    <row r="15">
      <c r="A15" s="7" t="inlineStr">
        <is>
          <t>revenues</t>
        </is>
      </c>
      <c r="B15" s="7" t="inlineStr">
        <is>
          <t>IQ_FY-9</t>
        </is>
      </c>
      <c r="C15" s="8">
        <f>_xll.ciqfunctions.udf.CIQ($B$1,"IQ_TOTAL_REV","IQ_FY-9")</f>
        <v/>
      </c>
      <c r="D15" s="9">
        <f>C15</f>
        <v/>
      </c>
      <c r="E15" s="7" t="inlineStr">
        <is>
          <t>Total Revenue</t>
        </is>
      </c>
    </row>
    <row r="16">
      <c r="A16" s="7" t="inlineStr">
        <is>
          <t>revenues</t>
        </is>
      </c>
      <c r="B16" s="7" t="inlineStr">
        <is>
          <t>IQ_FY-10</t>
        </is>
      </c>
      <c r="C16" s="8">
        <f>_xll.ciqfunctions.udf.CIQ($B$1,"IQ_TOTAL_REV","IQ_FY-10")</f>
        <v/>
      </c>
      <c r="D16" s="9">
        <f>C16</f>
        <v/>
      </c>
      <c r="E16" s="7" t="inlineStr">
        <is>
          <t>Total Revenue</t>
        </is>
      </c>
    </row>
    <row r="17">
      <c r="A17" s="7" t="inlineStr">
        <is>
          <t>ebit</t>
        </is>
      </c>
      <c r="B17" s="7" t="inlineStr">
        <is>
          <t>IQ_FY-0</t>
        </is>
      </c>
      <c r="C17" s="8">
        <f>_xll.ciqfunctions.udf.CIQ($B$1,"IQ_EBIT","IQ_FY-0")</f>
        <v/>
      </c>
      <c r="D17" s="9">
        <f>C17</f>
        <v/>
      </c>
      <c r="E17" s="7" t="inlineStr">
        <is>
          <t>Operating Income (EBIT)</t>
        </is>
      </c>
    </row>
    <row r="18">
      <c r="A18" s="7" t="inlineStr">
        <is>
          <t>ebit</t>
        </is>
      </c>
      <c r="B18" s="7" t="inlineStr">
        <is>
          <t>IQ_FY-1</t>
        </is>
      </c>
      <c r="C18" s="8">
        <f>_xll.ciqfunctions.udf.CIQ($B$1,"IQ_EBIT","IQ_FY-1")</f>
        <v/>
      </c>
      <c r="D18" s="9">
        <f>C18</f>
        <v/>
      </c>
      <c r="E18" s="7" t="inlineStr">
        <is>
          <t>Operating Income (EBIT)</t>
        </is>
      </c>
    </row>
    <row r="19">
      <c r="A19" s="7" t="inlineStr">
        <is>
          <t>ebit</t>
        </is>
      </c>
      <c r="B19" s="7" t="inlineStr">
        <is>
          <t>IQ_FY-2</t>
        </is>
      </c>
      <c r="C19" s="8">
        <f>_xll.ciqfunctions.udf.CIQ($B$1,"IQ_EBIT","IQ_FY-2")</f>
        <v/>
      </c>
      <c r="D19" s="9">
        <f>C19</f>
        <v/>
      </c>
      <c r="E19" s="7" t="inlineStr">
        <is>
          <t>Operating Income (EBIT)</t>
        </is>
      </c>
    </row>
    <row r="20">
      <c r="A20" s="7" t="inlineStr">
        <is>
          <t>ebit</t>
        </is>
      </c>
      <c r="B20" s="7" t="inlineStr">
        <is>
          <t>IQ_FY-3</t>
        </is>
      </c>
      <c r="C20" s="8">
        <f>_xll.ciqfunctions.udf.CIQ($B$1,"IQ_EBIT","IQ_FY-3")</f>
        <v/>
      </c>
      <c r="D20" s="9">
        <f>C20</f>
        <v/>
      </c>
      <c r="E20" s="7" t="inlineStr">
        <is>
          <t>Operating Income (EBIT)</t>
        </is>
      </c>
    </row>
    <row r="21">
      <c r="A21" s="7" t="inlineStr">
        <is>
          <t>ebit</t>
        </is>
      </c>
      <c r="B21" s="7" t="inlineStr">
        <is>
          <t>IQ_FY-4</t>
        </is>
      </c>
      <c r="C21" s="8">
        <f>_xll.ciqfunctions.udf.CIQ($B$1,"IQ_EBIT","IQ_FY-4")</f>
        <v/>
      </c>
      <c r="D21" s="9">
        <f>C21</f>
        <v/>
      </c>
      <c r="E21" s="7" t="inlineStr">
        <is>
          <t>Operating Income (EBIT)</t>
        </is>
      </c>
    </row>
    <row r="22">
      <c r="A22" s="7" t="inlineStr">
        <is>
          <t>ebit</t>
        </is>
      </c>
      <c r="B22" s="7" t="inlineStr">
        <is>
          <t>IQ_FY-5</t>
        </is>
      </c>
      <c r="C22" s="8">
        <f>_xll.ciqfunctions.udf.CIQ($B$1,"IQ_EBIT","IQ_FY-5")</f>
        <v/>
      </c>
      <c r="D22" s="9">
        <f>C22</f>
        <v/>
      </c>
      <c r="E22" s="7" t="inlineStr">
        <is>
          <t>Operating Income (EBIT)</t>
        </is>
      </c>
    </row>
    <row r="23">
      <c r="A23" s="7" t="inlineStr">
        <is>
          <t>ebit</t>
        </is>
      </c>
      <c r="B23" s="7" t="inlineStr">
        <is>
          <t>IQ_FY-6</t>
        </is>
      </c>
      <c r="C23" s="8">
        <f>_xll.ciqfunctions.udf.CIQ($B$1,"IQ_EBIT","IQ_FY-6")</f>
        <v/>
      </c>
      <c r="D23" s="9">
        <f>C23</f>
        <v/>
      </c>
      <c r="E23" s="7" t="inlineStr">
        <is>
          <t>Operating Income (EBIT)</t>
        </is>
      </c>
    </row>
    <row r="24">
      <c r="A24" s="7" t="inlineStr">
        <is>
          <t>ebit</t>
        </is>
      </c>
      <c r="B24" s="7" t="inlineStr">
        <is>
          <t>IQ_FY-7</t>
        </is>
      </c>
      <c r="C24" s="8">
        <f>_xll.ciqfunctions.udf.CIQ($B$1,"IQ_EBIT","IQ_FY-7")</f>
        <v/>
      </c>
      <c r="D24" s="9">
        <f>C24</f>
        <v/>
      </c>
      <c r="E24" s="7" t="inlineStr">
        <is>
          <t>Operating Income (EBIT)</t>
        </is>
      </c>
    </row>
    <row r="25">
      <c r="A25" s="7" t="inlineStr">
        <is>
          <t>ebit</t>
        </is>
      </c>
      <c r="B25" s="7" t="inlineStr">
        <is>
          <t>IQ_FY-8</t>
        </is>
      </c>
      <c r="C25" s="8">
        <f>_xll.ciqfunctions.udf.CIQ($B$1,"IQ_EBIT","IQ_FY-8")</f>
        <v/>
      </c>
      <c r="D25" s="9">
        <f>C25</f>
        <v/>
      </c>
      <c r="E25" s="7" t="inlineStr">
        <is>
          <t>Operating Income (EBIT)</t>
        </is>
      </c>
    </row>
    <row r="26">
      <c r="A26" s="7" t="inlineStr">
        <is>
          <t>ebit</t>
        </is>
      </c>
      <c r="B26" s="7" t="inlineStr">
        <is>
          <t>IQ_FY-9</t>
        </is>
      </c>
      <c r="C26" s="8">
        <f>_xll.ciqfunctions.udf.CIQ($B$1,"IQ_EBIT","IQ_FY-9")</f>
        <v/>
      </c>
      <c r="D26" s="9">
        <f>C26</f>
        <v/>
      </c>
      <c r="E26" s="7" t="inlineStr">
        <is>
          <t>Operating Income (EBIT)</t>
        </is>
      </c>
    </row>
    <row r="27">
      <c r="A27" s="7" t="inlineStr">
        <is>
          <t>ebit</t>
        </is>
      </c>
      <c r="B27" s="7" t="inlineStr">
        <is>
          <t>IQ_FY-10</t>
        </is>
      </c>
      <c r="C27" s="8">
        <f>_xll.ciqfunctions.udf.CIQ($B$1,"IQ_EBIT","IQ_FY-10")</f>
        <v/>
      </c>
      <c r="D27" s="9">
        <f>C27</f>
        <v/>
      </c>
      <c r="E27" s="7" t="inlineStr">
        <is>
          <t>Operating Income (EBIT)</t>
        </is>
      </c>
    </row>
    <row r="28">
      <c r="A28" s="7" t="inlineStr">
        <is>
          <t>ebitda</t>
        </is>
      </c>
      <c r="B28" s="7" t="inlineStr">
        <is>
          <t>IQ_FY-0</t>
        </is>
      </c>
      <c r="C28" s="8">
        <f>_xll.ciqfunctions.udf.CIQ($B$1,"IQ_EBITDA","IQ_FY-0")</f>
        <v/>
      </c>
      <c r="D28" s="9">
        <f>C28</f>
        <v/>
      </c>
      <c r="E28" s="7" t="inlineStr">
        <is>
          <t>EBITDA</t>
        </is>
      </c>
    </row>
    <row r="29">
      <c r="A29" s="7" t="inlineStr">
        <is>
          <t>ebitda</t>
        </is>
      </c>
      <c r="B29" s="7" t="inlineStr">
        <is>
          <t>IQ_FY-1</t>
        </is>
      </c>
      <c r="C29" s="8">
        <f>_xll.ciqfunctions.udf.CIQ($B$1,"IQ_EBITDA","IQ_FY-1")</f>
        <v/>
      </c>
      <c r="D29" s="9">
        <f>C29</f>
        <v/>
      </c>
      <c r="E29" s="7" t="inlineStr">
        <is>
          <t>EBITDA</t>
        </is>
      </c>
    </row>
    <row r="30">
      <c r="A30" s="7" t="inlineStr">
        <is>
          <t>ebitda</t>
        </is>
      </c>
      <c r="B30" s="7" t="inlineStr">
        <is>
          <t>IQ_FY-2</t>
        </is>
      </c>
      <c r="C30" s="8">
        <f>_xll.ciqfunctions.udf.CIQ($B$1,"IQ_EBITDA","IQ_FY-2")</f>
        <v/>
      </c>
      <c r="D30" s="9">
        <f>C30</f>
        <v/>
      </c>
      <c r="E30" s="7" t="inlineStr">
        <is>
          <t>EBITDA</t>
        </is>
      </c>
    </row>
    <row r="31">
      <c r="A31" s="7" t="inlineStr">
        <is>
          <t>ebitda</t>
        </is>
      </c>
      <c r="B31" s="7" t="inlineStr">
        <is>
          <t>IQ_FY-3</t>
        </is>
      </c>
      <c r="C31" s="8">
        <f>_xll.ciqfunctions.udf.CIQ($B$1,"IQ_EBITDA","IQ_FY-3")</f>
        <v/>
      </c>
      <c r="D31" s="9">
        <f>C31</f>
        <v/>
      </c>
      <c r="E31" s="7" t="inlineStr">
        <is>
          <t>EBITDA</t>
        </is>
      </c>
    </row>
    <row r="32">
      <c r="A32" s="7" t="inlineStr">
        <is>
          <t>ebitda</t>
        </is>
      </c>
      <c r="B32" s="7" t="inlineStr">
        <is>
          <t>IQ_FY-4</t>
        </is>
      </c>
      <c r="C32" s="8">
        <f>_xll.ciqfunctions.udf.CIQ($B$1,"IQ_EBITDA","IQ_FY-4")</f>
        <v/>
      </c>
      <c r="D32" s="9">
        <f>C32</f>
        <v/>
      </c>
      <c r="E32" s="7" t="inlineStr">
        <is>
          <t>EBITDA</t>
        </is>
      </c>
    </row>
    <row r="33">
      <c r="A33" s="7" t="inlineStr">
        <is>
          <t>ebitda</t>
        </is>
      </c>
      <c r="B33" s="7" t="inlineStr">
        <is>
          <t>IQ_FY-5</t>
        </is>
      </c>
      <c r="C33" s="8">
        <f>_xll.ciqfunctions.udf.CIQ($B$1,"IQ_EBITDA","IQ_FY-5")</f>
        <v/>
      </c>
      <c r="D33" s="9">
        <f>C33</f>
        <v/>
      </c>
      <c r="E33" s="7" t="inlineStr">
        <is>
          <t>EBITDA</t>
        </is>
      </c>
    </row>
    <row r="34">
      <c r="A34" s="7" t="inlineStr">
        <is>
          <t>ebitda</t>
        </is>
      </c>
      <c r="B34" s="7" t="inlineStr">
        <is>
          <t>IQ_FY-6</t>
        </is>
      </c>
      <c r="C34" s="8">
        <f>_xll.ciqfunctions.udf.CIQ($B$1,"IQ_EBITDA","IQ_FY-6")</f>
        <v/>
      </c>
      <c r="D34" s="9">
        <f>C34</f>
        <v/>
      </c>
      <c r="E34" s="7" t="inlineStr">
        <is>
          <t>EBITDA</t>
        </is>
      </c>
    </row>
    <row r="35">
      <c r="A35" s="7" t="inlineStr">
        <is>
          <t>ebitda</t>
        </is>
      </c>
      <c r="B35" s="7" t="inlineStr">
        <is>
          <t>IQ_FY-7</t>
        </is>
      </c>
      <c r="C35" s="8">
        <f>_xll.ciqfunctions.udf.CIQ($B$1,"IQ_EBITDA","IQ_FY-7")</f>
        <v/>
      </c>
      <c r="D35" s="9">
        <f>C35</f>
        <v/>
      </c>
      <c r="E35" s="7" t="inlineStr">
        <is>
          <t>EBITDA</t>
        </is>
      </c>
    </row>
    <row r="36">
      <c r="A36" s="7" t="inlineStr">
        <is>
          <t>ebitda</t>
        </is>
      </c>
      <c r="B36" s="7" t="inlineStr">
        <is>
          <t>IQ_FY-8</t>
        </is>
      </c>
      <c r="C36" s="8">
        <f>_xll.ciqfunctions.udf.CIQ($B$1,"IQ_EBITDA","IQ_FY-8")</f>
        <v/>
      </c>
      <c r="D36" s="9">
        <f>C36</f>
        <v/>
      </c>
      <c r="E36" s="7" t="inlineStr">
        <is>
          <t>EBITDA</t>
        </is>
      </c>
    </row>
    <row r="37">
      <c r="A37" s="7" t="inlineStr">
        <is>
          <t>ebitda</t>
        </is>
      </c>
      <c r="B37" s="7" t="inlineStr">
        <is>
          <t>IQ_FY-9</t>
        </is>
      </c>
      <c r="C37" s="8">
        <f>_xll.ciqfunctions.udf.CIQ($B$1,"IQ_EBITDA","IQ_FY-9")</f>
        <v/>
      </c>
      <c r="D37" s="9">
        <f>C37</f>
        <v/>
      </c>
      <c r="E37" s="7" t="inlineStr">
        <is>
          <t>EBITDA</t>
        </is>
      </c>
    </row>
    <row r="38">
      <c r="A38" s="7" t="inlineStr">
        <is>
          <t>ebitda</t>
        </is>
      </c>
      <c r="B38" s="7" t="inlineStr">
        <is>
          <t>IQ_FY-10</t>
        </is>
      </c>
      <c r="C38" s="8">
        <f>_xll.ciqfunctions.udf.CIQ($B$1,"IQ_EBITDA","IQ_FY-10")</f>
        <v/>
      </c>
      <c r="D38" s="9">
        <f>C38</f>
        <v/>
      </c>
      <c r="E38" s="7" t="inlineStr">
        <is>
          <t>EBITDA</t>
        </is>
      </c>
    </row>
    <row r="39">
      <c r="A39" s="7" t="inlineStr">
        <is>
          <t>net_income</t>
        </is>
      </c>
      <c r="B39" s="7" t="inlineStr">
        <is>
          <t>IQ_FY-0</t>
        </is>
      </c>
      <c r="C39" s="8">
        <f>_xll.ciqfunctions.udf.CIQ($B$1,"IQ_NI","IQ_FY-0")</f>
        <v/>
      </c>
      <c r="D39" s="9">
        <f>C39</f>
        <v/>
      </c>
      <c r="E39" s="7" t="inlineStr">
        <is>
          <t>Net Income</t>
        </is>
      </c>
    </row>
    <row r="40">
      <c r="A40" s="7" t="inlineStr">
        <is>
          <t>net_income</t>
        </is>
      </c>
      <c r="B40" s="7" t="inlineStr">
        <is>
          <t>IQ_FY-1</t>
        </is>
      </c>
      <c r="C40" s="8">
        <f>_xll.ciqfunctions.udf.CIQ($B$1,"IQ_NI","IQ_FY-1")</f>
        <v/>
      </c>
      <c r="D40" s="9">
        <f>C40</f>
        <v/>
      </c>
      <c r="E40" s="7" t="inlineStr">
        <is>
          <t>Net Income</t>
        </is>
      </c>
    </row>
    <row r="41">
      <c r="A41" s="7" t="inlineStr">
        <is>
          <t>net_income</t>
        </is>
      </c>
      <c r="B41" s="7" t="inlineStr">
        <is>
          <t>IQ_FY-2</t>
        </is>
      </c>
      <c r="C41" s="8">
        <f>_xll.ciqfunctions.udf.CIQ($B$1,"IQ_NI","IQ_FY-2")</f>
        <v/>
      </c>
      <c r="D41" s="9">
        <f>C41</f>
        <v/>
      </c>
      <c r="E41" s="7" t="inlineStr">
        <is>
          <t>Net Income</t>
        </is>
      </c>
    </row>
    <row r="42">
      <c r="A42" s="7" t="inlineStr">
        <is>
          <t>net_income</t>
        </is>
      </c>
      <c r="B42" s="7" t="inlineStr">
        <is>
          <t>IQ_FY-3</t>
        </is>
      </c>
      <c r="C42" s="8">
        <f>_xll.ciqfunctions.udf.CIQ($B$1,"IQ_NI","IQ_FY-3")</f>
        <v/>
      </c>
      <c r="D42" s="9">
        <f>C42</f>
        <v/>
      </c>
      <c r="E42" s="7" t="inlineStr">
        <is>
          <t>Net Income</t>
        </is>
      </c>
    </row>
    <row r="43">
      <c r="A43" s="7" t="inlineStr">
        <is>
          <t>net_income</t>
        </is>
      </c>
      <c r="B43" s="7" t="inlineStr">
        <is>
          <t>IQ_FY-4</t>
        </is>
      </c>
      <c r="C43" s="8">
        <f>_xll.ciqfunctions.udf.CIQ($B$1,"IQ_NI","IQ_FY-4")</f>
        <v/>
      </c>
      <c r="D43" s="9">
        <f>C43</f>
        <v/>
      </c>
      <c r="E43" s="7" t="inlineStr">
        <is>
          <t>Net Income</t>
        </is>
      </c>
    </row>
    <row r="44">
      <c r="A44" s="7" t="inlineStr">
        <is>
          <t>net_income</t>
        </is>
      </c>
      <c r="B44" s="7" t="inlineStr">
        <is>
          <t>IQ_FY-5</t>
        </is>
      </c>
      <c r="C44" s="8">
        <f>_xll.ciqfunctions.udf.CIQ($B$1,"IQ_NI","IQ_FY-5")</f>
        <v/>
      </c>
      <c r="D44" s="9">
        <f>C44</f>
        <v/>
      </c>
      <c r="E44" s="7" t="inlineStr">
        <is>
          <t>Net Income</t>
        </is>
      </c>
    </row>
    <row r="45">
      <c r="A45" s="7" t="inlineStr">
        <is>
          <t>net_income</t>
        </is>
      </c>
      <c r="B45" s="7" t="inlineStr">
        <is>
          <t>IQ_FY-6</t>
        </is>
      </c>
      <c r="C45" s="8">
        <f>_xll.ciqfunctions.udf.CIQ($B$1,"IQ_NI","IQ_FY-6")</f>
        <v/>
      </c>
      <c r="D45" s="9">
        <f>C45</f>
        <v/>
      </c>
      <c r="E45" s="7" t="inlineStr">
        <is>
          <t>Net Income</t>
        </is>
      </c>
    </row>
    <row r="46">
      <c r="A46" s="7" t="inlineStr">
        <is>
          <t>net_income</t>
        </is>
      </c>
      <c r="B46" s="7" t="inlineStr">
        <is>
          <t>IQ_FY-7</t>
        </is>
      </c>
      <c r="C46" s="8">
        <f>_xll.ciqfunctions.udf.CIQ($B$1,"IQ_NI","IQ_FY-7")</f>
        <v/>
      </c>
      <c r="D46" s="9">
        <f>C46</f>
        <v/>
      </c>
      <c r="E46" s="7" t="inlineStr">
        <is>
          <t>Net Income</t>
        </is>
      </c>
    </row>
    <row r="47">
      <c r="A47" s="7" t="inlineStr">
        <is>
          <t>net_income</t>
        </is>
      </c>
      <c r="B47" s="7" t="inlineStr">
        <is>
          <t>IQ_FY-8</t>
        </is>
      </c>
      <c r="C47" s="8">
        <f>_xll.ciqfunctions.udf.CIQ($B$1,"IQ_NI","IQ_FY-8")</f>
        <v/>
      </c>
      <c r="D47" s="9">
        <f>C47</f>
        <v/>
      </c>
      <c r="E47" s="7" t="inlineStr">
        <is>
          <t>Net Income</t>
        </is>
      </c>
    </row>
    <row r="48">
      <c r="A48" s="7" t="inlineStr">
        <is>
          <t>net_income</t>
        </is>
      </c>
      <c r="B48" s="7" t="inlineStr">
        <is>
          <t>IQ_FY-9</t>
        </is>
      </c>
      <c r="C48" s="8">
        <f>_xll.ciqfunctions.udf.CIQ($B$1,"IQ_NI","IQ_FY-9")</f>
        <v/>
      </c>
      <c r="D48" s="9">
        <f>C48</f>
        <v/>
      </c>
      <c r="E48" s="7" t="inlineStr">
        <is>
          <t>Net Income</t>
        </is>
      </c>
    </row>
    <row r="49">
      <c r="A49" s="7" t="inlineStr">
        <is>
          <t>net_income</t>
        </is>
      </c>
      <c r="B49" s="7" t="inlineStr">
        <is>
          <t>IQ_FY-10</t>
        </is>
      </c>
      <c r="C49" s="8">
        <f>_xll.ciqfunctions.udf.CIQ($B$1,"IQ_NI","IQ_FY-10")</f>
        <v/>
      </c>
      <c r="D49" s="9">
        <f>C49</f>
        <v/>
      </c>
      <c r="E49" s="7" t="inlineStr">
        <is>
          <t>Net Income</t>
        </is>
      </c>
    </row>
    <row r="50">
      <c r="A50" s="7" t="inlineStr">
        <is>
          <t>interest_expense</t>
        </is>
      </c>
      <c r="B50" s="7" t="inlineStr">
        <is>
          <t>IQ_FY-0</t>
        </is>
      </c>
      <c r="C50" s="8">
        <f>ABS(_xll.ciqfunctions.udf.CIQ($B$1,"IQ_INTEREST_EXP","IQ_FY-0"))</f>
        <v/>
      </c>
      <c r="D50" s="9">
        <f>C50</f>
        <v/>
      </c>
      <c r="E50" s="7" t="inlineStr">
        <is>
          <t>Interest Expense</t>
        </is>
      </c>
    </row>
    <row r="51">
      <c r="A51" s="7" t="inlineStr">
        <is>
          <t>interest_expense</t>
        </is>
      </c>
      <c r="B51" s="7" t="inlineStr">
        <is>
          <t>IQ_FY-1</t>
        </is>
      </c>
      <c r="C51" s="8">
        <f>ABS(_xll.ciqfunctions.udf.CIQ($B$1,"IQ_INTEREST_EXP","IQ_FY-1"))</f>
        <v/>
      </c>
      <c r="D51" s="9">
        <f>C51</f>
        <v/>
      </c>
      <c r="E51" s="7" t="inlineStr">
        <is>
          <t>Interest Expense</t>
        </is>
      </c>
    </row>
    <row r="52">
      <c r="A52" s="7" t="inlineStr">
        <is>
          <t>interest_expense</t>
        </is>
      </c>
      <c r="B52" s="7" t="inlineStr">
        <is>
          <t>IQ_FY-2</t>
        </is>
      </c>
      <c r="C52" s="8">
        <f>ABS(_xll.ciqfunctions.udf.CIQ($B$1,"IQ_INTEREST_EXP","IQ_FY-2"))</f>
        <v/>
      </c>
      <c r="D52" s="9">
        <f>C52</f>
        <v/>
      </c>
      <c r="E52" s="7" t="inlineStr">
        <is>
          <t>Interest Expense</t>
        </is>
      </c>
    </row>
    <row r="53">
      <c r="A53" s="7" t="inlineStr">
        <is>
          <t>interest_expense</t>
        </is>
      </c>
      <c r="B53" s="7" t="inlineStr">
        <is>
          <t>IQ_FY-3</t>
        </is>
      </c>
      <c r="C53" s="8">
        <f>ABS(_xll.ciqfunctions.udf.CIQ($B$1,"IQ_INTEREST_EXP","IQ_FY-3"))</f>
        <v/>
      </c>
      <c r="D53" s="9">
        <f>C53</f>
        <v/>
      </c>
      <c r="E53" s="7" t="inlineStr">
        <is>
          <t>Interest Expense</t>
        </is>
      </c>
    </row>
    <row r="54">
      <c r="A54" s="7" t="inlineStr">
        <is>
          <t>interest_expense</t>
        </is>
      </c>
      <c r="B54" s="7" t="inlineStr">
        <is>
          <t>IQ_FY-4</t>
        </is>
      </c>
      <c r="C54" s="8">
        <f>ABS(_xll.ciqfunctions.udf.CIQ($B$1,"IQ_INTEREST_EXP","IQ_FY-4"))</f>
        <v/>
      </c>
      <c r="D54" s="9">
        <f>C54</f>
        <v/>
      </c>
      <c r="E54" s="7" t="inlineStr">
        <is>
          <t>Interest Expense</t>
        </is>
      </c>
    </row>
    <row r="55">
      <c r="A55" s="7" t="inlineStr">
        <is>
          <t>interest_expense</t>
        </is>
      </c>
      <c r="B55" s="7" t="inlineStr">
        <is>
          <t>IQ_FY-5</t>
        </is>
      </c>
      <c r="C55" s="8">
        <f>ABS(_xll.ciqfunctions.udf.CIQ($B$1,"IQ_INTEREST_EXP","IQ_FY-5"))</f>
        <v/>
      </c>
      <c r="D55" s="9">
        <f>C55</f>
        <v/>
      </c>
      <c r="E55" s="7" t="inlineStr">
        <is>
          <t>Interest Expense</t>
        </is>
      </c>
    </row>
    <row r="56">
      <c r="A56" s="7" t="inlineStr">
        <is>
          <t>interest_expense</t>
        </is>
      </c>
      <c r="B56" s="7" t="inlineStr">
        <is>
          <t>IQ_FY-6</t>
        </is>
      </c>
      <c r="C56" s="8">
        <f>ABS(_xll.ciqfunctions.udf.CIQ($B$1,"IQ_INTEREST_EXP","IQ_FY-6"))</f>
        <v/>
      </c>
      <c r="D56" s="9">
        <f>C56</f>
        <v/>
      </c>
      <c r="E56" s="7" t="inlineStr">
        <is>
          <t>Interest Expense</t>
        </is>
      </c>
    </row>
    <row r="57">
      <c r="A57" s="7" t="inlineStr">
        <is>
          <t>interest_expense</t>
        </is>
      </c>
      <c r="B57" s="7" t="inlineStr">
        <is>
          <t>IQ_FY-7</t>
        </is>
      </c>
      <c r="C57" s="8">
        <f>ABS(_xll.ciqfunctions.udf.CIQ($B$1,"IQ_INTEREST_EXP","IQ_FY-7"))</f>
        <v/>
      </c>
      <c r="D57" s="9">
        <f>C57</f>
        <v/>
      </c>
      <c r="E57" s="7" t="inlineStr">
        <is>
          <t>Interest Expense</t>
        </is>
      </c>
    </row>
    <row r="58">
      <c r="A58" s="7" t="inlineStr">
        <is>
          <t>interest_expense</t>
        </is>
      </c>
      <c r="B58" s="7" t="inlineStr">
        <is>
          <t>IQ_FY-8</t>
        </is>
      </c>
      <c r="C58" s="8">
        <f>ABS(_xll.ciqfunctions.udf.CIQ($B$1,"IQ_INTEREST_EXP","IQ_FY-8"))</f>
        <v/>
      </c>
      <c r="D58" s="9">
        <f>C58</f>
        <v/>
      </c>
      <c r="E58" s="7" t="inlineStr">
        <is>
          <t>Interest Expense</t>
        </is>
      </c>
    </row>
    <row r="59">
      <c r="A59" s="7" t="inlineStr">
        <is>
          <t>interest_expense</t>
        </is>
      </c>
      <c r="B59" s="7" t="inlineStr">
        <is>
          <t>IQ_FY-9</t>
        </is>
      </c>
      <c r="C59" s="8">
        <f>ABS(_xll.ciqfunctions.udf.CIQ($B$1,"IQ_INTEREST_EXP","IQ_FY-9"))</f>
        <v/>
      </c>
      <c r="D59" s="9">
        <f>C59</f>
        <v/>
      </c>
      <c r="E59" s="7" t="inlineStr">
        <is>
          <t>Interest Expense</t>
        </is>
      </c>
    </row>
    <row r="60">
      <c r="A60" s="7" t="inlineStr">
        <is>
          <t>interest_expense</t>
        </is>
      </c>
      <c r="B60" s="7" t="inlineStr">
        <is>
          <t>IQ_FY-10</t>
        </is>
      </c>
      <c r="C60" s="8">
        <f>ABS(_xll.ciqfunctions.udf.CIQ($B$1,"IQ_INTEREST_EXP","IQ_FY-10"))</f>
        <v/>
      </c>
      <c r="D60" s="9">
        <f>C60</f>
        <v/>
      </c>
      <c r="E60" s="7" t="inlineStr">
        <is>
          <t>Interest Expense</t>
        </is>
      </c>
    </row>
    <row r="61">
      <c r="A61" s="7" t="inlineStr">
        <is>
          <t>d_a</t>
        </is>
      </c>
      <c r="B61" s="7" t="inlineStr">
        <is>
          <t>IQ_FY-0</t>
        </is>
      </c>
      <c r="C61" s="8">
        <f>ABS(_xll.ciqfunctions.udf.CIQ($B$1,"IQ_DA_CF","IQ_FY-0"))</f>
        <v/>
      </c>
      <c r="D61" s="9">
        <f>C61</f>
        <v/>
      </c>
      <c r="E61" s="7" t="inlineStr">
        <is>
          <t>Depreciation &amp; Amortization (from Cash Flow)</t>
        </is>
      </c>
    </row>
    <row r="62">
      <c r="A62" s="7" t="inlineStr">
        <is>
          <t>d_a</t>
        </is>
      </c>
      <c r="B62" s="7" t="inlineStr">
        <is>
          <t>IQ_FY-1</t>
        </is>
      </c>
      <c r="C62" s="8">
        <f>ABS(_xll.ciqfunctions.udf.CIQ($B$1,"IQ_DA_CF","IQ_FY-1"))</f>
        <v/>
      </c>
      <c r="D62" s="9">
        <f>C62</f>
        <v/>
      </c>
      <c r="E62" s="7" t="inlineStr">
        <is>
          <t>Depreciation &amp; Amortization (from Cash Flow)</t>
        </is>
      </c>
    </row>
    <row r="63">
      <c r="A63" s="7" t="inlineStr">
        <is>
          <t>d_a</t>
        </is>
      </c>
      <c r="B63" s="7" t="inlineStr">
        <is>
          <t>IQ_FY-2</t>
        </is>
      </c>
      <c r="C63" s="8">
        <f>ABS(_xll.ciqfunctions.udf.CIQ($B$1,"IQ_DA_CF","IQ_FY-2"))</f>
        <v/>
      </c>
      <c r="D63" s="9">
        <f>C63</f>
        <v/>
      </c>
      <c r="E63" s="7" t="inlineStr">
        <is>
          <t>Depreciation &amp; Amortization (from Cash Flow)</t>
        </is>
      </c>
    </row>
    <row r="64">
      <c r="A64" s="7" t="inlineStr">
        <is>
          <t>d_a</t>
        </is>
      </c>
      <c r="B64" s="7" t="inlineStr">
        <is>
          <t>IQ_FY-3</t>
        </is>
      </c>
      <c r="C64" s="8">
        <f>ABS(_xll.ciqfunctions.udf.CIQ($B$1,"IQ_DA_CF","IQ_FY-3"))</f>
        <v/>
      </c>
      <c r="D64" s="9">
        <f>C64</f>
        <v/>
      </c>
      <c r="E64" s="7" t="inlineStr">
        <is>
          <t>Depreciation &amp; Amortization (from Cash Flow)</t>
        </is>
      </c>
    </row>
    <row r="65">
      <c r="A65" s="7" t="inlineStr">
        <is>
          <t>d_a</t>
        </is>
      </c>
      <c r="B65" s="7" t="inlineStr">
        <is>
          <t>IQ_FY-4</t>
        </is>
      </c>
      <c r="C65" s="8">
        <f>ABS(_xll.ciqfunctions.udf.CIQ($B$1,"IQ_DA_CF","IQ_FY-4"))</f>
        <v/>
      </c>
      <c r="D65" s="9">
        <f>C65</f>
        <v/>
      </c>
      <c r="E65" s="7" t="inlineStr">
        <is>
          <t>Depreciation &amp; Amortization (from Cash Flow)</t>
        </is>
      </c>
    </row>
    <row r="66">
      <c r="A66" s="7" t="inlineStr">
        <is>
          <t>d_a</t>
        </is>
      </c>
      <c r="B66" s="7" t="inlineStr">
        <is>
          <t>IQ_FY-5</t>
        </is>
      </c>
      <c r="C66" s="8">
        <f>ABS(_xll.ciqfunctions.udf.CIQ($B$1,"IQ_DA_CF","IQ_FY-5"))</f>
        <v/>
      </c>
      <c r="D66" s="9">
        <f>C66</f>
        <v/>
      </c>
      <c r="E66" s="7" t="inlineStr">
        <is>
          <t>Depreciation &amp; Amortization (from Cash Flow)</t>
        </is>
      </c>
    </row>
    <row r="67">
      <c r="A67" s="7" t="inlineStr">
        <is>
          <t>d_a</t>
        </is>
      </c>
      <c r="B67" s="7" t="inlineStr">
        <is>
          <t>IQ_FY-6</t>
        </is>
      </c>
      <c r="C67" s="8">
        <f>ABS(_xll.ciqfunctions.udf.CIQ($B$1,"IQ_DA_CF","IQ_FY-6"))</f>
        <v/>
      </c>
      <c r="D67" s="9">
        <f>C67</f>
        <v/>
      </c>
      <c r="E67" s="7" t="inlineStr">
        <is>
          <t>Depreciation &amp; Amortization (from Cash Flow)</t>
        </is>
      </c>
    </row>
    <row r="68">
      <c r="A68" s="7" t="inlineStr">
        <is>
          <t>d_a</t>
        </is>
      </c>
      <c r="B68" s="7" t="inlineStr">
        <is>
          <t>IQ_FY-7</t>
        </is>
      </c>
      <c r="C68" s="8">
        <f>ABS(_xll.ciqfunctions.udf.CIQ($B$1,"IQ_DA_CF","IQ_FY-7"))</f>
        <v/>
      </c>
      <c r="D68" s="9">
        <f>C68</f>
        <v/>
      </c>
      <c r="E68" s="7" t="inlineStr">
        <is>
          <t>Depreciation &amp; Amortization (from Cash Flow)</t>
        </is>
      </c>
    </row>
    <row r="69">
      <c r="A69" s="7" t="inlineStr">
        <is>
          <t>d_a</t>
        </is>
      </c>
      <c r="B69" s="7" t="inlineStr">
        <is>
          <t>IQ_FY-8</t>
        </is>
      </c>
      <c r="C69" s="8">
        <f>ABS(_xll.ciqfunctions.udf.CIQ($B$1,"IQ_DA_CF","IQ_FY-8"))</f>
        <v/>
      </c>
      <c r="D69" s="9">
        <f>C69</f>
        <v/>
      </c>
      <c r="E69" s="7" t="inlineStr">
        <is>
          <t>Depreciation &amp; Amortization (from Cash Flow)</t>
        </is>
      </c>
    </row>
    <row r="70">
      <c r="A70" s="7" t="inlineStr">
        <is>
          <t>d_a</t>
        </is>
      </c>
      <c r="B70" s="7" t="inlineStr">
        <is>
          <t>IQ_FY-9</t>
        </is>
      </c>
      <c r="C70" s="8">
        <f>ABS(_xll.ciqfunctions.udf.CIQ($B$1,"IQ_DA_CF","IQ_FY-9"))</f>
        <v/>
      </c>
      <c r="D70" s="9">
        <f>C70</f>
        <v/>
      </c>
      <c r="E70" s="7" t="inlineStr">
        <is>
          <t>Depreciation &amp; Amortization (from Cash Flow)</t>
        </is>
      </c>
    </row>
    <row r="71">
      <c r="A71" s="7" t="inlineStr">
        <is>
          <t>d_a</t>
        </is>
      </c>
      <c r="B71" s="7" t="inlineStr">
        <is>
          <t>IQ_FY-10</t>
        </is>
      </c>
      <c r="C71" s="8">
        <f>ABS(_xll.ciqfunctions.udf.CIQ($B$1,"IQ_DA_CF","IQ_FY-10"))</f>
        <v/>
      </c>
      <c r="D71" s="9">
        <f>C71</f>
        <v/>
      </c>
      <c r="E71" s="7" t="inlineStr">
        <is>
          <t>Depreciation &amp; Amortization (from Cash Flow)</t>
        </is>
      </c>
    </row>
    <row r="72">
      <c r="A72" s="7" t="inlineStr">
        <is>
          <t>r_and_d_expense</t>
        </is>
      </c>
      <c r="B72" s="7" t="inlineStr">
        <is>
          <t>IQ_FY-0</t>
        </is>
      </c>
      <c r="C72" s="8">
        <f>_xll.ciqfunctions.udf.CIQ($B$1,"IQ_RD_EXP","IQ_FY-0")</f>
        <v/>
      </c>
      <c r="D72" s="9">
        <f>C72</f>
        <v/>
      </c>
      <c r="E72" s="7" t="inlineStr">
        <is>
          <t>R&amp;D Expense</t>
        </is>
      </c>
    </row>
    <row r="73">
      <c r="A73" s="7" t="inlineStr">
        <is>
          <t>r_and_d_expense</t>
        </is>
      </c>
      <c r="B73" s="7" t="inlineStr">
        <is>
          <t>IQ_FY-1</t>
        </is>
      </c>
      <c r="C73" s="8">
        <f>_xll.ciqfunctions.udf.CIQ($B$1,"IQ_RD_EXP","IQ_FY-1")</f>
        <v/>
      </c>
      <c r="D73" s="9">
        <f>C73</f>
        <v/>
      </c>
      <c r="E73" s="7" t="inlineStr">
        <is>
          <t>R&amp;D Expense</t>
        </is>
      </c>
    </row>
    <row r="74">
      <c r="A74" s="7" t="inlineStr">
        <is>
          <t>r_and_d_expense</t>
        </is>
      </c>
      <c r="B74" s="7" t="inlineStr">
        <is>
          <t>IQ_FY-2</t>
        </is>
      </c>
      <c r="C74" s="8">
        <f>_xll.ciqfunctions.udf.CIQ($B$1,"IQ_RD_EXP","IQ_FY-2")</f>
        <v/>
      </c>
      <c r="D74" s="9">
        <f>C74</f>
        <v/>
      </c>
      <c r="E74" s="7" t="inlineStr">
        <is>
          <t>R&amp;D Expense</t>
        </is>
      </c>
    </row>
    <row r="75">
      <c r="A75" s="7" t="inlineStr">
        <is>
          <t>r_and_d_expense</t>
        </is>
      </c>
      <c r="B75" s="7" t="inlineStr">
        <is>
          <t>IQ_FY-3</t>
        </is>
      </c>
      <c r="C75" s="8">
        <f>_xll.ciqfunctions.udf.CIQ($B$1,"IQ_RD_EXP","IQ_FY-3")</f>
        <v/>
      </c>
      <c r="D75" s="9">
        <f>C75</f>
        <v/>
      </c>
      <c r="E75" s="7" t="inlineStr">
        <is>
          <t>R&amp;D Expense</t>
        </is>
      </c>
    </row>
    <row r="76">
      <c r="A76" s="7" t="inlineStr">
        <is>
          <t>r_and_d_expense</t>
        </is>
      </c>
      <c r="B76" s="7" t="inlineStr">
        <is>
          <t>IQ_FY-4</t>
        </is>
      </c>
      <c r="C76" s="8">
        <f>_xll.ciqfunctions.udf.CIQ($B$1,"IQ_RD_EXP","IQ_FY-4")</f>
        <v/>
      </c>
      <c r="D76" s="9">
        <f>C76</f>
        <v/>
      </c>
      <c r="E76" s="7" t="inlineStr">
        <is>
          <t>R&amp;D Expense</t>
        </is>
      </c>
    </row>
    <row r="77">
      <c r="A77" s="7" t="inlineStr">
        <is>
          <t>r_and_d_expense</t>
        </is>
      </c>
      <c r="B77" s="7" t="inlineStr">
        <is>
          <t>IQ_FY-5</t>
        </is>
      </c>
      <c r="C77" s="8">
        <f>_xll.ciqfunctions.udf.CIQ($B$1,"IQ_RD_EXP","IQ_FY-5")</f>
        <v/>
      </c>
      <c r="D77" s="9">
        <f>C77</f>
        <v/>
      </c>
      <c r="E77" s="7" t="inlineStr">
        <is>
          <t>R&amp;D Expense</t>
        </is>
      </c>
    </row>
    <row r="78">
      <c r="A78" s="7" t="inlineStr">
        <is>
          <t>r_and_d_expense</t>
        </is>
      </c>
      <c r="B78" s="7" t="inlineStr">
        <is>
          <t>IQ_FY-6</t>
        </is>
      </c>
      <c r="C78" s="8">
        <f>_xll.ciqfunctions.udf.CIQ($B$1,"IQ_RD_EXP","IQ_FY-6")</f>
        <v/>
      </c>
      <c r="D78" s="9">
        <f>C78</f>
        <v/>
      </c>
      <c r="E78" s="7" t="inlineStr">
        <is>
          <t>R&amp;D Expense</t>
        </is>
      </c>
    </row>
    <row r="79">
      <c r="A79" s="7" t="inlineStr">
        <is>
          <t>r_and_d_expense</t>
        </is>
      </c>
      <c r="B79" s="7" t="inlineStr">
        <is>
          <t>IQ_FY-7</t>
        </is>
      </c>
      <c r="C79" s="8">
        <f>_xll.ciqfunctions.udf.CIQ($B$1,"IQ_RD_EXP","IQ_FY-7")</f>
        <v/>
      </c>
      <c r="D79" s="9">
        <f>C79</f>
        <v/>
      </c>
      <c r="E79" s="7" t="inlineStr">
        <is>
          <t>R&amp;D Expense</t>
        </is>
      </c>
    </row>
    <row r="80">
      <c r="A80" s="7" t="inlineStr">
        <is>
          <t>r_and_d_expense</t>
        </is>
      </c>
      <c r="B80" s="7" t="inlineStr">
        <is>
          <t>IQ_FY-8</t>
        </is>
      </c>
      <c r="C80" s="8">
        <f>_xll.ciqfunctions.udf.CIQ($B$1,"IQ_RD_EXP","IQ_FY-8")</f>
        <v/>
      </c>
      <c r="D80" s="9">
        <f>C80</f>
        <v/>
      </c>
      <c r="E80" s="7" t="inlineStr">
        <is>
          <t>R&amp;D Expense</t>
        </is>
      </c>
    </row>
    <row r="81">
      <c r="A81" s="7" t="inlineStr">
        <is>
          <t>r_and_d_expense</t>
        </is>
      </c>
      <c r="B81" s="7" t="inlineStr">
        <is>
          <t>IQ_FY-9</t>
        </is>
      </c>
      <c r="C81" s="8">
        <f>_xll.ciqfunctions.udf.CIQ($B$1,"IQ_RD_EXP","IQ_FY-9")</f>
        <v/>
      </c>
      <c r="D81" s="9">
        <f>C81</f>
        <v/>
      </c>
      <c r="E81" s="7" t="inlineStr">
        <is>
          <t>R&amp;D Expense</t>
        </is>
      </c>
    </row>
    <row r="82">
      <c r="A82" s="7" t="inlineStr">
        <is>
          <t>r_and_d_expense</t>
        </is>
      </c>
      <c r="B82" s="7" t="inlineStr">
        <is>
          <t>IQ_FY-10</t>
        </is>
      </c>
      <c r="C82" s="8">
        <f>_xll.ciqfunctions.udf.CIQ($B$1,"IQ_RD_EXP","IQ_FY-10")</f>
        <v/>
      </c>
      <c r="D82" s="9">
        <f>C82</f>
        <v/>
      </c>
      <c r="E82" s="7" t="inlineStr">
        <is>
          <t>R&amp;D Expense</t>
        </is>
      </c>
    </row>
    <row r="83">
      <c r="A83" s="7" t="inlineStr">
        <is>
          <t>capex</t>
        </is>
      </c>
      <c r="B83" s="7" t="inlineStr">
        <is>
          <t>IQ_FY-0</t>
        </is>
      </c>
      <c r="C83" s="8">
        <f>ABS(_xll.ciqfunctions.udf.CIQ($B$1,"IQ_CAPEX","IQ_FY-0"))</f>
        <v/>
      </c>
      <c r="D83" s="9">
        <f>C83</f>
        <v/>
      </c>
      <c r="E83" s="7" t="inlineStr">
        <is>
          <t>Capital Expenditures</t>
        </is>
      </c>
    </row>
    <row r="84">
      <c r="A84" s="7" t="inlineStr">
        <is>
          <t>capex</t>
        </is>
      </c>
      <c r="B84" s="7" t="inlineStr">
        <is>
          <t>IQ_FY-1</t>
        </is>
      </c>
      <c r="C84" s="8">
        <f>ABS(_xll.ciqfunctions.udf.CIQ($B$1,"IQ_CAPEX","IQ_FY-1"))</f>
        <v/>
      </c>
      <c r="D84" s="9">
        <f>C84</f>
        <v/>
      </c>
      <c r="E84" s="7" t="inlineStr">
        <is>
          <t>Capital Expenditures</t>
        </is>
      </c>
    </row>
    <row r="85">
      <c r="A85" s="7" t="inlineStr">
        <is>
          <t>capex</t>
        </is>
      </c>
      <c r="B85" s="7" t="inlineStr">
        <is>
          <t>IQ_FY-2</t>
        </is>
      </c>
      <c r="C85" s="8">
        <f>ABS(_xll.ciqfunctions.udf.CIQ($B$1,"IQ_CAPEX","IQ_FY-2"))</f>
        <v/>
      </c>
      <c r="D85" s="9">
        <f>C85</f>
        <v/>
      </c>
      <c r="E85" s="7" t="inlineStr">
        <is>
          <t>Capital Expenditures</t>
        </is>
      </c>
    </row>
    <row r="86">
      <c r="A86" s="7" t="inlineStr">
        <is>
          <t>capex</t>
        </is>
      </c>
      <c r="B86" s="7" t="inlineStr">
        <is>
          <t>IQ_FY-3</t>
        </is>
      </c>
      <c r="C86" s="8">
        <f>ABS(_xll.ciqfunctions.udf.CIQ($B$1,"IQ_CAPEX","IQ_FY-3"))</f>
        <v/>
      </c>
      <c r="D86" s="9">
        <f>C86</f>
        <v/>
      </c>
      <c r="E86" s="7" t="inlineStr">
        <is>
          <t>Capital Expenditures</t>
        </is>
      </c>
    </row>
    <row r="87">
      <c r="A87" s="7" t="inlineStr">
        <is>
          <t>capex</t>
        </is>
      </c>
      <c r="B87" s="7" t="inlineStr">
        <is>
          <t>IQ_FY-4</t>
        </is>
      </c>
      <c r="C87" s="8">
        <f>ABS(_xll.ciqfunctions.udf.CIQ($B$1,"IQ_CAPEX","IQ_FY-4"))</f>
        <v/>
      </c>
      <c r="D87" s="9">
        <f>C87</f>
        <v/>
      </c>
      <c r="E87" s="7" t="inlineStr">
        <is>
          <t>Capital Expenditures</t>
        </is>
      </c>
    </row>
    <row r="88">
      <c r="A88" s="7" t="inlineStr">
        <is>
          <t>capex</t>
        </is>
      </c>
      <c r="B88" s="7" t="inlineStr">
        <is>
          <t>IQ_FY-5</t>
        </is>
      </c>
      <c r="C88" s="8">
        <f>ABS(_xll.ciqfunctions.udf.CIQ($B$1,"IQ_CAPEX","IQ_FY-5"))</f>
        <v/>
      </c>
      <c r="D88" s="9">
        <f>C88</f>
        <v/>
      </c>
      <c r="E88" s="7" t="inlineStr">
        <is>
          <t>Capital Expenditures</t>
        </is>
      </c>
    </row>
    <row r="89">
      <c r="A89" s="7" t="inlineStr">
        <is>
          <t>capex</t>
        </is>
      </c>
      <c r="B89" s="7" t="inlineStr">
        <is>
          <t>IQ_FY-6</t>
        </is>
      </c>
      <c r="C89" s="8">
        <f>ABS(_xll.ciqfunctions.udf.CIQ($B$1,"IQ_CAPEX","IQ_FY-6"))</f>
        <v/>
      </c>
      <c r="D89" s="9">
        <f>C89</f>
        <v/>
      </c>
      <c r="E89" s="7" t="inlineStr">
        <is>
          <t>Capital Expenditures</t>
        </is>
      </c>
    </row>
    <row r="90">
      <c r="A90" s="7" t="inlineStr">
        <is>
          <t>capex</t>
        </is>
      </c>
      <c r="B90" s="7" t="inlineStr">
        <is>
          <t>IQ_FY-7</t>
        </is>
      </c>
      <c r="C90" s="8">
        <f>ABS(_xll.ciqfunctions.udf.CIQ($B$1,"IQ_CAPEX","IQ_FY-7"))</f>
        <v/>
      </c>
      <c r="D90" s="9">
        <f>C90</f>
        <v/>
      </c>
      <c r="E90" s="7" t="inlineStr">
        <is>
          <t>Capital Expenditures</t>
        </is>
      </c>
    </row>
    <row r="91">
      <c r="A91" s="7" t="inlineStr">
        <is>
          <t>capex</t>
        </is>
      </c>
      <c r="B91" s="7" t="inlineStr">
        <is>
          <t>IQ_FY-8</t>
        </is>
      </c>
      <c r="C91" s="8">
        <f>ABS(_xll.ciqfunctions.udf.CIQ($B$1,"IQ_CAPEX","IQ_FY-8"))</f>
        <v/>
      </c>
      <c r="D91" s="9">
        <f>C91</f>
        <v/>
      </c>
      <c r="E91" s="7" t="inlineStr">
        <is>
          <t>Capital Expenditures</t>
        </is>
      </c>
    </row>
    <row r="92">
      <c r="A92" s="7" t="inlineStr">
        <is>
          <t>capex</t>
        </is>
      </c>
      <c r="B92" s="7" t="inlineStr">
        <is>
          <t>IQ_FY-9</t>
        </is>
      </c>
      <c r="C92" s="8">
        <f>ABS(_xll.ciqfunctions.udf.CIQ($B$1,"IQ_CAPEX","IQ_FY-9"))</f>
        <v/>
      </c>
      <c r="D92" s="9">
        <f>C92</f>
        <v/>
      </c>
      <c r="E92" s="7" t="inlineStr">
        <is>
          <t>Capital Expenditures</t>
        </is>
      </c>
    </row>
    <row r="93">
      <c r="A93" s="7" t="inlineStr">
        <is>
          <t>capex</t>
        </is>
      </c>
      <c r="B93" s="7" t="inlineStr">
        <is>
          <t>IQ_FY-10</t>
        </is>
      </c>
      <c r="C93" s="8">
        <f>ABS(_xll.ciqfunctions.udf.CIQ($B$1,"IQ_CAPEX","IQ_FY-10"))</f>
        <v/>
      </c>
      <c r="D93" s="9">
        <f>C93</f>
        <v/>
      </c>
      <c r="E93" s="7" t="inlineStr">
        <is>
          <t>Capital Expenditures</t>
        </is>
      </c>
    </row>
    <row r="94">
      <c r="A94" s="7" t="inlineStr">
        <is>
          <t>operating_lease_expense</t>
        </is>
      </c>
      <c r="B94" s="7" t="inlineStr">
        <is>
          <t>IQ_FY-0</t>
        </is>
      </c>
      <c r="C94" s="8">
        <f>ABS(_xll.ciqfunctions.udf.CIQ($B$1,"IQ_OPERATING_LEASE_PAYMENTS","IQ_FY-0"))</f>
        <v/>
      </c>
      <c r="D94" s="9">
        <f>C94</f>
        <v/>
      </c>
      <c r="E94" s="7" t="inlineStr">
        <is>
          <t>Operating Lease Payments</t>
        </is>
      </c>
    </row>
    <row r="95">
      <c r="A95" s="7" t="inlineStr">
        <is>
          <t>operating_lease_expense</t>
        </is>
      </c>
      <c r="B95" s="7" t="inlineStr">
        <is>
          <t>IQ_FY-1</t>
        </is>
      </c>
      <c r="C95" s="8">
        <f>ABS(_xll.ciqfunctions.udf.CIQ($B$1,"IQ_OPERATING_LEASE_PAYMENTS","IQ_FY-1"))</f>
        <v/>
      </c>
      <c r="D95" s="9">
        <f>C95</f>
        <v/>
      </c>
      <c r="E95" s="7" t="inlineStr">
        <is>
          <t>Operating Lease Payments</t>
        </is>
      </c>
    </row>
    <row r="96">
      <c r="A96" s="7" t="inlineStr">
        <is>
          <t>operating_lease_expense</t>
        </is>
      </c>
      <c r="B96" s="7" t="inlineStr">
        <is>
          <t>IQ_FY-2</t>
        </is>
      </c>
      <c r="C96" s="8">
        <f>ABS(_xll.ciqfunctions.udf.CIQ($B$1,"IQ_OPERATING_LEASE_PAYMENTS","IQ_FY-2"))</f>
        <v/>
      </c>
      <c r="D96" s="9">
        <f>C96</f>
        <v/>
      </c>
      <c r="E96" s="7" t="inlineStr">
        <is>
          <t>Operating Lease Payments</t>
        </is>
      </c>
    </row>
    <row r="97">
      <c r="A97" s="7" t="inlineStr">
        <is>
          <t>operating_lease_expense</t>
        </is>
      </c>
      <c r="B97" s="7" t="inlineStr">
        <is>
          <t>IQ_FY-3</t>
        </is>
      </c>
      <c r="C97" s="8">
        <f>ABS(_xll.ciqfunctions.udf.CIQ($B$1,"IQ_OPERATING_LEASE_PAYMENTS","IQ_FY-3"))</f>
        <v/>
      </c>
      <c r="D97" s="9">
        <f>C97</f>
        <v/>
      </c>
      <c r="E97" s="7" t="inlineStr">
        <is>
          <t>Operating Lease Payments</t>
        </is>
      </c>
    </row>
    <row r="98">
      <c r="A98" s="7" t="inlineStr">
        <is>
          <t>operating_lease_expense</t>
        </is>
      </c>
      <c r="B98" s="7" t="inlineStr">
        <is>
          <t>IQ_FY-4</t>
        </is>
      </c>
      <c r="C98" s="8">
        <f>ABS(_xll.ciqfunctions.udf.CIQ($B$1,"IQ_OPERATING_LEASE_PAYMENTS","IQ_FY-4"))</f>
        <v/>
      </c>
      <c r="D98" s="9">
        <f>C98</f>
        <v/>
      </c>
      <c r="E98" s="7" t="inlineStr">
        <is>
          <t>Operating Lease Payments</t>
        </is>
      </c>
    </row>
    <row r="99">
      <c r="A99" s="7" t="inlineStr">
        <is>
          <t>operating_lease_expense</t>
        </is>
      </c>
      <c r="B99" s="7" t="inlineStr">
        <is>
          <t>IQ_FY-5</t>
        </is>
      </c>
      <c r="C99" s="8">
        <f>ABS(_xll.ciqfunctions.udf.CIQ($B$1,"IQ_OPERATING_LEASE_PAYMENTS","IQ_FY-5"))</f>
        <v/>
      </c>
      <c r="D99" s="9">
        <f>C99</f>
        <v/>
      </c>
      <c r="E99" s="7" t="inlineStr">
        <is>
          <t>Operating Lease Payments</t>
        </is>
      </c>
    </row>
    <row r="100">
      <c r="A100" s="7" t="inlineStr">
        <is>
          <t>operating_lease_expense</t>
        </is>
      </c>
      <c r="B100" s="7" t="inlineStr">
        <is>
          <t>IQ_FY-6</t>
        </is>
      </c>
      <c r="C100" s="8">
        <f>ABS(_xll.ciqfunctions.udf.CIQ($B$1,"IQ_OPERATING_LEASE_PAYMENTS","IQ_FY-6"))</f>
        <v/>
      </c>
      <c r="D100" s="9">
        <f>C100</f>
        <v/>
      </c>
      <c r="E100" s="7" t="inlineStr">
        <is>
          <t>Operating Lease Payments</t>
        </is>
      </c>
    </row>
    <row r="101">
      <c r="A101" s="7" t="inlineStr">
        <is>
          <t>operating_lease_expense</t>
        </is>
      </c>
      <c r="B101" s="7" t="inlineStr">
        <is>
          <t>IQ_FY-7</t>
        </is>
      </c>
      <c r="C101" s="8">
        <f>ABS(_xll.ciqfunctions.udf.CIQ($B$1,"IQ_OPERATING_LEASE_PAYMENTS","IQ_FY-7"))</f>
        <v/>
      </c>
      <c r="D101" s="9">
        <f>C101</f>
        <v/>
      </c>
      <c r="E101" s="7" t="inlineStr">
        <is>
          <t>Operating Lease Payments</t>
        </is>
      </c>
    </row>
    <row r="102">
      <c r="A102" s="7" t="inlineStr">
        <is>
          <t>operating_lease_expense</t>
        </is>
      </c>
      <c r="B102" s="7" t="inlineStr">
        <is>
          <t>IQ_FY-8</t>
        </is>
      </c>
      <c r="C102" s="8">
        <f>ABS(_xll.ciqfunctions.udf.CIQ($B$1,"IQ_OPERATING_LEASE_PAYMENTS","IQ_FY-8"))</f>
        <v/>
      </c>
      <c r="D102" s="9">
        <f>C102</f>
        <v/>
      </c>
      <c r="E102" s="7" t="inlineStr">
        <is>
          <t>Operating Lease Payments</t>
        </is>
      </c>
    </row>
    <row r="103">
      <c r="A103" s="7" t="inlineStr">
        <is>
          <t>operating_lease_expense</t>
        </is>
      </c>
      <c r="B103" s="7" t="inlineStr">
        <is>
          <t>IQ_FY-9</t>
        </is>
      </c>
      <c r="C103" s="8">
        <f>ABS(_xll.ciqfunctions.udf.CIQ($B$1,"IQ_OPERATING_LEASE_PAYMENTS","IQ_FY-9"))</f>
        <v/>
      </c>
      <c r="D103" s="9">
        <f>C103</f>
        <v/>
      </c>
      <c r="E103" s="7" t="inlineStr">
        <is>
          <t>Operating Lease Payments</t>
        </is>
      </c>
    </row>
    <row r="104">
      <c r="A104" s="7" t="inlineStr">
        <is>
          <t>operating_lease_expense</t>
        </is>
      </c>
      <c r="B104" s="7" t="inlineStr">
        <is>
          <t>IQ_FY-10</t>
        </is>
      </c>
      <c r="C104" s="8">
        <f>ABS(_xll.ciqfunctions.udf.CIQ($B$1,"IQ_OPERATING_LEASE_PAYMENTS","IQ_FY-10"))</f>
        <v/>
      </c>
      <c r="D104" s="9">
        <f>C104</f>
        <v/>
      </c>
      <c r="E104" s="7" t="inlineStr">
        <is>
          <t>Operating Lease Payments</t>
        </is>
      </c>
    </row>
    <row r="105">
      <c r="A105" s="7" t="inlineStr">
        <is>
          <t>earnings_before_tax</t>
        </is>
      </c>
      <c r="B105" s="7" t="inlineStr">
        <is>
          <t>IQ_FY-0</t>
        </is>
      </c>
      <c r="C105" s="8">
        <f>_xll.ciqfunctions.udf.CIQ($B$1,"IQ_EBT_EXCL","IQ_FY-0")</f>
        <v/>
      </c>
      <c r="D105" s="9">
        <f>C105</f>
        <v/>
      </c>
      <c r="E105" s="7" t="inlineStr">
        <is>
          <t>Earnings Before Tax (excl unusual items)</t>
        </is>
      </c>
    </row>
    <row r="106">
      <c r="A106" s="7" t="inlineStr">
        <is>
          <t>earnings_before_tax</t>
        </is>
      </c>
      <c r="B106" s="7" t="inlineStr">
        <is>
          <t>IQ_FY-1</t>
        </is>
      </c>
      <c r="C106" s="8">
        <f>_xll.ciqfunctions.udf.CIQ($B$1,"IQ_EBT_EXCL","IQ_FY-1")</f>
        <v/>
      </c>
      <c r="D106" s="9">
        <f>C106</f>
        <v/>
      </c>
      <c r="E106" s="7" t="inlineStr">
        <is>
          <t>Earnings Before Tax (excl unusual items)</t>
        </is>
      </c>
    </row>
    <row r="107">
      <c r="A107" s="7" t="inlineStr">
        <is>
          <t>earnings_before_tax</t>
        </is>
      </c>
      <c r="B107" s="7" t="inlineStr">
        <is>
          <t>IQ_FY-2</t>
        </is>
      </c>
      <c r="C107" s="8">
        <f>_xll.ciqfunctions.udf.CIQ($B$1,"IQ_EBT_EXCL","IQ_FY-2")</f>
        <v/>
      </c>
      <c r="D107" s="9">
        <f>C107</f>
        <v/>
      </c>
      <c r="E107" s="7" t="inlineStr">
        <is>
          <t>Earnings Before Tax (excl unusual items)</t>
        </is>
      </c>
    </row>
    <row r="108">
      <c r="A108" s="7" t="inlineStr">
        <is>
          <t>earnings_before_tax</t>
        </is>
      </c>
      <c r="B108" s="7" t="inlineStr">
        <is>
          <t>IQ_FY-3</t>
        </is>
      </c>
      <c r="C108" s="8">
        <f>_xll.ciqfunctions.udf.CIQ($B$1,"IQ_EBT_EXCL","IQ_FY-3")</f>
        <v/>
      </c>
      <c r="D108" s="9">
        <f>C108</f>
        <v/>
      </c>
      <c r="E108" s="7" t="inlineStr">
        <is>
          <t>Earnings Before Tax (excl unusual items)</t>
        </is>
      </c>
    </row>
    <row r="109">
      <c r="A109" s="7" t="inlineStr">
        <is>
          <t>earnings_before_tax</t>
        </is>
      </c>
      <c r="B109" s="7" t="inlineStr">
        <is>
          <t>IQ_FY-4</t>
        </is>
      </c>
      <c r="C109" s="8">
        <f>_xll.ciqfunctions.udf.CIQ($B$1,"IQ_EBT_EXCL","IQ_FY-4")</f>
        <v/>
      </c>
      <c r="D109" s="9">
        <f>C109</f>
        <v/>
      </c>
      <c r="E109" s="7" t="inlineStr">
        <is>
          <t>Earnings Before Tax (excl unusual items)</t>
        </is>
      </c>
    </row>
    <row r="110">
      <c r="A110" s="7" t="inlineStr">
        <is>
          <t>earnings_before_tax</t>
        </is>
      </c>
      <c r="B110" s="7" t="inlineStr">
        <is>
          <t>IQ_FY-5</t>
        </is>
      </c>
      <c r="C110" s="8">
        <f>_xll.ciqfunctions.udf.CIQ($B$1,"IQ_EBT_EXCL","IQ_FY-5")</f>
        <v/>
      </c>
      <c r="D110" s="9">
        <f>C110</f>
        <v/>
      </c>
      <c r="E110" s="7" t="inlineStr">
        <is>
          <t>Earnings Before Tax (excl unusual items)</t>
        </is>
      </c>
    </row>
    <row r="111">
      <c r="A111" s="7" t="inlineStr">
        <is>
          <t>earnings_before_tax</t>
        </is>
      </c>
      <c r="B111" s="7" t="inlineStr">
        <is>
          <t>IQ_FY-6</t>
        </is>
      </c>
      <c r="C111" s="8">
        <f>_xll.ciqfunctions.udf.CIQ($B$1,"IQ_EBT_EXCL","IQ_FY-6")</f>
        <v/>
      </c>
      <c r="D111" s="9">
        <f>C111</f>
        <v/>
      </c>
      <c r="E111" s="7" t="inlineStr">
        <is>
          <t>Earnings Before Tax (excl unusual items)</t>
        </is>
      </c>
    </row>
    <row r="112">
      <c r="A112" s="7" t="inlineStr">
        <is>
          <t>earnings_before_tax</t>
        </is>
      </c>
      <c r="B112" s="7" t="inlineStr">
        <is>
          <t>IQ_FY-7</t>
        </is>
      </c>
      <c r="C112" s="8">
        <f>_xll.ciqfunctions.udf.CIQ($B$1,"IQ_EBT_EXCL","IQ_FY-7")</f>
        <v/>
      </c>
      <c r="D112" s="9">
        <f>C112</f>
        <v/>
      </c>
      <c r="E112" s="7" t="inlineStr">
        <is>
          <t>Earnings Before Tax (excl unusual items)</t>
        </is>
      </c>
    </row>
    <row r="113">
      <c r="A113" s="7" t="inlineStr">
        <is>
          <t>earnings_before_tax</t>
        </is>
      </c>
      <c r="B113" s="7" t="inlineStr">
        <is>
          <t>IQ_FY-8</t>
        </is>
      </c>
      <c r="C113" s="8">
        <f>_xll.ciqfunctions.udf.CIQ($B$1,"IQ_EBT_EXCL","IQ_FY-8")</f>
        <v/>
      </c>
      <c r="D113" s="9">
        <f>C113</f>
        <v/>
      </c>
      <c r="E113" s="7" t="inlineStr">
        <is>
          <t>Earnings Before Tax (excl unusual items)</t>
        </is>
      </c>
    </row>
    <row r="114">
      <c r="A114" s="7" t="inlineStr">
        <is>
          <t>earnings_before_tax</t>
        </is>
      </c>
      <c r="B114" s="7" t="inlineStr">
        <is>
          <t>IQ_FY-9</t>
        </is>
      </c>
      <c r="C114" s="8">
        <f>_xll.ciqfunctions.udf.CIQ($B$1,"IQ_EBT_EXCL","IQ_FY-9")</f>
        <v/>
      </c>
      <c r="D114" s="9">
        <f>C114</f>
        <v/>
      </c>
      <c r="E114" s="7" t="inlineStr">
        <is>
          <t>Earnings Before Tax (excl unusual items)</t>
        </is>
      </c>
    </row>
    <row r="115">
      <c r="A115" s="7" t="inlineStr">
        <is>
          <t>earnings_before_tax</t>
        </is>
      </c>
      <c r="B115" s="7" t="inlineStr">
        <is>
          <t>IQ_FY-10</t>
        </is>
      </c>
      <c r="C115" s="8">
        <f>_xll.ciqfunctions.udf.CIQ($B$1,"IQ_EBT_EXCL","IQ_FY-10")</f>
        <v/>
      </c>
      <c r="D115" s="9">
        <f>C115</f>
        <v/>
      </c>
      <c r="E115" s="7" t="inlineStr">
        <is>
          <t>Earnings Before Tax (excl unusual items)</t>
        </is>
      </c>
    </row>
    <row r="116">
      <c r="A116" s="7" t="inlineStr">
        <is>
          <t>total_tax_expense</t>
        </is>
      </c>
      <c r="B116" s="7" t="inlineStr">
        <is>
          <t>IQ_FY-0</t>
        </is>
      </c>
      <c r="C116" s="8">
        <f>_xll.ciqfunctions.udf.CIQ($B$1,"IQ_INC_TAX","IQ_FY-0")</f>
        <v/>
      </c>
      <c r="D116" s="9">
        <f>C116</f>
        <v/>
      </c>
      <c r="E116" s="7" t="inlineStr">
        <is>
          <t>Income Tax Expense</t>
        </is>
      </c>
    </row>
    <row r="117">
      <c r="A117" s="7" t="inlineStr">
        <is>
          <t>total_tax_expense</t>
        </is>
      </c>
      <c r="B117" s="7" t="inlineStr">
        <is>
          <t>IQ_FY-1</t>
        </is>
      </c>
      <c r="C117" s="8">
        <f>_xll.ciqfunctions.udf.CIQ($B$1,"IQ_INC_TAX","IQ_FY-1")</f>
        <v/>
      </c>
      <c r="D117" s="9">
        <f>C117</f>
        <v/>
      </c>
      <c r="E117" s="7" t="inlineStr">
        <is>
          <t>Income Tax Expense</t>
        </is>
      </c>
    </row>
    <row r="118">
      <c r="A118" s="7" t="inlineStr">
        <is>
          <t>total_tax_expense</t>
        </is>
      </c>
      <c r="B118" s="7" t="inlineStr">
        <is>
          <t>IQ_FY-2</t>
        </is>
      </c>
      <c r="C118" s="8">
        <f>_xll.ciqfunctions.udf.CIQ($B$1,"IQ_INC_TAX","IQ_FY-2")</f>
        <v/>
      </c>
      <c r="D118" s="9">
        <f>C118</f>
        <v/>
      </c>
      <c r="E118" s="7" t="inlineStr">
        <is>
          <t>Income Tax Expense</t>
        </is>
      </c>
    </row>
    <row r="119">
      <c r="A119" s="7" t="inlineStr">
        <is>
          <t>total_tax_expense</t>
        </is>
      </c>
      <c r="B119" s="7" t="inlineStr">
        <is>
          <t>IQ_FY-3</t>
        </is>
      </c>
      <c r="C119" s="8">
        <f>_xll.ciqfunctions.udf.CIQ($B$1,"IQ_INC_TAX","IQ_FY-3")</f>
        <v/>
      </c>
      <c r="D119" s="9">
        <f>C119</f>
        <v/>
      </c>
      <c r="E119" s="7" t="inlineStr">
        <is>
          <t>Income Tax Expense</t>
        </is>
      </c>
    </row>
    <row r="120">
      <c r="A120" s="7" t="inlineStr">
        <is>
          <t>total_tax_expense</t>
        </is>
      </c>
      <c r="B120" s="7" t="inlineStr">
        <is>
          <t>IQ_FY-4</t>
        </is>
      </c>
      <c r="C120" s="8">
        <f>_xll.ciqfunctions.udf.CIQ($B$1,"IQ_INC_TAX","IQ_FY-4")</f>
        <v/>
      </c>
      <c r="D120" s="9">
        <f>C120</f>
        <v/>
      </c>
      <c r="E120" s="7" t="inlineStr">
        <is>
          <t>Income Tax Expense</t>
        </is>
      </c>
    </row>
    <row r="121">
      <c r="A121" s="7" t="inlineStr">
        <is>
          <t>total_tax_expense</t>
        </is>
      </c>
      <c r="B121" s="7" t="inlineStr">
        <is>
          <t>IQ_FY-5</t>
        </is>
      </c>
      <c r="C121" s="8">
        <f>_xll.ciqfunctions.udf.CIQ($B$1,"IQ_INC_TAX","IQ_FY-5")</f>
        <v/>
      </c>
      <c r="D121" s="9">
        <f>C121</f>
        <v/>
      </c>
      <c r="E121" s="7" t="inlineStr">
        <is>
          <t>Income Tax Expense</t>
        </is>
      </c>
    </row>
    <row r="122">
      <c r="A122" s="7" t="inlineStr">
        <is>
          <t>total_tax_expense</t>
        </is>
      </c>
      <c r="B122" s="7" t="inlineStr">
        <is>
          <t>IQ_FY-6</t>
        </is>
      </c>
      <c r="C122" s="8">
        <f>_xll.ciqfunctions.udf.CIQ($B$1,"IQ_INC_TAX","IQ_FY-6")</f>
        <v/>
      </c>
      <c r="D122" s="9">
        <f>C122</f>
        <v/>
      </c>
      <c r="E122" s="7" t="inlineStr">
        <is>
          <t>Income Tax Expense</t>
        </is>
      </c>
    </row>
    <row r="123">
      <c r="A123" s="7" t="inlineStr">
        <is>
          <t>total_tax_expense</t>
        </is>
      </c>
      <c r="B123" s="7" t="inlineStr">
        <is>
          <t>IQ_FY-7</t>
        </is>
      </c>
      <c r="C123" s="8">
        <f>_xll.ciqfunctions.udf.CIQ($B$1,"IQ_INC_TAX","IQ_FY-7")</f>
        <v/>
      </c>
      <c r="D123" s="9">
        <f>C123</f>
        <v/>
      </c>
      <c r="E123" s="7" t="inlineStr">
        <is>
          <t>Income Tax Expense</t>
        </is>
      </c>
    </row>
    <row r="124">
      <c r="A124" s="7" t="inlineStr">
        <is>
          <t>total_tax_expense</t>
        </is>
      </c>
      <c r="B124" s="7" t="inlineStr">
        <is>
          <t>IQ_FY-8</t>
        </is>
      </c>
      <c r="C124" s="8">
        <f>_xll.ciqfunctions.udf.CIQ($B$1,"IQ_INC_TAX","IQ_FY-8")</f>
        <v/>
      </c>
      <c r="D124" s="9">
        <f>C124</f>
        <v/>
      </c>
      <c r="E124" s="7" t="inlineStr">
        <is>
          <t>Income Tax Expense</t>
        </is>
      </c>
    </row>
    <row r="125">
      <c r="A125" s="7" t="inlineStr">
        <is>
          <t>total_tax_expense</t>
        </is>
      </c>
      <c r="B125" s="7" t="inlineStr">
        <is>
          <t>IQ_FY-9</t>
        </is>
      </c>
      <c r="C125" s="8">
        <f>_xll.ciqfunctions.udf.CIQ($B$1,"IQ_INC_TAX","IQ_FY-9")</f>
        <v/>
      </c>
      <c r="D125" s="9">
        <f>C125</f>
        <v/>
      </c>
      <c r="E125" s="7" t="inlineStr">
        <is>
          <t>Income Tax Expense</t>
        </is>
      </c>
    </row>
    <row r="126">
      <c r="A126" s="7" t="inlineStr">
        <is>
          <t>total_tax_expense</t>
        </is>
      </c>
      <c r="B126" s="7" t="inlineStr">
        <is>
          <t>IQ_FY-10</t>
        </is>
      </c>
      <c r="C126" s="8">
        <f>_xll.ciqfunctions.udf.CIQ($B$1,"IQ_INC_TAX","IQ_FY-10")</f>
        <v/>
      </c>
      <c r="D126" s="9">
        <f>C126</f>
        <v/>
      </c>
      <c r="E126" s="7" t="inlineStr">
        <is>
          <t>Income Tax Expense</t>
        </is>
      </c>
    </row>
    <row r="127">
      <c r="A127" s="6" t="inlineStr">
        <is>
          <t>INCOME STATEMENT (Quarterly — for LTM)</t>
        </is>
      </c>
    </row>
    <row r="128">
      <c r="A128" s="7" t="inlineStr">
        <is>
          <t>revenues</t>
        </is>
      </c>
      <c r="B128" s="7" t="inlineStr">
        <is>
          <t>IQ_FQ-0</t>
        </is>
      </c>
      <c r="C128" s="8">
        <f>_xll.ciqfunctions.udf.CIQ($B$1,"IQ_TOTAL_REV","IQ_FQ-0")</f>
        <v/>
      </c>
      <c r="D128" s="9">
        <f>C128</f>
        <v/>
      </c>
      <c r="E128" s="7" t="inlineStr">
        <is>
          <t>Total Revenue</t>
        </is>
      </c>
    </row>
    <row r="129">
      <c r="A129" s="7" t="inlineStr">
        <is>
          <t>revenues</t>
        </is>
      </c>
      <c r="B129" s="7" t="inlineStr">
        <is>
          <t>IQ_FQ-1</t>
        </is>
      </c>
      <c r="C129" s="8">
        <f>_xll.ciqfunctions.udf.CIQ($B$1,"IQ_TOTAL_REV","IQ_FQ-1")</f>
        <v/>
      </c>
      <c r="D129" s="9">
        <f>C129</f>
        <v/>
      </c>
      <c r="E129" s="7" t="inlineStr">
        <is>
          <t>Total Revenue</t>
        </is>
      </c>
    </row>
    <row r="130">
      <c r="A130" s="7" t="inlineStr">
        <is>
          <t>revenues</t>
        </is>
      </c>
      <c r="B130" s="7" t="inlineStr">
        <is>
          <t>IQ_FQ-2</t>
        </is>
      </c>
      <c r="C130" s="8">
        <f>_xll.ciqfunctions.udf.CIQ($B$1,"IQ_TOTAL_REV","IQ_FQ-2")</f>
        <v/>
      </c>
      <c r="D130" s="9">
        <f>C130</f>
        <v/>
      </c>
      <c r="E130" s="7" t="inlineStr">
        <is>
          <t>Total Revenue</t>
        </is>
      </c>
    </row>
    <row r="131">
      <c r="A131" s="7" t="inlineStr">
        <is>
          <t>revenues</t>
        </is>
      </c>
      <c r="B131" s="7" t="inlineStr">
        <is>
          <t>IQ_FQ-3</t>
        </is>
      </c>
      <c r="C131" s="8">
        <f>_xll.ciqfunctions.udf.CIQ($B$1,"IQ_TOTAL_REV","IQ_FQ-3")</f>
        <v/>
      </c>
      <c r="D131" s="9">
        <f>C131</f>
        <v/>
      </c>
      <c r="E131" s="7" t="inlineStr">
        <is>
          <t>Total Revenue</t>
        </is>
      </c>
    </row>
    <row r="132">
      <c r="A132" s="7" t="inlineStr">
        <is>
          <t>revenues</t>
        </is>
      </c>
      <c r="B132" s="7" t="inlineStr">
        <is>
          <t>IQ_FQ-4</t>
        </is>
      </c>
      <c r="C132" s="8">
        <f>_xll.ciqfunctions.udf.CIQ($B$1,"IQ_TOTAL_REV","IQ_FQ-4")</f>
        <v/>
      </c>
      <c r="D132" s="9">
        <f>C132</f>
        <v/>
      </c>
      <c r="E132" s="7" t="inlineStr">
        <is>
          <t>Total Revenue</t>
        </is>
      </c>
    </row>
    <row r="133">
      <c r="A133" s="7" t="inlineStr">
        <is>
          <t>revenues</t>
        </is>
      </c>
      <c r="B133" s="7" t="inlineStr">
        <is>
          <t>IQ_FQ-5</t>
        </is>
      </c>
      <c r="C133" s="8">
        <f>_xll.ciqfunctions.udf.CIQ($B$1,"IQ_TOTAL_REV","IQ_FQ-5")</f>
        <v/>
      </c>
      <c r="D133" s="9">
        <f>C133</f>
        <v/>
      </c>
      <c r="E133" s="7" t="inlineStr">
        <is>
          <t>Total Revenue</t>
        </is>
      </c>
    </row>
    <row r="134">
      <c r="A134" s="7" t="inlineStr">
        <is>
          <t>revenues</t>
        </is>
      </c>
      <c r="B134" s="7" t="inlineStr">
        <is>
          <t>IQ_FQ-6</t>
        </is>
      </c>
      <c r="C134" s="8">
        <f>_xll.ciqfunctions.udf.CIQ($B$1,"IQ_TOTAL_REV","IQ_FQ-6")</f>
        <v/>
      </c>
      <c r="D134" s="9">
        <f>C134</f>
        <v/>
      </c>
      <c r="E134" s="7" t="inlineStr">
        <is>
          <t>Total Revenue</t>
        </is>
      </c>
    </row>
    <row r="135">
      <c r="A135" s="7" t="inlineStr">
        <is>
          <t>revenues</t>
        </is>
      </c>
      <c r="B135" s="7" t="inlineStr">
        <is>
          <t>IQ_FQ-7</t>
        </is>
      </c>
      <c r="C135" s="8">
        <f>_xll.ciqfunctions.udf.CIQ($B$1,"IQ_TOTAL_REV","IQ_FQ-7")</f>
        <v/>
      </c>
      <c r="D135" s="9">
        <f>C135</f>
        <v/>
      </c>
      <c r="E135" s="7" t="inlineStr">
        <is>
          <t>Total Revenue</t>
        </is>
      </c>
    </row>
    <row r="136">
      <c r="A136" s="7" t="inlineStr">
        <is>
          <t>ebit</t>
        </is>
      </c>
      <c r="B136" s="7" t="inlineStr">
        <is>
          <t>IQ_FQ-0</t>
        </is>
      </c>
      <c r="C136" s="8">
        <f>_xll.ciqfunctions.udf.CIQ($B$1,"IQ_EBIT","IQ_FQ-0")</f>
        <v/>
      </c>
      <c r="D136" s="9">
        <f>C136</f>
        <v/>
      </c>
      <c r="E136" s="7" t="inlineStr">
        <is>
          <t>Operating Income (EBIT)</t>
        </is>
      </c>
    </row>
    <row r="137">
      <c r="A137" s="7" t="inlineStr">
        <is>
          <t>ebit</t>
        </is>
      </c>
      <c r="B137" s="7" t="inlineStr">
        <is>
          <t>IQ_FQ-1</t>
        </is>
      </c>
      <c r="C137" s="8">
        <f>_xll.ciqfunctions.udf.CIQ($B$1,"IQ_EBIT","IQ_FQ-1")</f>
        <v/>
      </c>
      <c r="D137" s="9">
        <f>C137</f>
        <v/>
      </c>
      <c r="E137" s="7" t="inlineStr">
        <is>
          <t>Operating Income (EBIT)</t>
        </is>
      </c>
    </row>
    <row r="138">
      <c r="A138" s="7" t="inlineStr">
        <is>
          <t>ebit</t>
        </is>
      </c>
      <c r="B138" s="7" t="inlineStr">
        <is>
          <t>IQ_FQ-2</t>
        </is>
      </c>
      <c r="C138" s="8">
        <f>_xll.ciqfunctions.udf.CIQ($B$1,"IQ_EBIT","IQ_FQ-2")</f>
        <v/>
      </c>
      <c r="D138" s="9">
        <f>C138</f>
        <v/>
      </c>
      <c r="E138" s="7" t="inlineStr">
        <is>
          <t>Operating Income (EBIT)</t>
        </is>
      </c>
    </row>
    <row r="139">
      <c r="A139" s="7" t="inlineStr">
        <is>
          <t>ebit</t>
        </is>
      </c>
      <c r="B139" s="7" t="inlineStr">
        <is>
          <t>IQ_FQ-3</t>
        </is>
      </c>
      <c r="C139" s="8">
        <f>_xll.ciqfunctions.udf.CIQ($B$1,"IQ_EBIT","IQ_FQ-3")</f>
        <v/>
      </c>
      <c r="D139" s="9">
        <f>C139</f>
        <v/>
      </c>
      <c r="E139" s="7" t="inlineStr">
        <is>
          <t>Operating Income (EBIT)</t>
        </is>
      </c>
    </row>
    <row r="140">
      <c r="A140" s="7" t="inlineStr">
        <is>
          <t>ebit</t>
        </is>
      </c>
      <c r="B140" s="7" t="inlineStr">
        <is>
          <t>IQ_FQ-4</t>
        </is>
      </c>
      <c r="C140" s="8">
        <f>_xll.ciqfunctions.udf.CIQ($B$1,"IQ_EBIT","IQ_FQ-4")</f>
        <v/>
      </c>
      <c r="D140" s="9">
        <f>C140</f>
        <v/>
      </c>
      <c r="E140" s="7" t="inlineStr">
        <is>
          <t>Operating Income (EBIT)</t>
        </is>
      </c>
    </row>
    <row r="141">
      <c r="A141" s="7" t="inlineStr">
        <is>
          <t>ebit</t>
        </is>
      </c>
      <c r="B141" s="7" t="inlineStr">
        <is>
          <t>IQ_FQ-5</t>
        </is>
      </c>
      <c r="C141" s="8">
        <f>_xll.ciqfunctions.udf.CIQ($B$1,"IQ_EBIT","IQ_FQ-5")</f>
        <v/>
      </c>
      <c r="D141" s="9">
        <f>C141</f>
        <v/>
      </c>
      <c r="E141" s="7" t="inlineStr">
        <is>
          <t>Operating Income (EBIT)</t>
        </is>
      </c>
    </row>
    <row r="142">
      <c r="A142" s="7" t="inlineStr">
        <is>
          <t>ebit</t>
        </is>
      </c>
      <c r="B142" s="7" t="inlineStr">
        <is>
          <t>IQ_FQ-6</t>
        </is>
      </c>
      <c r="C142" s="8">
        <f>_xll.ciqfunctions.udf.CIQ($B$1,"IQ_EBIT","IQ_FQ-6")</f>
        <v/>
      </c>
      <c r="D142" s="9">
        <f>C142</f>
        <v/>
      </c>
      <c r="E142" s="7" t="inlineStr">
        <is>
          <t>Operating Income (EBIT)</t>
        </is>
      </c>
    </row>
    <row r="143">
      <c r="A143" s="7" t="inlineStr">
        <is>
          <t>ebit</t>
        </is>
      </c>
      <c r="B143" s="7" t="inlineStr">
        <is>
          <t>IQ_FQ-7</t>
        </is>
      </c>
      <c r="C143" s="8">
        <f>_xll.ciqfunctions.udf.CIQ($B$1,"IQ_EBIT","IQ_FQ-7")</f>
        <v/>
      </c>
      <c r="D143" s="9">
        <f>C143</f>
        <v/>
      </c>
      <c r="E143" s="7" t="inlineStr">
        <is>
          <t>Operating Income (EBIT)</t>
        </is>
      </c>
    </row>
    <row r="144">
      <c r="A144" s="7" t="inlineStr">
        <is>
          <t>ebitda</t>
        </is>
      </c>
      <c r="B144" s="7" t="inlineStr">
        <is>
          <t>IQ_FQ-0</t>
        </is>
      </c>
      <c r="C144" s="8">
        <f>_xll.ciqfunctions.udf.CIQ($B$1,"IQ_EBITDA","IQ_FQ-0")</f>
        <v/>
      </c>
      <c r="D144" s="9">
        <f>C144</f>
        <v/>
      </c>
      <c r="E144" s="7" t="inlineStr">
        <is>
          <t>EBITDA</t>
        </is>
      </c>
    </row>
    <row r="145">
      <c r="A145" s="7" t="inlineStr">
        <is>
          <t>ebitda</t>
        </is>
      </c>
      <c r="B145" s="7" t="inlineStr">
        <is>
          <t>IQ_FQ-1</t>
        </is>
      </c>
      <c r="C145" s="8">
        <f>_xll.ciqfunctions.udf.CIQ($B$1,"IQ_EBITDA","IQ_FQ-1")</f>
        <v/>
      </c>
      <c r="D145" s="9">
        <f>C145</f>
        <v/>
      </c>
      <c r="E145" s="7" t="inlineStr">
        <is>
          <t>EBITDA</t>
        </is>
      </c>
    </row>
    <row r="146">
      <c r="A146" s="7" t="inlineStr">
        <is>
          <t>ebitda</t>
        </is>
      </c>
      <c r="B146" s="7" t="inlineStr">
        <is>
          <t>IQ_FQ-2</t>
        </is>
      </c>
      <c r="C146" s="8">
        <f>_xll.ciqfunctions.udf.CIQ($B$1,"IQ_EBITDA","IQ_FQ-2")</f>
        <v/>
      </c>
      <c r="D146" s="9">
        <f>C146</f>
        <v/>
      </c>
      <c r="E146" s="7" t="inlineStr">
        <is>
          <t>EBITDA</t>
        </is>
      </c>
    </row>
    <row r="147">
      <c r="A147" s="7" t="inlineStr">
        <is>
          <t>ebitda</t>
        </is>
      </c>
      <c r="B147" s="7" t="inlineStr">
        <is>
          <t>IQ_FQ-3</t>
        </is>
      </c>
      <c r="C147" s="8">
        <f>_xll.ciqfunctions.udf.CIQ($B$1,"IQ_EBITDA","IQ_FQ-3")</f>
        <v/>
      </c>
      <c r="D147" s="9">
        <f>C147</f>
        <v/>
      </c>
      <c r="E147" s="7" t="inlineStr">
        <is>
          <t>EBITDA</t>
        </is>
      </c>
    </row>
    <row r="148">
      <c r="A148" s="7" t="inlineStr">
        <is>
          <t>ebitda</t>
        </is>
      </c>
      <c r="B148" s="7" t="inlineStr">
        <is>
          <t>IQ_FQ-4</t>
        </is>
      </c>
      <c r="C148" s="8">
        <f>_xll.ciqfunctions.udf.CIQ($B$1,"IQ_EBITDA","IQ_FQ-4")</f>
        <v/>
      </c>
      <c r="D148" s="9">
        <f>C148</f>
        <v/>
      </c>
      <c r="E148" s="7" t="inlineStr">
        <is>
          <t>EBITDA</t>
        </is>
      </c>
    </row>
    <row r="149">
      <c r="A149" s="7" t="inlineStr">
        <is>
          <t>ebitda</t>
        </is>
      </c>
      <c r="B149" s="7" t="inlineStr">
        <is>
          <t>IQ_FQ-5</t>
        </is>
      </c>
      <c r="C149" s="8">
        <f>_xll.ciqfunctions.udf.CIQ($B$1,"IQ_EBITDA","IQ_FQ-5")</f>
        <v/>
      </c>
      <c r="D149" s="9">
        <f>C149</f>
        <v/>
      </c>
      <c r="E149" s="7" t="inlineStr">
        <is>
          <t>EBITDA</t>
        </is>
      </c>
    </row>
    <row r="150">
      <c r="A150" s="7" t="inlineStr">
        <is>
          <t>ebitda</t>
        </is>
      </c>
      <c r="B150" s="7" t="inlineStr">
        <is>
          <t>IQ_FQ-6</t>
        </is>
      </c>
      <c r="C150" s="8">
        <f>_xll.ciqfunctions.udf.CIQ($B$1,"IQ_EBITDA","IQ_FQ-6")</f>
        <v/>
      </c>
      <c r="D150" s="9">
        <f>C150</f>
        <v/>
      </c>
      <c r="E150" s="7" t="inlineStr">
        <is>
          <t>EBITDA</t>
        </is>
      </c>
    </row>
    <row r="151">
      <c r="A151" s="7" t="inlineStr">
        <is>
          <t>ebitda</t>
        </is>
      </c>
      <c r="B151" s="7" t="inlineStr">
        <is>
          <t>IQ_FQ-7</t>
        </is>
      </c>
      <c r="C151" s="8">
        <f>_xll.ciqfunctions.udf.CIQ($B$1,"IQ_EBITDA","IQ_FQ-7")</f>
        <v/>
      </c>
      <c r="D151" s="9">
        <f>C151</f>
        <v/>
      </c>
      <c r="E151" s="7" t="inlineStr">
        <is>
          <t>EBITDA</t>
        </is>
      </c>
    </row>
    <row r="152">
      <c r="A152" s="7" t="inlineStr">
        <is>
          <t>net_income</t>
        </is>
      </c>
      <c r="B152" s="7" t="inlineStr">
        <is>
          <t>IQ_FQ-0</t>
        </is>
      </c>
      <c r="C152" s="8">
        <f>_xll.ciqfunctions.udf.CIQ($B$1,"IQ_NI","IQ_FQ-0")</f>
        <v/>
      </c>
      <c r="D152" s="9">
        <f>C152</f>
        <v/>
      </c>
      <c r="E152" s="7" t="inlineStr">
        <is>
          <t>Net Income</t>
        </is>
      </c>
    </row>
    <row r="153">
      <c r="A153" s="7" t="inlineStr">
        <is>
          <t>net_income</t>
        </is>
      </c>
      <c r="B153" s="7" t="inlineStr">
        <is>
          <t>IQ_FQ-1</t>
        </is>
      </c>
      <c r="C153" s="8">
        <f>_xll.ciqfunctions.udf.CIQ($B$1,"IQ_NI","IQ_FQ-1")</f>
        <v/>
      </c>
      <c r="D153" s="9">
        <f>C153</f>
        <v/>
      </c>
      <c r="E153" s="7" t="inlineStr">
        <is>
          <t>Net Income</t>
        </is>
      </c>
    </row>
    <row r="154">
      <c r="A154" s="7" t="inlineStr">
        <is>
          <t>net_income</t>
        </is>
      </c>
      <c r="B154" s="7" t="inlineStr">
        <is>
          <t>IQ_FQ-2</t>
        </is>
      </c>
      <c r="C154" s="8">
        <f>_xll.ciqfunctions.udf.CIQ($B$1,"IQ_NI","IQ_FQ-2")</f>
        <v/>
      </c>
      <c r="D154" s="9">
        <f>C154</f>
        <v/>
      </c>
      <c r="E154" s="7" t="inlineStr">
        <is>
          <t>Net Income</t>
        </is>
      </c>
    </row>
    <row r="155">
      <c r="A155" s="7" t="inlineStr">
        <is>
          <t>net_income</t>
        </is>
      </c>
      <c r="B155" s="7" t="inlineStr">
        <is>
          <t>IQ_FQ-3</t>
        </is>
      </c>
      <c r="C155" s="8">
        <f>_xll.ciqfunctions.udf.CIQ($B$1,"IQ_NI","IQ_FQ-3")</f>
        <v/>
      </c>
      <c r="D155" s="9">
        <f>C155</f>
        <v/>
      </c>
      <c r="E155" s="7" t="inlineStr">
        <is>
          <t>Net Income</t>
        </is>
      </c>
    </row>
    <row r="156">
      <c r="A156" s="7" t="inlineStr">
        <is>
          <t>net_income</t>
        </is>
      </c>
      <c r="B156" s="7" t="inlineStr">
        <is>
          <t>IQ_FQ-4</t>
        </is>
      </c>
      <c r="C156" s="8">
        <f>_xll.ciqfunctions.udf.CIQ($B$1,"IQ_NI","IQ_FQ-4")</f>
        <v/>
      </c>
      <c r="D156" s="9">
        <f>C156</f>
        <v/>
      </c>
      <c r="E156" s="7" t="inlineStr">
        <is>
          <t>Net Income</t>
        </is>
      </c>
    </row>
    <row r="157">
      <c r="A157" s="7" t="inlineStr">
        <is>
          <t>net_income</t>
        </is>
      </c>
      <c r="B157" s="7" t="inlineStr">
        <is>
          <t>IQ_FQ-5</t>
        </is>
      </c>
      <c r="C157" s="8">
        <f>_xll.ciqfunctions.udf.CIQ($B$1,"IQ_NI","IQ_FQ-5")</f>
        <v/>
      </c>
      <c r="D157" s="9">
        <f>C157</f>
        <v/>
      </c>
      <c r="E157" s="7" t="inlineStr">
        <is>
          <t>Net Income</t>
        </is>
      </c>
    </row>
    <row r="158">
      <c r="A158" s="7" t="inlineStr">
        <is>
          <t>net_income</t>
        </is>
      </c>
      <c r="B158" s="7" t="inlineStr">
        <is>
          <t>IQ_FQ-6</t>
        </is>
      </c>
      <c r="C158" s="8">
        <f>_xll.ciqfunctions.udf.CIQ($B$1,"IQ_NI","IQ_FQ-6")</f>
        <v/>
      </c>
      <c r="D158" s="9">
        <f>C158</f>
        <v/>
      </c>
      <c r="E158" s="7" t="inlineStr">
        <is>
          <t>Net Income</t>
        </is>
      </c>
    </row>
    <row r="159">
      <c r="A159" s="7" t="inlineStr">
        <is>
          <t>net_income</t>
        </is>
      </c>
      <c r="B159" s="7" t="inlineStr">
        <is>
          <t>IQ_FQ-7</t>
        </is>
      </c>
      <c r="C159" s="8">
        <f>_xll.ciqfunctions.udf.CIQ($B$1,"IQ_NI","IQ_FQ-7")</f>
        <v/>
      </c>
      <c r="D159" s="9">
        <f>C159</f>
        <v/>
      </c>
      <c r="E159" s="7" t="inlineStr">
        <is>
          <t>Net Income</t>
        </is>
      </c>
    </row>
    <row r="160">
      <c r="A160" s="7" t="inlineStr">
        <is>
          <t>interest_expense</t>
        </is>
      </c>
      <c r="B160" s="7" t="inlineStr">
        <is>
          <t>IQ_FQ-0</t>
        </is>
      </c>
      <c r="C160" s="8">
        <f>ABS(_xll.ciqfunctions.udf.CIQ($B$1,"IQ_INTEREST_EXP","IQ_FQ-0"))</f>
        <v/>
      </c>
      <c r="D160" s="9">
        <f>C160</f>
        <v/>
      </c>
      <c r="E160" s="7" t="inlineStr">
        <is>
          <t>Interest Expense</t>
        </is>
      </c>
    </row>
    <row r="161">
      <c r="A161" s="7" t="inlineStr">
        <is>
          <t>interest_expense</t>
        </is>
      </c>
      <c r="B161" s="7" t="inlineStr">
        <is>
          <t>IQ_FQ-1</t>
        </is>
      </c>
      <c r="C161" s="8">
        <f>ABS(_xll.ciqfunctions.udf.CIQ($B$1,"IQ_INTEREST_EXP","IQ_FQ-1"))</f>
        <v/>
      </c>
      <c r="D161" s="9">
        <f>C161</f>
        <v/>
      </c>
      <c r="E161" s="7" t="inlineStr">
        <is>
          <t>Interest Expense</t>
        </is>
      </c>
    </row>
    <row r="162">
      <c r="A162" s="7" t="inlineStr">
        <is>
          <t>interest_expense</t>
        </is>
      </c>
      <c r="B162" s="7" t="inlineStr">
        <is>
          <t>IQ_FQ-2</t>
        </is>
      </c>
      <c r="C162" s="8">
        <f>ABS(_xll.ciqfunctions.udf.CIQ($B$1,"IQ_INTEREST_EXP","IQ_FQ-2"))</f>
        <v/>
      </c>
      <c r="D162" s="9">
        <f>C162</f>
        <v/>
      </c>
      <c r="E162" s="7" t="inlineStr">
        <is>
          <t>Interest Expense</t>
        </is>
      </c>
    </row>
    <row r="163">
      <c r="A163" s="7" t="inlineStr">
        <is>
          <t>interest_expense</t>
        </is>
      </c>
      <c r="B163" s="7" t="inlineStr">
        <is>
          <t>IQ_FQ-3</t>
        </is>
      </c>
      <c r="C163" s="8">
        <f>ABS(_xll.ciqfunctions.udf.CIQ($B$1,"IQ_INTEREST_EXP","IQ_FQ-3"))</f>
        <v/>
      </c>
      <c r="D163" s="9">
        <f>C163</f>
        <v/>
      </c>
      <c r="E163" s="7" t="inlineStr">
        <is>
          <t>Interest Expense</t>
        </is>
      </c>
    </row>
    <row r="164">
      <c r="A164" s="7" t="inlineStr">
        <is>
          <t>interest_expense</t>
        </is>
      </c>
      <c r="B164" s="7" t="inlineStr">
        <is>
          <t>IQ_FQ-4</t>
        </is>
      </c>
      <c r="C164" s="8">
        <f>ABS(_xll.ciqfunctions.udf.CIQ($B$1,"IQ_INTEREST_EXP","IQ_FQ-4"))</f>
        <v/>
      </c>
      <c r="D164" s="9">
        <f>C164</f>
        <v/>
      </c>
      <c r="E164" s="7" t="inlineStr">
        <is>
          <t>Interest Expense</t>
        </is>
      </c>
    </row>
    <row r="165">
      <c r="A165" s="7" t="inlineStr">
        <is>
          <t>interest_expense</t>
        </is>
      </c>
      <c r="B165" s="7" t="inlineStr">
        <is>
          <t>IQ_FQ-5</t>
        </is>
      </c>
      <c r="C165" s="8">
        <f>ABS(_xll.ciqfunctions.udf.CIQ($B$1,"IQ_INTEREST_EXP","IQ_FQ-5"))</f>
        <v/>
      </c>
      <c r="D165" s="9">
        <f>C165</f>
        <v/>
      </c>
      <c r="E165" s="7" t="inlineStr">
        <is>
          <t>Interest Expense</t>
        </is>
      </c>
    </row>
    <row r="166">
      <c r="A166" s="7" t="inlineStr">
        <is>
          <t>interest_expense</t>
        </is>
      </c>
      <c r="B166" s="7" t="inlineStr">
        <is>
          <t>IQ_FQ-6</t>
        </is>
      </c>
      <c r="C166" s="8">
        <f>ABS(_xll.ciqfunctions.udf.CIQ($B$1,"IQ_INTEREST_EXP","IQ_FQ-6"))</f>
        <v/>
      </c>
      <c r="D166" s="9">
        <f>C166</f>
        <v/>
      </c>
      <c r="E166" s="7" t="inlineStr">
        <is>
          <t>Interest Expense</t>
        </is>
      </c>
    </row>
    <row r="167">
      <c r="A167" s="7" t="inlineStr">
        <is>
          <t>interest_expense</t>
        </is>
      </c>
      <c r="B167" s="7" t="inlineStr">
        <is>
          <t>IQ_FQ-7</t>
        </is>
      </c>
      <c r="C167" s="8">
        <f>ABS(_xll.ciqfunctions.udf.CIQ($B$1,"IQ_INTEREST_EXP","IQ_FQ-7"))</f>
        <v/>
      </c>
      <c r="D167" s="9">
        <f>C167</f>
        <v/>
      </c>
      <c r="E167" s="7" t="inlineStr">
        <is>
          <t>Interest Expense</t>
        </is>
      </c>
    </row>
    <row r="168">
      <c r="A168" s="7" t="inlineStr">
        <is>
          <t>d_a</t>
        </is>
      </c>
      <c r="B168" s="7" t="inlineStr">
        <is>
          <t>IQ_FQ-0</t>
        </is>
      </c>
      <c r="C168" s="8">
        <f>ABS(_xll.ciqfunctions.udf.CIQ($B$1,"IQ_DA_CF","IQ_FQ-0"))</f>
        <v/>
      </c>
      <c r="D168" s="9">
        <f>C168</f>
        <v/>
      </c>
      <c r="E168" s="7" t="inlineStr">
        <is>
          <t>Depreciation &amp; Amortization (from Cash Flow)</t>
        </is>
      </c>
    </row>
    <row r="169">
      <c r="A169" s="7" t="inlineStr">
        <is>
          <t>d_a</t>
        </is>
      </c>
      <c r="B169" s="7" t="inlineStr">
        <is>
          <t>IQ_FQ-1</t>
        </is>
      </c>
      <c r="C169" s="8">
        <f>ABS(_xll.ciqfunctions.udf.CIQ($B$1,"IQ_DA_CF","IQ_FQ-1"))</f>
        <v/>
      </c>
      <c r="D169" s="9">
        <f>C169</f>
        <v/>
      </c>
      <c r="E169" s="7" t="inlineStr">
        <is>
          <t>Depreciation &amp; Amortization (from Cash Flow)</t>
        </is>
      </c>
    </row>
    <row r="170">
      <c r="A170" s="7" t="inlineStr">
        <is>
          <t>d_a</t>
        </is>
      </c>
      <c r="B170" s="7" t="inlineStr">
        <is>
          <t>IQ_FQ-2</t>
        </is>
      </c>
      <c r="C170" s="8">
        <f>ABS(_xll.ciqfunctions.udf.CIQ($B$1,"IQ_DA_CF","IQ_FQ-2"))</f>
        <v/>
      </c>
      <c r="D170" s="9">
        <f>C170</f>
        <v/>
      </c>
      <c r="E170" s="7" t="inlineStr">
        <is>
          <t>Depreciation &amp; Amortization (from Cash Flow)</t>
        </is>
      </c>
    </row>
    <row r="171">
      <c r="A171" s="7" t="inlineStr">
        <is>
          <t>d_a</t>
        </is>
      </c>
      <c r="B171" s="7" t="inlineStr">
        <is>
          <t>IQ_FQ-3</t>
        </is>
      </c>
      <c r="C171" s="8">
        <f>ABS(_xll.ciqfunctions.udf.CIQ($B$1,"IQ_DA_CF","IQ_FQ-3"))</f>
        <v/>
      </c>
      <c r="D171" s="9">
        <f>C171</f>
        <v/>
      </c>
      <c r="E171" s="7" t="inlineStr">
        <is>
          <t>Depreciation &amp; Amortization (from Cash Flow)</t>
        </is>
      </c>
    </row>
    <row r="172">
      <c r="A172" s="7" t="inlineStr">
        <is>
          <t>d_a</t>
        </is>
      </c>
      <c r="B172" s="7" t="inlineStr">
        <is>
          <t>IQ_FQ-4</t>
        </is>
      </c>
      <c r="C172" s="8">
        <f>ABS(_xll.ciqfunctions.udf.CIQ($B$1,"IQ_DA_CF","IQ_FQ-4"))</f>
        <v/>
      </c>
      <c r="D172" s="9">
        <f>C172</f>
        <v/>
      </c>
      <c r="E172" s="7" t="inlineStr">
        <is>
          <t>Depreciation &amp; Amortization (from Cash Flow)</t>
        </is>
      </c>
    </row>
    <row r="173">
      <c r="A173" s="7" t="inlineStr">
        <is>
          <t>d_a</t>
        </is>
      </c>
      <c r="B173" s="7" t="inlineStr">
        <is>
          <t>IQ_FQ-5</t>
        </is>
      </c>
      <c r="C173" s="8">
        <f>ABS(_xll.ciqfunctions.udf.CIQ($B$1,"IQ_DA_CF","IQ_FQ-5"))</f>
        <v/>
      </c>
      <c r="D173" s="9">
        <f>C173</f>
        <v/>
      </c>
      <c r="E173" s="7" t="inlineStr">
        <is>
          <t>Depreciation &amp; Amortization (from Cash Flow)</t>
        </is>
      </c>
    </row>
    <row r="174">
      <c r="A174" s="7" t="inlineStr">
        <is>
          <t>d_a</t>
        </is>
      </c>
      <c r="B174" s="7" t="inlineStr">
        <is>
          <t>IQ_FQ-6</t>
        </is>
      </c>
      <c r="C174" s="8">
        <f>ABS(_xll.ciqfunctions.udf.CIQ($B$1,"IQ_DA_CF","IQ_FQ-6"))</f>
        <v/>
      </c>
      <c r="D174" s="9">
        <f>C174</f>
        <v/>
      </c>
      <c r="E174" s="7" t="inlineStr">
        <is>
          <t>Depreciation &amp; Amortization (from Cash Flow)</t>
        </is>
      </c>
    </row>
    <row r="175">
      <c r="A175" s="7" t="inlineStr">
        <is>
          <t>d_a</t>
        </is>
      </c>
      <c r="B175" s="7" t="inlineStr">
        <is>
          <t>IQ_FQ-7</t>
        </is>
      </c>
      <c r="C175" s="8">
        <f>ABS(_xll.ciqfunctions.udf.CIQ($B$1,"IQ_DA_CF","IQ_FQ-7"))</f>
        <v/>
      </c>
      <c r="D175" s="9">
        <f>C175</f>
        <v/>
      </c>
      <c r="E175" s="7" t="inlineStr">
        <is>
          <t>Depreciation &amp; Amortization (from Cash Flow)</t>
        </is>
      </c>
    </row>
    <row r="176">
      <c r="A176" s="7" t="inlineStr">
        <is>
          <t>r_and_d_expense</t>
        </is>
      </c>
      <c r="B176" s="7" t="inlineStr">
        <is>
          <t>IQ_FQ-0</t>
        </is>
      </c>
      <c r="C176" s="8">
        <f>_xll.ciqfunctions.udf.CIQ($B$1,"IQ_RD_EXP","IQ_FQ-0")</f>
        <v/>
      </c>
      <c r="D176" s="9">
        <f>C176</f>
        <v/>
      </c>
      <c r="E176" s="7" t="inlineStr">
        <is>
          <t>R&amp;D Expense</t>
        </is>
      </c>
    </row>
    <row r="177">
      <c r="A177" s="7" t="inlineStr">
        <is>
          <t>r_and_d_expense</t>
        </is>
      </c>
      <c r="B177" s="7" t="inlineStr">
        <is>
          <t>IQ_FQ-1</t>
        </is>
      </c>
      <c r="C177" s="8">
        <f>_xll.ciqfunctions.udf.CIQ($B$1,"IQ_RD_EXP","IQ_FQ-1")</f>
        <v/>
      </c>
      <c r="D177" s="9">
        <f>C177</f>
        <v/>
      </c>
      <c r="E177" s="7" t="inlineStr">
        <is>
          <t>R&amp;D Expense</t>
        </is>
      </c>
    </row>
    <row r="178">
      <c r="A178" s="7" t="inlineStr">
        <is>
          <t>r_and_d_expense</t>
        </is>
      </c>
      <c r="B178" s="7" t="inlineStr">
        <is>
          <t>IQ_FQ-2</t>
        </is>
      </c>
      <c r="C178" s="8">
        <f>_xll.ciqfunctions.udf.CIQ($B$1,"IQ_RD_EXP","IQ_FQ-2")</f>
        <v/>
      </c>
      <c r="D178" s="9">
        <f>C178</f>
        <v/>
      </c>
      <c r="E178" s="7" t="inlineStr">
        <is>
          <t>R&amp;D Expense</t>
        </is>
      </c>
    </row>
    <row r="179">
      <c r="A179" s="7" t="inlineStr">
        <is>
          <t>r_and_d_expense</t>
        </is>
      </c>
      <c r="B179" s="7" t="inlineStr">
        <is>
          <t>IQ_FQ-3</t>
        </is>
      </c>
      <c r="C179" s="8">
        <f>_xll.ciqfunctions.udf.CIQ($B$1,"IQ_RD_EXP","IQ_FQ-3")</f>
        <v/>
      </c>
      <c r="D179" s="9">
        <f>C179</f>
        <v/>
      </c>
      <c r="E179" s="7" t="inlineStr">
        <is>
          <t>R&amp;D Expense</t>
        </is>
      </c>
    </row>
    <row r="180">
      <c r="A180" s="7" t="inlineStr">
        <is>
          <t>r_and_d_expense</t>
        </is>
      </c>
      <c r="B180" s="7" t="inlineStr">
        <is>
          <t>IQ_FQ-4</t>
        </is>
      </c>
      <c r="C180" s="8">
        <f>_xll.ciqfunctions.udf.CIQ($B$1,"IQ_RD_EXP","IQ_FQ-4")</f>
        <v/>
      </c>
      <c r="D180" s="9">
        <f>C180</f>
        <v/>
      </c>
      <c r="E180" s="7" t="inlineStr">
        <is>
          <t>R&amp;D Expense</t>
        </is>
      </c>
    </row>
    <row r="181">
      <c r="A181" s="7" t="inlineStr">
        <is>
          <t>r_and_d_expense</t>
        </is>
      </c>
      <c r="B181" s="7" t="inlineStr">
        <is>
          <t>IQ_FQ-5</t>
        </is>
      </c>
      <c r="C181" s="8">
        <f>_xll.ciqfunctions.udf.CIQ($B$1,"IQ_RD_EXP","IQ_FQ-5")</f>
        <v/>
      </c>
      <c r="D181" s="9">
        <f>C181</f>
        <v/>
      </c>
      <c r="E181" s="7" t="inlineStr">
        <is>
          <t>R&amp;D Expense</t>
        </is>
      </c>
    </row>
    <row r="182">
      <c r="A182" s="7" t="inlineStr">
        <is>
          <t>r_and_d_expense</t>
        </is>
      </c>
      <c r="B182" s="7" t="inlineStr">
        <is>
          <t>IQ_FQ-6</t>
        </is>
      </c>
      <c r="C182" s="8">
        <f>_xll.ciqfunctions.udf.CIQ($B$1,"IQ_RD_EXP","IQ_FQ-6")</f>
        <v/>
      </c>
      <c r="D182" s="9">
        <f>C182</f>
        <v/>
      </c>
      <c r="E182" s="7" t="inlineStr">
        <is>
          <t>R&amp;D Expense</t>
        </is>
      </c>
    </row>
    <row r="183">
      <c r="A183" s="7" t="inlineStr">
        <is>
          <t>r_and_d_expense</t>
        </is>
      </c>
      <c r="B183" s="7" t="inlineStr">
        <is>
          <t>IQ_FQ-7</t>
        </is>
      </c>
      <c r="C183" s="8">
        <f>_xll.ciqfunctions.udf.CIQ($B$1,"IQ_RD_EXP","IQ_FQ-7")</f>
        <v/>
      </c>
      <c r="D183" s="9">
        <f>C183</f>
        <v/>
      </c>
      <c r="E183" s="7" t="inlineStr">
        <is>
          <t>R&amp;D Expense</t>
        </is>
      </c>
    </row>
    <row r="184">
      <c r="A184" s="7" t="inlineStr">
        <is>
          <t>capex</t>
        </is>
      </c>
      <c r="B184" s="7" t="inlineStr">
        <is>
          <t>IQ_FQ-0</t>
        </is>
      </c>
      <c r="C184" s="8">
        <f>ABS(_xll.ciqfunctions.udf.CIQ($B$1,"IQ_CAPEX","IQ_FQ-0"))</f>
        <v/>
      </c>
      <c r="D184" s="9">
        <f>C184</f>
        <v/>
      </c>
      <c r="E184" s="7" t="inlineStr">
        <is>
          <t>Capital Expenditures</t>
        </is>
      </c>
    </row>
    <row r="185">
      <c r="A185" s="7" t="inlineStr">
        <is>
          <t>capex</t>
        </is>
      </c>
      <c r="B185" s="7" t="inlineStr">
        <is>
          <t>IQ_FQ-1</t>
        </is>
      </c>
      <c r="C185" s="8">
        <f>ABS(_xll.ciqfunctions.udf.CIQ($B$1,"IQ_CAPEX","IQ_FQ-1"))</f>
        <v/>
      </c>
      <c r="D185" s="9">
        <f>C185</f>
        <v/>
      </c>
      <c r="E185" s="7" t="inlineStr">
        <is>
          <t>Capital Expenditures</t>
        </is>
      </c>
    </row>
    <row r="186">
      <c r="A186" s="7" t="inlineStr">
        <is>
          <t>capex</t>
        </is>
      </c>
      <c r="B186" s="7" t="inlineStr">
        <is>
          <t>IQ_FQ-2</t>
        </is>
      </c>
      <c r="C186" s="8">
        <f>ABS(_xll.ciqfunctions.udf.CIQ($B$1,"IQ_CAPEX","IQ_FQ-2"))</f>
        <v/>
      </c>
      <c r="D186" s="9">
        <f>C186</f>
        <v/>
      </c>
      <c r="E186" s="7" t="inlineStr">
        <is>
          <t>Capital Expenditures</t>
        </is>
      </c>
    </row>
    <row r="187">
      <c r="A187" s="7" t="inlineStr">
        <is>
          <t>capex</t>
        </is>
      </c>
      <c r="B187" s="7" t="inlineStr">
        <is>
          <t>IQ_FQ-3</t>
        </is>
      </c>
      <c r="C187" s="8">
        <f>ABS(_xll.ciqfunctions.udf.CIQ($B$1,"IQ_CAPEX","IQ_FQ-3"))</f>
        <v/>
      </c>
      <c r="D187" s="9">
        <f>C187</f>
        <v/>
      </c>
      <c r="E187" s="7" t="inlineStr">
        <is>
          <t>Capital Expenditures</t>
        </is>
      </c>
    </row>
    <row r="188">
      <c r="A188" s="7" t="inlineStr">
        <is>
          <t>capex</t>
        </is>
      </c>
      <c r="B188" s="7" t="inlineStr">
        <is>
          <t>IQ_FQ-4</t>
        </is>
      </c>
      <c r="C188" s="8">
        <f>ABS(_xll.ciqfunctions.udf.CIQ($B$1,"IQ_CAPEX","IQ_FQ-4"))</f>
        <v/>
      </c>
      <c r="D188" s="9">
        <f>C188</f>
        <v/>
      </c>
      <c r="E188" s="7" t="inlineStr">
        <is>
          <t>Capital Expenditures</t>
        </is>
      </c>
    </row>
    <row r="189">
      <c r="A189" s="7" t="inlineStr">
        <is>
          <t>capex</t>
        </is>
      </c>
      <c r="B189" s="7" t="inlineStr">
        <is>
          <t>IQ_FQ-5</t>
        </is>
      </c>
      <c r="C189" s="8">
        <f>ABS(_xll.ciqfunctions.udf.CIQ($B$1,"IQ_CAPEX","IQ_FQ-5"))</f>
        <v/>
      </c>
      <c r="D189" s="9">
        <f>C189</f>
        <v/>
      </c>
      <c r="E189" s="7" t="inlineStr">
        <is>
          <t>Capital Expenditures</t>
        </is>
      </c>
    </row>
    <row r="190">
      <c r="A190" s="7" t="inlineStr">
        <is>
          <t>capex</t>
        </is>
      </c>
      <c r="B190" s="7" t="inlineStr">
        <is>
          <t>IQ_FQ-6</t>
        </is>
      </c>
      <c r="C190" s="8">
        <f>ABS(_xll.ciqfunctions.udf.CIQ($B$1,"IQ_CAPEX","IQ_FQ-6"))</f>
        <v/>
      </c>
      <c r="D190" s="9">
        <f>C190</f>
        <v/>
      </c>
      <c r="E190" s="7" t="inlineStr">
        <is>
          <t>Capital Expenditures</t>
        </is>
      </c>
    </row>
    <row r="191">
      <c r="A191" s="7" t="inlineStr">
        <is>
          <t>capex</t>
        </is>
      </c>
      <c r="B191" s="7" t="inlineStr">
        <is>
          <t>IQ_FQ-7</t>
        </is>
      </c>
      <c r="C191" s="8">
        <f>ABS(_xll.ciqfunctions.udf.CIQ($B$1,"IQ_CAPEX","IQ_FQ-7"))</f>
        <v/>
      </c>
      <c r="D191" s="9">
        <f>C191</f>
        <v/>
      </c>
      <c r="E191" s="7" t="inlineStr">
        <is>
          <t>Capital Expenditures</t>
        </is>
      </c>
    </row>
    <row r="192">
      <c r="A192" s="7" t="inlineStr">
        <is>
          <t>operating_lease_expense</t>
        </is>
      </c>
      <c r="B192" s="7" t="inlineStr">
        <is>
          <t>IQ_FQ-0</t>
        </is>
      </c>
      <c r="C192" s="8">
        <f>ABS(_xll.ciqfunctions.udf.CIQ($B$1,"IQ_OPERATING_LEASE_PAYMENTS","IQ_FQ-0"))</f>
        <v/>
      </c>
      <c r="D192" s="9">
        <f>C192</f>
        <v/>
      </c>
      <c r="E192" s="7" t="inlineStr">
        <is>
          <t>Operating Lease Payments</t>
        </is>
      </c>
    </row>
    <row r="193">
      <c r="A193" s="7" t="inlineStr">
        <is>
          <t>operating_lease_expense</t>
        </is>
      </c>
      <c r="B193" s="7" t="inlineStr">
        <is>
          <t>IQ_FQ-1</t>
        </is>
      </c>
      <c r="C193" s="8">
        <f>ABS(_xll.ciqfunctions.udf.CIQ($B$1,"IQ_OPERATING_LEASE_PAYMENTS","IQ_FQ-1"))</f>
        <v/>
      </c>
      <c r="D193" s="9">
        <f>C193</f>
        <v/>
      </c>
      <c r="E193" s="7" t="inlineStr">
        <is>
          <t>Operating Lease Payments</t>
        </is>
      </c>
    </row>
    <row r="194">
      <c r="A194" s="7" t="inlineStr">
        <is>
          <t>operating_lease_expense</t>
        </is>
      </c>
      <c r="B194" s="7" t="inlineStr">
        <is>
          <t>IQ_FQ-2</t>
        </is>
      </c>
      <c r="C194" s="8">
        <f>ABS(_xll.ciqfunctions.udf.CIQ($B$1,"IQ_OPERATING_LEASE_PAYMENTS","IQ_FQ-2"))</f>
        <v/>
      </c>
      <c r="D194" s="9">
        <f>C194</f>
        <v/>
      </c>
      <c r="E194" s="7" t="inlineStr">
        <is>
          <t>Operating Lease Payments</t>
        </is>
      </c>
    </row>
    <row r="195">
      <c r="A195" s="7" t="inlineStr">
        <is>
          <t>operating_lease_expense</t>
        </is>
      </c>
      <c r="B195" s="7" t="inlineStr">
        <is>
          <t>IQ_FQ-3</t>
        </is>
      </c>
      <c r="C195" s="8">
        <f>ABS(_xll.ciqfunctions.udf.CIQ($B$1,"IQ_OPERATING_LEASE_PAYMENTS","IQ_FQ-3"))</f>
        <v/>
      </c>
      <c r="D195" s="9">
        <f>C195</f>
        <v/>
      </c>
      <c r="E195" s="7" t="inlineStr">
        <is>
          <t>Operating Lease Payments</t>
        </is>
      </c>
    </row>
    <row r="196">
      <c r="A196" s="7" t="inlineStr">
        <is>
          <t>operating_lease_expense</t>
        </is>
      </c>
      <c r="B196" s="7" t="inlineStr">
        <is>
          <t>IQ_FQ-4</t>
        </is>
      </c>
      <c r="C196" s="8">
        <f>ABS(_xll.ciqfunctions.udf.CIQ($B$1,"IQ_OPERATING_LEASE_PAYMENTS","IQ_FQ-4"))</f>
        <v/>
      </c>
      <c r="D196" s="9">
        <f>C196</f>
        <v/>
      </c>
      <c r="E196" s="7" t="inlineStr">
        <is>
          <t>Operating Lease Payments</t>
        </is>
      </c>
    </row>
    <row r="197">
      <c r="A197" s="7" t="inlineStr">
        <is>
          <t>operating_lease_expense</t>
        </is>
      </c>
      <c r="B197" s="7" t="inlineStr">
        <is>
          <t>IQ_FQ-5</t>
        </is>
      </c>
      <c r="C197" s="8">
        <f>ABS(_xll.ciqfunctions.udf.CIQ($B$1,"IQ_OPERATING_LEASE_PAYMENTS","IQ_FQ-5"))</f>
        <v/>
      </c>
      <c r="D197" s="9">
        <f>C197</f>
        <v/>
      </c>
      <c r="E197" s="7" t="inlineStr">
        <is>
          <t>Operating Lease Payments</t>
        </is>
      </c>
    </row>
    <row r="198">
      <c r="A198" s="7" t="inlineStr">
        <is>
          <t>operating_lease_expense</t>
        </is>
      </c>
      <c r="B198" s="7" t="inlineStr">
        <is>
          <t>IQ_FQ-6</t>
        </is>
      </c>
      <c r="C198" s="8">
        <f>ABS(_xll.ciqfunctions.udf.CIQ($B$1,"IQ_OPERATING_LEASE_PAYMENTS","IQ_FQ-6"))</f>
        <v/>
      </c>
      <c r="D198" s="9">
        <f>C198</f>
        <v/>
      </c>
      <c r="E198" s="7" t="inlineStr">
        <is>
          <t>Operating Lease Payments</t>
        </is>
      </c>
    </row>
    <row r="199">
      <c r="A199" s="7" t="inlineStr">
        <is>
          <t>operating_lease_expense</t>
        </is>
      </c>
      <c r="B199" s="7" t="inlineStr">
        <is>
          <t>IQ_FQ-7</t>
        </is>
      </c>
      <c r="C199" s="8">
        <f>ABS(_xll.ciqfunctions.udf.CIQ($B$1,"IQ_OPERATING_LEASE_PAYMENTS","IQ_FQ-7"))</f>
        <v/>
      </c>
      <c r="D199" s="9">
        <f>C199</f>
        <v/>
      </c>
      <c r="E199" s="7" t="inlineStr">
        <is>
          <t>Operating Lease Payments</t>
        </is>
      </c>
    </row>
    <row r="200">
      <c r="A200" s="7" t="inlineStr">
        <is>
          <t>earnings_before_tax</t>
        </is>
      </c>
      <c r="B200" s="7" t="inlineStr">
        <is>
          <t>IQ_FQ-0</t>
        </is>
      </c>
      <c r="C200" s="8">
        <f>_xll.ciqfunctions.udf.CIQ($B$1,"IQ_EBT_EXCL","IQ_FQ-0")</f>
        <v/>
      </c>
      <c r="D200" s="9">
        <f>C200</f>
        <v/>
      </c>
      <c r="E200" s="7" t="inlineStr">
        <is>
          <t>Earnings Before Tax (excl unusual items)</t>
        </is>
      </c>
    </row>
    <row r="201">
      <c r="A201" s="7" t="inlineStr">
        <is>
          <t>earnings_before_tax</t>
        </is>
      </c>
      <c r="B201" s="7" t="inlineStr">
        <is>
          <t>IQ_FQ-1</t>
        </is>
      </c>
      <c r="C201" s="8">
        <f>_xll.ciqfunctions.udf.CIQ($B$1,"IQ_EBT_EXCL","IQ_FQ-1")</f>
        <v/>
      </c>
      <c r="D201" s="9">
        <f>C201</f>
        <v/>
      </c>
      <c r="E201" s="7" t="inlineStr">
        <is>
          <t>Earnings Before Tax (excl unusual items)</t>
        </is>
      </c>
    </row>
    <row r="202">
      <c r="A202" s="7" t="inlineStr">
        <is>
          <t>earnings_before_tax</t>
        </is>
      </c>
      <c r="B202" s="7" t="inlineStr">
        <is>
          <t>IQ_FQ-2</t>
        </is>
      </c>
      <c r="C202" s="8">
        <f>_xll.ciqfunctions.udf.CIQ($B$1,"IQ_EBT_EXCL","IQ_FQ-2")</f>
        <v/>
      </c>
      <c r="D202" s="9">
        <f>C202</f>
        <v/>
      </c>
      <c r="E202" s="7" t="inlineStr">
        <is>
          <t>Earnings Before Tax (excl unusual items)</t>
        </is>
      </c>
    </row>
    <row r="203">
      <c r="A203" s="7" t="inlineStr">
        <is>
          <t>earnings_before_tax</t>
        </is>
      </c>
      <c r="B203" s="7" t="inlineStr">
        <is>
          <t>IQ_FQ-3</t>
        </is>
      </c>
      <c r="C203" s="8">
        <f>_xll.ciqfunctions.udf.CIQ($B$1,"IQ_EBT_EXCL","IQ_FQ-3")</f>
        <v/>
      </c>
      <c r="D203" s="9">
        <f>C203</f>
        <v/>
      </c>
      <c r="E203" s="7" t="inlineStr">
        <is>
          <t>Earnings Before Tax (excl unusual items)</t>
        </is>
      </c>
    </row>
    <row r="204">
      <c r="A204" s="7" t="inlineStr">
        <is>
          <t>earnings_before_tax</t>
        </is>
      </c>
      <c r="B204" s="7" t="inlineStr">
        <is>
          <t>IQ_FQ-4</t>
        </is>
      </c>
      <c r="C204" s="8">
        <f>_xll.ciqfunctions.udf.CIQ($B$1,"IQ_EBT_EXCL","IQ_FQ-4")</f>
        <v/>
      </c>
      <c r="D204" s="9">
        <f>C204</f>
        <v/>
      </c>
      <c r="E204" s="7" t="inlineStr">
        <is>
          <t>Earnings Before Tax (excl unusual items)</t>
        </is>
      </c>
    </row>
    <row r="205">
      <c r="A205" s="7" t="inlineStr">
        <is>
          <t>earnings_before_tax</t>
        </is>
      </c>
      <c r="B205" s="7" t="inlineStr">
        <is>
          <t>IQ_FQ-5</t>
        </is>
      </c>
      <c r="C205" s="8">
        <f>_xll.ciqfunctions.udf.CIQ($B$1,"IQ_EBT_EXCL","IQ_FQ-5")</f>
        <v/>
      </c>
      <c r="D205" s="9">
        <f>C205</f>
        <v/>
      </c>
      <c r="E205" s="7" t="inlineStr">
        <is>
          <t>Earnings Before Tax (excl unusual items)</t>
        </is>
      </c>
    </row>
    <row r="206">
      <c r="A206" s="7" t="inlineStr">
        <is>
          <t>earnings_before_tax</t>
        </is>
      </c>
      <c r="B206" s="7" t="inlineStr">
        <is>
          <t>IQ_FQ-6</t>
        </is>
      </c>
      <c r="C206" s="8">
        <f>_xll.ciqfunctions.udf.CIQ($B$1,"IQ_EBT_EXCL","IQ_FQ-6")</f>
        <v/>
      </c>
      <c r="D206" s="9">
        <f>C206</f>
        <v/>
      </c>
      <c r="E206" s="7" t="inlineStr">
        <is>
          <t>Earnings Before Tax (excl unusual items)</t>
        </is>
      </c>
    </row>
    <row r="207">
      <c r="A207" s="7" t="inlineStr">
        <is>
          <t>earnings_before_tax</t>
        </is>
      </c>
      <c r="B207" s="7" t="inlineStr">
        <is>
          <t>IQ_FQ-7</t>
        </is>
      </c>
      <c r="C207" s="8">
        <f>_xll.ciqfunctions.udf.CIQ($B$1,"IQ_EBT_EXCL","IQ_FQ-7")</f>
        <v/>
      </c>
      <c r="D207" s="9">
        <f>C207</f>
        <v/>
      </c>
      <c r="E207" s="7" t="inlineStr">
        <is>
          <t>Earnings Before Tax (excl unusual items)</t>
        </is>
      </c>
    </row>
    <row r="208">
      <c r="A208" s="7" t="inlineStr">
        <is>
          <t>total_tax_expense</t>
        </is>
      </c>
      <c r="B208" s="7" t="inlineStr">
        <is>
          <t>IQ_FQ-0</t>
        </is>
      </c>
      <c r="C208" s="8">
        <f>_xll.ciqfunctions.udf.CIQ($B$1,"IQ_INC_TAX","IQ_FQ-0")</f>
        <v/>
      </c>
      <c r="D208" s="9">
        <f>C208</f>
        <v/>
      </c>
      <c r="E208" s="7" t="inlineStr">
        <is>
          <t>Income Tax Expense</t>
        </is>
      </c>
    </row>
    <row r="209">
      <c r="A209" s="7" t="inlineStr">
        <is>
          <t>total_tax_expense</t>
        </is>
      </c>
      <c r="B209" s="7" t="inlineStr">
        <is>
          <t>IQ_FQ-1</t>
        </is>
      </c>
      <c r="C209" s="8">
        <f>_xll.ciqfunctions.udf.CIQ($B$1,"IQ_INC_TAX","IQ_FQ-1")</f>
        <v/>
      </c>
      <c r="D209" s="9">
        <f>C209</f>
        <v/>
      </c>
      <c r="E209" s="7" t="inlineStr">
        <is>
          <t>Income Tax Expense</t>
        </is>
      </c>
    </row>
    <row r="210">
      <c r="A210" s="7" t="inlineStr">
        <is>
          <t>total_tax_expense</t>
        </is>
      </c>
      <c r="B210" s="7" t="inlineStr">
        <is>
          <t>IQ_FQ-2</t>
        </is>
      </c>
      <c r="C210" s="8">
        <f>_xll.ciqfunctions.udf.CIQ($B$1,"IQ_INC_TAX","IQ_FQ-2")</f>
        <v/>
      </c>
      <c r="D210" s="9">
        <f>C210</f>
        <v/>
      </c>
      <c r="E210" s="7" t="inlineStr">
        <is>
          <t>Income Tax Expense</t>
        </is>
      </c>
    </row>
    <row r="211">
      <c r="A211" s="7" t="inlineStr">
        <is>
          <t>total_tax_expense</t>
        </is>
      </c>
      <c r="B211" s="7" t="inlineStr">
        <is>
          <t>IQ_FQ-3</t>
        </is>
      </c>
      <c r="C211" s="8">
        <f>_xll.ciqfunctions.udf.CIQ($B$1,"IQ_INC_TAX","IQ_FQ-3")</f>
        <v/>
      </c>
      <c r="D211" s="9">
        <f>C211</f>
        <v/>
      </c>
      <c r="E211" s="7" t="inlineStr">
        <is>
          <t>Income Tax Expense</t>
        </is>
      </c>
    </row>
    <row r="212">
      <c r="A212" s="7" t="inlineStr">
        <is>
          <t>total_tax_expense</t>
        </is>
      </c>
      <c r="B212" s="7" t="inlineStr">
        <is>
          <t>IQ_FQ-4</t>
        </is>
      </c>
      <c r="C212" s="8">
        <f>_xll.ciqfunctions.udf.CIQ($B$1,"IQ_INC_TAX","IQ_FQ-4")</f>
        <v/>
      </c>
      <c r="D212" s="9">
        <f>C212</f>
        <v/>
      </c>
      <c r="E212" s="7" t="inlineStr">
        <is>
          <t>Income Tax Expense</t>
        </is>
      </c>
    </row>
    <row r="213">
      <c r="A213" s="7" t="inlineStr">
        <is>
          <t>total_tax_expense</t>
        </is>
      </c>
      <c r="B213" s="7" t="inlineStr">
        <is>
          <t>IQ_FQ-5</t>
        </is>
      </c>
      <c r="C213" s="8">
        <f>_xll.ciqfunctions.udf.CIQ($B$1,"IQ_INC_TAX","IQ_FQ-5")</f>
        <v/>
      </c>
      <c r="D213" s="9">
        <f>C213</f>
        <v/>
      </c>
      <c r="E213" s="7" t="inlineStr">
        <is>
          <t>Income Tax Expense</t>
        </is>
      </c>
    </row>
    <row r="214">
      <c r="A214" s="7" t="inlineStr">
        <is>
          <t>total_tax_expense</t>
        </is>
      </c>
      <c r="B214" s="7" t="inlineStr">
        <is>
          <t>IQ_FQ-6</t>
        </is>
      </c>
      <c r="C214" s="8">
        <f>_xll.ciqfunctions.udf.CIQ($B$1,"IQ_INC_TAX","IQ_FQ-6")</f>
        <v/>
      </c>
      <c r="D214" s="9">
        <f>C214</f>
        <v/>
      </c>
      <c r="E214" s="7" t="inlineStr">
        <is>
          <t>Income Tax Expense</t>
        </is>
      </c>
    </row>
    <row r="215">
      <c r="A215" s="7" t="inlineStr">
        <is>
          <t>total_tax_expense</t>
        </is>
      </c>
      <c r="B215" s="7" t="inlineStr">
        <is>
          <t>IQ_FQ-7</t>
        </is>
      </c>
      <c r="C215" s="8">
        <f>_xll.ciqfunctions.udf.CIQ($B$1,"IQ_INC_TAX","IQ_FQ-7")</f>
        <v/>
      </c>
      <c r="D215" s="9">
        <f>C215</f>
        <v/>
      </c>
      <c r="E215" s="7" t="inlineStr">
        <is>
          <t>Income Tax Expense</t>
        </is>
      </c>
    </row>
    <row r="216">
      <c r="A216" s="6" t="inlineStr">
        <is>
          <t>BALANCE SHEET (Annual)</t>
        </is>
      </c>
    </row>
    <row r="217">
      <c r="A217" s="7" t="inlineStr">
        <is>
          <t>cash_and_marketable_securities</t>
        </is>
      </c>
      <c r="B217" s="7" t="inlineStr">
        <is>
          <t>IQ_FY-0</t>
        </is>
      </c>
      <c r="C217" s="8">
        <f>_xll.ciqfunctions.udf.CIQ($B$1,"IQ_CASH_EQUIV","IQ_FY-0")</f>
        <v/>
      </c>
      <c r="D217" s="9">
        <f>C217</f>
        <v/>
      </c>
      <c r="E217" s="7" t="inlineStr">
        <is>
          <t>Cash &amp; Equivalents</t>
        </is>
      </c>
    </row>
    <row r="218">
      <c r="A218" s="7" t="inlineStr">
        <is>
          <t>cash_and_marketable_securities</t>
        </is>
      </c>
      <c r="B218" s="7" t="inlineStr">
        <is>
          <t>IQ_FY-1</t>
        </is>
      </c>
      <c r="C218" s="8">
        <f>_xll.ciqfunctions.udf.CIQ($B$1,"IQ_CASH_EQUIV","IQ_FY-1")</f>
        <v/>
      </c>
      <c r="D218" s="9">
        <f>C218</f>
        <v/>
      </c>
      <c r="E218" s="7" t="inlineStr">
        <is>
          <t>Cash &amp; Equivalents</t>
        </is>
      </c>
    </row>
    <row r="219">
      <c r="A219" s="7" t="inlineStr">
        <is>
          <t>cash_and_marketable_securities</t>
        </is>
      </c>
      <c r="B219" s="7" t="inlineStr">
        <is>
          <t>IQ_FY-2</t>
        </is>
      </c>
      <c r="C219" s="8">
        <f>_xll.ciqfunctions.udf.CIQ($B$1,"IQ_CASH_EQUIV","IQ_FY-2")</f>
        <v/>
      </c>
      <c r="D219" s="9">
        <f>C219</f>
        <v/>
      </c>
      <c r="E219" s="7" t="inlineStr">
        <is>
          <t>Cash &amp; Equivalents</t>
        </is>
      </c>
    </row>
    <row r="220">
      <c r="A220" s="7" t="inlineStr">
        <is>
          <t>cash_and_marketable_securities</t>
        </is>
      </c>
      <c r="B220" s="7" t="inlineStr">
        <is>
          <t>IQ_FY-3</t>
        </is>
      </c>
      <c r="C220" s="8">
        <f>_xll.ciqfunctions.udf.CIQ($B$1,"IQ_CASH_EQUIV","IQ_FY-3")</f>
        <v/>
      </c>
      <c r="D220" s="9">
        <f>C220</f>
        <v/>
      </c>
      <c r="E220" s="7" t="inlineStr">
        <is>
          <t>Cash &amp; Equivalents</t>
        </is>
      </c>
    </row>
    <row r="221">
      <c r="A221" s="7" t="inlineStr">
        <is>
          <t>cash_and_marketable_securities</t>
        </is>
      </c>
      <c r="B221" s="7" t="inlineStr">
        <is>
          <t>IQ_FY-4</t>
        </is>
      </c>
      <c r="C221" s="8">
        <f>_xll.ciqfunctions.udf.CIQ($B$1,"IQ_CASH_EQUIV","IQ_FY-4")</f>
        <v/>
      </c>
      <c r="D221" s="9">
        <f>C221</f>
        <v/>
      </c>
      <c r="E221" s="7" t="inlineStr">
        <is>
          <t>Cash &amp; Equivalents</t>
        </is>
      </c>
    </row>
    <row r="222">
      <c r="A222" s="7" t="inlineStr">
        <is>
          <t>cash_and_marketable_securities</t>
        </is>
      </c>
      <c r="B222" s="7" t="inlineStr">
        <is>
          <t>IQ_FY-5</t>
        </is>
      </c>
      <c r="C222" s="8">
        <f>_xll.ciqfunctions.udf.CIQ($B$1,"IQ_CASH_EQUIV","IQ_FY-5")</f>
        <v/>
      </c>
      <c r="D222" s="9">
        <f>C222</f>
        <v/>
      </c>
      <c r="E222" s="7" t="inlineStr">
        <is>
          <t>Cash &amp; Equivalents</t>
        </is>
      </c>
    </row>
    <row r="223">
      <c r="A223" s="7" t="inlineStr">
        <is>
          <t>cash_and_marketable_securities</t>
        </is>
      </c>
      <c r="B223" s="7" t="inlineStr">
        <is>
          <t>IQ_FY-6</t>
        </is>
      </c>
      <c r="C223" s="8">
        <f>_xll.ciqfunctions.udf.CIQ($B$1,"IQ_CASH_EQUIV","IQ_FY-6")</f>
        <v/>
      </c>
      <c r="D223" s="9">
        <f>C223</f>
        <v/>
      </c>
      <c r="E223" s="7" t="inlineStr">
        <is>
          <t>Cash &amp; Equivalents</t>
        </is>
      </c>
    </row>
    <row r="224">
      <c r="A224" s="7" t="inlineStr">
        <is>
          <t>cash_and_marketable_securities</t>
        </is>
      </c>
      <c r="B224" s="7" t="inlineStr">
        <is>
          <t>IQ_FY-7</t>
        </is>
      </c>
      <c r="C224" s="8">
        <f>_xll.ciqfunctions.udf.CIQ($B$1,"IQ_CASH_EQUIV","IQ_FY-7")</f>
        <v/>
      </c>
      <c r="D224" s="9">
        <f>C224</f>
        <v/>
      </c>
      <c r="E224" s="7" t="inlineStr">
        <is>
          <t>Cash &amp; Equivalents</t>
        </is>
      </c>
    </row>
    <row r="225">
      <c r="A225" s="7" t="inlineStr">
        <is>
          <t>cash_and_marketable_securities</t>
        </is>
      </c>
      <c r="B225" s="7" t="inlineStr">
        <is>
          <t>IQ_FY-8</t>
        </is>
      </c>
      <c r="C225" s="8">
        <f>_xll.ciqfunctions.udf.CIQ($B$1,"IQ_CASH_EQUIV","IQ_FY-8")</f>
        <v/>
      </c>
      <c r="D225" s="9">
        <f>C225</f>
        <v/>
      </c>
      <c r="E225" s="7" t="inlineStr">
        <is>
          <t>Cash &amp; Equivalents</t>
        </is>
      </c>
    </row>
    <row r="226">
      <c r="A226" s="7" t="inlineStr">
        <is>
          <t>cash_and_marketable_securities</t>
        </is>
      </c>
      <c r="B226" s="7" t="inlineStr">
        <is>
          <t>IQ_FY-9</t>
        </is>
      </c>
      <c r="C226" s="8">
        <f>_xll.ciqfunctions.udf.CIQ($B$1,"IQ_CASH_EQUIV","IQ_FY-9")</f>
        <v/>
      </c>
      <c r="D226" s="9">
        <f>C226</f>
        <v/>
      </c>
      <c r="E226" s="7" t="inlineStr">
        <is>
          <t>Cash &amp; Equivalents</t>
        </is>
      </c>
    </row>
    <row r="227">
      <c r="A227" s="7" t="inlineStr">
        <is>
          <t>cash_and_marketable_securities</t>
        </is>
      </c>
      <c r="B227" s="7" t="inlineStr">
        <is>
          <t>IQ_FY-10</t>
        </is>
      </c>
      <c r="C227" s="8">
        <f>_xll.ciqfunctions.udf.CIQ($B$1,"IQ_CASH_EQUIV","IQ_FY-10")</f>
        <v/>
      </c>
      <c r="D227" s="9">
        <f>C227</f>
        <v/>
      </c>
      <c r="E227" s="7" t="inlineStr">
        <is>
          <t>Cash &amp; Equivalents</t>
        </is>
      </c>
    </row>
    <row r="228">
      <c r="A228" s="7" t="inlineStr">
        <is>
          <t>bv_equity</t>
        </is>
      </c>
      <c r="B228" s="7" t="inlineStr">
        <is>
          <t>IQ_FY-0</t>
        </is>
      </c>
      <c r="C228" s="8">
        <f>_xll.ciqfunctions.udf.CIQ($B$1,"IQ_TOTAL_EQUITY","IQ_FY-0")</f>
        <v/>
      </c>
      <c r="D228" s="9">
        <f>C228</f>
        <v/>
      </c>
      <c r="E228" s="7" t="inlineStr">
        <is>
          <t>Total Stockholders' Equity</t>
        </is>
      </c>
    </row>
    <row r="229">
      <c r="A229" s="7" t="inlineStr">
        <is>
          <t>bv_equity</t>
        </is>
      </c>
      <c r="B229" s="7" t="inlineStr">
        <is>
          <t>IQ_FY-1</t>
        </is>
      </c>
      <c r="C229" s="8">
        <f>_xll.ciqfunctions.udf.CIQ($B$1,"IQ_TOTAL_EQUITY","IQ_FY-1")</f>
        <v/>
      </c>
      <c r="D229" s="9">
        <f>C229</f>
        <v/>
      </c>
      <c r="E229" s="7" t="inlineStr">
        <is>
          <t>Total Stockholders' Equity</t>
        </is>
      </c>
    </row>
    <row r="230">
      <c r="A230" s="7" t="inlineStr">
        <is>
          <t>bv_equity</t>
        </is>
      </c>
      <c r="B230" s="7" t="inlineStr">
        <is>
          <t>IQ_FY-2</t>
        </is>
      </c>
      <c r="C230" s="8">
        <f>_xll.ciqfunctions.udf.CIQ($B$1,"IQ_TOTAL_EQUITY","IQ_FY-2")</f>
        <v/>
      </c>
      <c r="D230" s="9">
        <f>C230</f>
        <v/>
      </c>
      <c r="E230" s="7" t="inlineStr">
        <is>
          <t>Total Stockholders' Equity</t>
        </is>
      </c>
    </row>
    <row r="231">
      <c r="A231" s="7" t="inlineStr">
        <is>
          <t>bv_equity</t>
        </is>
      </c>
      <c r="B231" s="7" t="inlineStr">
        <is>
          <t>IQ_FY-3</t>
        </is>
      </c>
      <c r="C231" s="8">
        <f>_xll.ciqfunctions.udf.CIQ($B$1,"IQ_TOTAL_EQUITY","IQ_FY-3")</f>
        <v/>
      </c>
      <c r="D231" s="9">
        <f>C231</f>
        <v/>
      </c>
      <c r="E231" s="7" t="inlineStr">
        <is>
          <t>Total Stockholders' Equity</t>
        </is>
      </c>
    </row>
    <row r="232">
      <c r="A232" s="7" t="inlineStr">
        <is>
          <t>bv_equity</t>
        </is>
      </c>
      <c r="B232" s="7" t="inlineStr">
        <is>
          <t>IQ_FY-4</t>
        </is>
      </c>
      <c r="C232" s="8">
        <f>_xll.ciqfunctions.udf.CIQ($B$1,"IQ_TOTAL_EQUITY","IQ_FY-4")</f>
        <v/>
      </c>
      <c r="D232" s="9">
        <f>C232</f>
        <v/>
      </c>
      <c r="E232" s="7" t="inlineStr">
        <is>
          <t>Total Stockholders' Equity</t>
        </is>
      </c>
    </row>
    <row r="233">
      <c r="A233" s="7" t="inlineStr">
        <is>
          <t>bv_equity</t>
        </is>
      </c>
      <c r="B233" s="7" t="inlineStr">
        <is>
          <t>IQ_FY-5</t>
        </is>
      </c>
      <c r="C233" s="8">
        <f>_xll.ciqfunctions.udf.CIQ($B$1,"IQ_TOTAL_EQUITY","IQ_FY-5")</f>
        <v/>
      </c>
      <c r="D233" s="9">
        <f>C233</f>
        <v/>
      </c>
      <c r="E233" s="7" t="inlineStr">
        <is>
          <t>Total Stockholders' Equity</t>
        </is>
      </c>
    </row>
    <row r="234">
      <c r="A234" s="7" t="inlineStr">
        <is>
          <t>bv_equity</t>
        </is>
      </c>
      <c r="B234" s="7" t="inlineStr">
        <is>
          <t>IQ_FY-6</t>
        </is>
      </c>
      <c r="C234" s="8">
        <f>_xll.ciqfunctions.udf.CIQ($B$1,"IQ_TOTAL_EQUITY","IQ_FY-6")</f>
        <v/>
      </c>
      <c r="D234" s="9">
        <f>C234</f>
        <v/>
      </c>
      <c r="E234" s="7" t="inlineStr">
        <is>
          <t>Total Stockholders' Equity</t>
        </is>
      </c>
    </row>
    <row r="235">
      <c r="A235" s="7" t="inlineStr">
        <is>
          <t>bv_equity</t>
        </is>
      </c>
      <c r="B235" s="7" t="inlineStr">
        <is>
          <t>IQ_FY-7</t>
        </is>
      </c>
      <c r="C235" s="8">
        <f>_xll.ciqfunctions.udf.CIQ($B$1,"IQ_TOTAL_EQUITY","IQ_FY-7")</f>
        <v/>
      </c>
      <c r="D235" s="9">
        <f>C235</f>
        <v/>
      </c>
      <c r="E235" s="7" t="inlineStr">
        <is>
          <t>Total Stockholders' Equity</t>
        </is>
      </c>
    </row>
    <row r="236">
      <c r="A236" s="7" t="inlineStr">
        <is>
          <t>bv_equity</t>
        </is>
      </c>
      <c r="B236" s="7" t="inlineStr">
        <is>
          <t>IQ_FY-8</t>
        </is>
      </c>
      <c r="C236" s="8">
        <f>_xll.ciqfunctions.udf.CIQ($B$1,"IQ_TOTAL_EQUITY","IQ_FY-8")</f>
        <v/>
      </c>
      <c r="D236" s="9">
        <f>C236</f>
        <v/>
      </c>
      <c r="E236" s="7" t="inlineStr">
        <is>
          <t>Total Stockholders' Equity</t>
        </is>
      </c>
    </row>
    <row r="237">
      <c r="A237" s="7" t="inlineStr">
        <is>
          <t>bv_equity</t>
        </is>
      </c>
      <c r="B237" s="7" t="inlineStr">
        <is>
          <t>IQ_FY-9</t>
        </is>
      </c>
      <c r="C237" s="8">
        <f>_xll.ciqfunctions.udf.CIQ($B$1,"IQ_TOTAL_EQUITY","IQ_FY-9")</f>
        <v/>
      </c>
      <c r="D237" s="9">
        <f>C237</f>
        <v/>
      </c>
      <c r="E237" s="7" t="inlineStr">
        <is>
          <t>Total Stockholders' Equity</t>
        </is>
      </c>
    </row>
    <row r="238">
      <c r="A238" s="7" t="inlineStr">
        <is>
          <t>bv_equity</t>
        </is>
      </c>
      <c r="B238" s="7" t="inlineStr">
        <is>
          <t>IQ_FY-10</t>
        </is>
      </c>
      <c r="C238" s="8">
        <f>_xll.ciqfunctions.udf.CIQ($B$1,"IQ_TOTAL_EQUITY","IQ_FY-10")</f>
        <v/>
      </c>
      <c r="D238" s="9">
        <f>C238</f>
        <v/>
      </c>
      <c r="E238" s="7" t="inlineStr">
        <is>
          <t>Total Stockholders' Equity</t>
        </is>
      </c>
    </row>
    <row r="239">
      <c r="A239" s="7" t="inlineStr">
        <is>
          <t>bv_debt</t>
        </is>
      </c>
      <c r="B239" s="7" t="inlineStr">
        <is>
          <t>IQ_FY-0</t>
        </is>
      </c>
      <c r="C239" s="8">
        <f>_xll.ciqfunctions.udf.CIQ($B$1,"IQ_TOTAL_DEBT","IQ_FY-0")</f>
        <v/>
      </c>
      <c r="D239" s="9">
        <f>C239</f>
        <v/>
      </c>
      <c r="E239" s="7" t="inlineStr">
        <is>
          <t>Total Debt</t>
        </is>
      </c>
    </row>
    <row r="240">
      <c r="A240" s="7" t="inlineStr">
        <is>
          <t>bv_debt</t>
        </is>
      </c>
      <c r="B240" s="7" t="inlineStr">
        <is>
          <t>IQ_FY-1</t>
        </is>
      </c>
      <c r="C240" s="8">
        <f>_xll.ciqfunctions.udf.CIQ($B$1,"IQ_TOTAL_DEBT","IQ_FY-1")</f>
        <v/>
      </c>
      <c r="D240" s="9">
        <f>C240</f>
        <v/>
      </c>
      <c r="E240" s="7" t="inlineStr">
        <is>
          <t>Total Debt</t>
        </is>
      </c>
    </row>
    <row r="241">
      <c r="A241" s="7" t="inlineStr">
        <is>
          <t>bv_debt</t>
        </is>
      </c>
      <c r="B241" s="7" t="inlineStr">
        <is>
          <t>IQ_FY-2</t>
        </is>
      </c>
      <c r="C241" s="8">
        <f>_xll.ciqfunctions.udf.CIQ($B$1,"IQ_TOTAL_DEBT","IQ_FY-2")</f>
        <v/>
      </c>
      <c r="D241" s="9">
        <f>C241</f>
        <v/>
      </c>
      <c r="E241" s="7" t="inlineStr">
        <is>
          <t>Total Debt</t>
        </is>
      </c>
    </row>
    <row r="242">
      <c r="A242" s="7" t="inlineStr">
        <is>
          <t>bv_debt</t>
        </is>
      </c>
      <c r="B242" s="7" t="inlineStr">
        <is>
          <t>IQ_FY-3</t>
        </is>
      </c>
      <c r="C242" s="8">
        <f>_xll.ciqfunctions.udf.CIQ($B$1,"IQ_TOTAL_DEBT","IQ_FY-3")</f>
        <v/>
      </c>
      <c r="D242" s="9">
        <f>C242</f>
        <v/>
      </c>
      <c r="E242" s="7" t="inlineStr">
        <is>
          <t>Total Debt</t>
        </is>
      </c>
    </row>
    <row r="243">
      <c r="A243" s="7" t="inlineStr">
        <is>
          <t>bv_debt</t>
        </is>
      </c>
      <c r="B243" s="7" t="inlineStr">
        <is>
          <t>IQ_FY-4</t>
        </is>
      </c>
      <c r="C243" s="8">
        <f>_xll.ciqfunctions.udf.CIQ($B$1,"IQ_TOTAL_DEBT","IQ_FY-4")</f>
        <v/>
      </c>
      <c r="D243" s="9">
        <f>C243</f>
        <v/>
      </c>
      <c r="E243" s="7" t="inlineStr">
        <is>
          <t>Total Debt</t>
        </is>
      </c>
    </row>
    <row r="244">
      <c r="A244" s="7" t="inlineStr">
        <is>
          <t>bv_debt</t>
        </is>
      </c>
      <c r="B244" s="7" t="inlineStr">
        <is>
          <t>IQ_FY-5</t>
        </is>
      </c>
      <c r="C244" s="8">
        <f>_xll.ciqfunctions.udf.CIQ($B$1,"IQ_TOTAL_DEBT","IQ_FY-5")</f>
        <v/>
      </c>
      <c r="D244" s="9">
        <f>C244</f>
        <v/>
      </c>
      <c r="E244" s="7" t="inlineStr">
        <is>
          <t>Total Debt</t>
        </is>
      </c>
    </row>
    <row r="245">
      <c r="A245" s="7" t="inlineStr">
        <is>
          <t>bv_debt</t>
        </is>
      </c>
      <c r="B245" s="7" t="inlineStr">
        <is>
          <t>IQ_FY-6</t>
        </is>
      </c>
      <c r="C245" s="8">
        <f>_xll.ciqfunctions.udf.CIQ($B$1,"IQ_TOTAL_DEBT","IQ_FY-6")</f>
        <v/>
      </c>
      <c r="D245" s="9">
        <f>C245</f>
        <v/>
      </c>
      <c r="E245" s="7" t="inlineStr">
        <is>
          <t>Total Debt</t>
        </is>
      </c>
    </row>
    <row r="246">
      <c r="A246" s="7" t="inlineStr">
        <is>
          <t>bv_debt</t>
        </is>
      </c>
      <c r="B246" s="7" t="inlineStr">
        <is>
          <t>IQ_FY-7</t>
        </is>
      </c>
      <c r="C246" s="8">
        <f>_xll.ciqfunctions.udf.CIQ($B$1,"IQ_TOTAL_DEBT","IQ_FY-7")</f>
        <v/>
      </c>
      <c r="D246" s="9">
        <f>C246</f>
        <v/>
      </c>
      <c r="E246" s="7" t="inlineStr">
        <is>
          <t>Total Debt</t>
        </is>
      </c>
    </row>
    <row r="247">
      <c r="A247" s="7" t="inlineStr">
        <is>
          <t>bv_debt</t>
        </is>
      </c>
      <c r="B247" s="7" t="inlineStr">
        <is>
          <t>IQ_FY-8</t>
        </is>
      </c>
      <c r="C247" s="8">
        <f>_xll.ciqfunctions.udf.CIQ($B$1,"IQ_TOTAL_DEBT","IQ_FY-8")</f>
        <v/>
      </c>
      <c r="D247" s="9">
        <f>C247</f>
        <v/>
      </c>
      <c r="E247" s="7" t="inlineStr">
        <is>
          <t>Total Debt</t>
        </is>
      </c>
    </row>
    <row r="248">
      <c r="A248" s="7" t="inlineStr">
        <is>
          <t>bv_debt</t>
        </is>
      </c>
      <c r="B248" s="7" t="inlineStr">
        <is>
          <t>IQ_FY-9</t>
        </is>
      </c>
      <c r="C248" s="8">
        <f>_xll.ciqfunctions.udf.CIQ($B$1,"IQ_TOTAL_DEBT","IQ_FY-9")</f>
        <v/>
      </c>
      <c r="D248" s="9">
        <f>C248</f>
        <v/>
      </c>
      <c r="E248" s="7" t="inlineStr">
        <is>
          <t>Total Debt</t>
        </is>
      </c>
    </row>
    <row r="249">
      <c r="A249" s="7" t="inlineStr">
        <is>
          <t>bv_debt</t>
        </is>
      </c>
      <c r="B249" s="7" t="inlineStr">
        <is>
          <t>IQ_FY-10</t>
        </is>
      </c>
      <c r="C249" s="8">
        <f>_xll.ciqfunctions.udf.CIQ($B$1,"IQ_TOTAL_DEBT","IQ_FY-10")</f>
        <v/>
      </c>
      <c r="D249" s="9">
        <f>C249</f>
        <v/>
      </c>
      <c r="E249" s="7" t="inlineStr">
        <is>
          <t>Total Debt</t>
        </is>
      </c>
    </row>
    <row r="250">
      <c r="A250" s="7" t="inlineStr">
        <is>
          <t>shares_outstanding</t>
        </is>
      </c>
      <c r="B250" s="7" t="inlineStr">
        <is>
          <t>IQ_FY-0</t>
        </is>
      </c>
      <c r="C250" s="8">
        <f>_xll.ciqfunctions.udf.CIQ($B$1,"IQ_TOTAL_OUTSTANDING_FILING_DATE","IQ_FY-0")</f>
        <v/>
      </c>
      <c r="D250" s="9">
        <f>C250</f>
        <v/>
      </c>
      <c r="E250" s="7" t="inlineStr">
        <is>
          <t>Total Shares Outstanding (Filing Date)</t>
        </is>
      </c>
    </row>
    <row r="251">
      <c r="A251" s="7" t="inlineStr">
        <is>
          <t>shares_outstanding</t>
        </is>
      </c>
      <c r="B251" s="7" t="inlineStr">
        <is>
          <t>IQ_FY-1</t>
        </is>
      </c>
      <c r="C251" s="8">
        <f>_xll.ciqfunctions.udf.CIQ($B$1,"IQ_TOTAL_OUTSTANDING_FILING_DATE","IQ_FY-1")</f>
        <v/>
      </c>
      <c r="D251" s="9">
        <f>C251</f>
        <v/>
      </c>
      <c r="E251" s="7" t="inlineStr">
        <is>
          <t>Total Shares Outstanding (Filing Date)</t>
        </is>
      </c>
    </row>
    <row r="252">
      <c r="A252" s="7" t="inlineStr">
        <is>
          <t>shares_outstanding</t>
        </is>
      </c>
      <c r="B252" s="7" t="inlineStr">
        <is>
          <t>IQ_FY-2</t>
        </is>
      </c>
      <c r="C252" s="8">
        <f>_xll.ciqfunctions.udf.CIQ($B$1,"IQ_TOTAL_OUTSTANDING_FILING_DATE","IQ_FY-2")</f>
        <v/>
      </c>
      <c r="D252" s="9">
        <f>C252</f>
        <v/>
      </c>
      <c r="E252" s="7" t="inlineStr">
        <is>
          <t>Total Shares Outstanding (Filing Date)</t>
        </is>
      </c>
    </row>
    <row r="253">
      <c r="A253" s="7" t="inlineStr">
        <is>
          <t>shares_outstanding</t>
        </is>
      </c>
      <c r="B253" s="7" t="inlineStr">
        <is>
          <t>IQ_FY-3</t>
        </is>
      </c>
      <c r="C253" s="8">
        <f>_xll.ciqfunctions.udf.CIQ($B$1,"IQ_TOTAL_OUTSTANDING_FILING_DATE","IQ_FY-3")</f>
        <v/>
      </c>
      <c r="D253" s="9">
        <f>C253</f>
        <v/>
      </c>
      <c r="E253" s="7" t="inlineStr">
        <is>
          <t>Total Shares Outstanding (Filing Date)</t>
        </is>
      </c>
    </row>
    <row r="254">
      <c r="A254" s="7" t="inlineStr">
        <is>
          <t>shares_outstanding</t>
        </is>
      </c>
      <c r="B254" s="7" t="inlineStr">
        <is>
          <t>IQ_FY-4</t>
        </is>
      </c>
      <c r="C254" s="8">
        <f>_xll.ciqfunctions.udf.CIQ($B$1,"IQ_TOTAL_OUTSTANDING_FILING_DATE","IQ_FY-4")</f>
        <v/>
      </c>
      <c r="D254" s="9">
        <f>C254</f>
        <v/>
      </c>
      <c r="E254" s="7" t="inlineStr">
        <is>
          <t>Total Shares Outstanding (Filing Date)</t>
        </is>
      </c>
    </row>
    <row r="255">
      <c r="A255" s="7" t="inlineStr">
        <is>
          <t>shares_outstanding</t>
        </is>
      </c>
      <c r="B255" s="7" t="inlineStr">
        <is>
          <t>IQ_FY-5</t>
        </is>
      </c>
      <c r="C255" s="8">
        <f>_xll.ciqfunctions.udf.CIQ($B$1,"IQ_TOTAL_OUTSTANDING_FILING_DATE","IQ_FY-5")</f>
        <v/>
      </c>
      <c r="D255" s="9">
        <f>C255</f>
        <v/>
      </c>
      <c r="E255" s="7" t="inlineStr">
        <is>
          <t>Total Shares Outstanding (Filing Date)</t>
        </is>
      </c>
    </row>
    <row r="256">
      <c r="A256" s="7" t="inlineStr">
        <is>
          <t>shares_outstanding</t>
        </is>
      </c>
      <c r="B256" s="7" t="inlineStr">
        <is>
          <t>IQ_FY-6</t>
        </is>
      </c>
      <c r="C256" s="8">
        <f>_xll.ciqfunctions.udf.CIQ($B$1,"IQ_TOTAL_OUTSTANDING_FILING_DATE","IQ_FY-6")</f>
        <v/>
      </c>
      <c r="D256" s="9">
        <f>C256</f>
        <v/>
      </c>
      <c r="E256" s="7" t="inlineStr">
        <is>
          <t>Total Shares Outstanding (Filing Date)</t>
        </is>
      </c>
    </row>
    <row r="257">
      <c r="A257" s="7" t="inlineStr">
        <is>
          <t>shares_outstanding</t>
        </is>
      </c>
      <c r="B257" s="7" t="inlineStr">
        <is>
          <t>IQ_FY-7</t>
        </is>
      </c>
      <c r="C257" s="8">
        <f>_xll.ciqfunctions.udf.CIQ($B$1,"IQ_TOTAL_OUTSTANDING_FILING_DATE","IQ_FY-7")</f>
        <v/>
      </c>
      <c r="D257" s="9">
        <f>C257</f>
        <v/>
      </c>
      <c r="E257" s="7" t="inlineStr">
        <is>
          <t>Total Shares Outstanding (Filing Date)</t>
        </is>
      </c>
    </row>
    <row r="258">
      <c r="A258" s="7" t="inlineStr">
        <is>
          <t>shares_outstanding</t>
        </is>
      </c>
      <c r="B258" s="7" t="inlineStr">
        <is>
          <t>IQ_FY-8</t>
        </is>
      </c>
      <c r="C258" s="8">
        <f>_xll.ciqfunctions.udf.CIQ($B$1,"IQ_TOTAL_OUTSTANDING_FILING_DATE","IQ_FY-8")</f>
        <v/>
      </c>
      <c r="D258" s="9">
        <f>C258</f>
        <v/>
      </c>
      <c r="E258" s="7" t="inlineStr">
        <is>
          <t>Total Shares Outstanding (Filing Date)</t>
        </is>
      </c>
    </row>
    <row r="259">
      <c r="A259" s="7" t="inlineStr">
        <is>
          <t>shares_outstanding</t>
        </is>
      </c>
      <c r="B259" s="7" t="inlineStr">
        <is>
          <t>IQ_FY-9</t>
        </is>
      </c>
      <c r="C259" s="8">
        <f>_xll.ciqfunctions.udf.CIQ($B$1,"IQ_TOTAL_OUTSTANDING_FILING_DATE","IQ_FY-9")</f>
        <v/>
      </c>
      <c r="D259" s="9">
        <f>C259</f>
        <v/>
      </c>
      <c r="E259" s="7" t="inlineStr">
        <is>
          <t>Total Shares Outstanding (Filing Date)</t>
        </is>
      </c>
    </row>
    <row r="260">
      <c r="A260" s="7" t="inlineStr">
        <is>
          <t>shares_outstanding</t>
        </is>
      </c>
      <c r="B260" s="7" t="inlineStr">
        <is>
          <t>IQ_FY-10</t>
        </is>
      </c>
      <c r="C260" s="8">
        <f>_xll.ciqfunctions.udf.CIQ($B$1,"IQ_TOTAL_OUTSTANDING_FILING_DATE","IQ_FY-10")</f>
        <v/>
      </c>
      <c r="D260" s="9">
        <f>C260</f>
        <v/>
      </c>
      <c r="E260" s="7" t="inlineStr">
        <is>
          <t>Total Shares Outstanding (Filing Date)</t>
        </is>
      </c>
    </row>
    <row r="261">
      <c r="A261" s="7" t="inlineStr">
        <is>
          <t>cross_holdings</t>
        </is>
      </c>
      <c r="B261" s="7" t="inlineStr">
        <is>
          <t>IQ_FY-0</t>
        </is>
      </c>
      <c r="C261" s="8">
        <f>_xll.ciqfunctions.udf.CIQ($B$1,"IQ_LT_INVEST","IQ_FY-0")</f>
        <v/>
      </c>
      <c r="D261" s="9">
        <f>C261</f>
        <v/>
      </c>
      <c r="E261" s="7" t="inlineStr">
        <is>
          <t>Long-term Investments (Cross Holdings)</t>
        </is>
      </c>
    </row>
    <row r="262">
      <c r="A262" s="7" t="inlineStr">
        <is>
          <t>cross_holdings</t>
        </is>
      </c>
      <c r="B262" s="7" t="inlineStr">
        <is>
          <t>IQ_FY-1</t>
        </is>
      </c>
      <c r="C262" s="8">
        <f>_xll.ciqfunctions.udf.CIQ($B$1,"IQ_LT_INVEST","IQ_FY-1")</f>
        <v/>
      </c>
      <c r="D262" s="9">
        <f>C262</f>
        <v/>
      </c>
      <c r="E262" s="7" t="inlineStr">
        <is>
          <t>Long-term Investments (Cross Holdings)</t>
        </is>
      </c>
    </row>
    <row r="263">
      <c r="A263" s="7" t="inlineStr">
        <is>
          <t>cross_holdings</t>
        </is>
      </c>
      <c r="B263" s="7" t="inlineStr">
        <is>
          <t>IQ_FY-2</t>
        </is>
      </c>
      <c r="C263" s="8">
        <f>_xll.ciqfunctions.udf.CIQ($B$1,"IQ_LT_INVEST","IQ_FY-2")</f>
        <v/>
      </c>
      <c r="D263" s="9">
        <f>C263</f>
        <v/>
      </c>
      <c r="E263" s="7" t="inlineStr">
        <is>
          <t>Long-term Investments (Cross Holdings)</t>
        </is>
      </c>
    </row>
    <row r="264">
      <c r="A264" s="7" t="inlineStr">
        <is>
          <t>cross_holdings</t>
        </is>
      </c>
      <c r="B264" s="7" t="inlineStr">
        <is>
          <t>IQ_FY-3</t>
        </is>
      </c>
      <c r="C264" s="8">
        <f>_xll.ciqfunctions.udf.CIQ($B$1,"IQ_LT_INVEST","IQ_FY-3")</f>
        <v/>
      </c>
      <c r="D264" s="9">
        <f>C264</f>
        <v/>
      </c>
      <c r="E264" s="7" t="inlineStr">
        <is>
          <t>Long-term Investments (Cross Holdings)</t>
        </is>
      </c>
    </row>
    <row r="265">
      <c r="A265" s="7" t="inlineStr">
        <is>
          <t>cross_holdings</t>
        </is>
      </c>
      <c r="B265" s="7" t="inlineStr">
        <is>
          <t>IQ_FY-4</t>
        </is>
      </c>
      <c r="C265" s="8">
        <f>_xll.ciqfunctions.udf.CIQ($B$1,"IQ_LT_INVEST","IQ_FY-4")</f>
        <v/>
      </c>
      <c r="D265" s="9">
        <f>C265</f>
        <v/>
      </c>
      <c r="E265" s="7" t="inlineStr">
        <is>
          <t>Long-term Investments (Cross Holdings)</t>
        </is>
      </c>
    </row>
    <row r="266">
      <c r="A266" s="7" t="inlineStr">
        <is>
          <t>cross_holdings</t>
        </is>
      </c>
      <c r="B266" s="7" t="inlineStr">
        <is>
          <t>IQ_FY-5</t>
        </is>
      </c>
      <c r="C266" s="8">
        <f>_xll.ciqfunctions.udf.CIQ($B$1,"IQ_LT_INVEST","IQ_FY-5")</f>
        <v/>
      </c>
      <c r="D266" s="9">
        <f>C266</f>
        <v/>
      </c>
      <c r="E266" s="7" t="inlineStr">
        <is>
          <t>Long-term Investments (Cross Holdings)</t>
        </is>
      </c>
    </row>
    <row r="267">
      <c r="A267" s="7" t="inlineStr">
        <is>
          <t>cross_holdings</t>
        </is>
      </c>
      <c r="B267" s="7" t="inlineStr">
        <is>
          <t>IQ_FY-6</t>
        </is>
      </c>
      <c r="C267" s="8">
        <f>_xll.ciqfunctions.udf.CIQ($B$1,"IQ_LT_INVEST","IQ_FY-6")</f>
        <v/>
      </c>
      <c r="D267" s="9">
        <f>C267</f>
        <v/>
      </c>
      <c r="E267" s="7" t="inlineStr">
        <is>
          <t>Long-term Investments (Cross Holdings)</t>
        </is>
      </c>
    </row>
    <row r="268">
      <c r="A268" s="7" t="inlineStr">
        <is>
          <t>cross_holdings</t>
        </is>
      </c>
      <c r="B268" s="7" t="inlineStr">
        <is>
          <t>IQ_FY-7</t>
        </is>
      </c>
      <c r="C268" s="8">
        <f>_xll.ciqfunctions.udf.CIQ($B$1,"IQ_LT_INVEST","IQ_FY-7")</f>
        <v/>
      </c>
      <c r="D268" s="9">
        <f>C268</f>
        <v/>
      </c>
      <c r="E268" s="7" t="inlineStr">
        <is>
          <t>Long-term Investments (Cross Holdings)</t>
        </is>
      </c>
    </row>
    <row r="269">
      <c r="A269" s="7" t="inlineStr">
        <is>
          <t>cross_holdings</t>
        </is>
      </c>
      <c r="B269" s="7" t="inlineStr">
        <is>
          <t>IQ_FY-8</t>
        </is>
      </c>
      <c r="C269" s="8">
        <f>_xll.ciqfunctions.udf.CIQ($B$1,"IQ_LT_INVEST","IQ_FY-8")</f>
        <v/>
      </c>
      <c r="D269" s="9">
        <f>C269</f>
        <v/>
      </c>
      <c r="E269" s="7" t="inlineStr">
        <is>
          <t>Long-term Investments (Cross Holdings)</t>
        </is>
      </c>
    </row>
    <row r="270">
      <c r="A270" s="7" t="inlineStr">
        <is>
          <t>cross_holdings</t>
        </is>
      </c>
      <c r="B270" s="7" t="inlineStr">
        <is>
          <t>IQ_FY-9</t>
        </is>
      </c>
      <c r="C270" s="8">
        <f>_xll.ciqfunctions.udf.CIQ($B$1,"IQ_LT_INVEST","IQ_FY-9")</f>
        <v/>
      </c>
      <c r="D270" s="9">
        <f>C270</f>
        <v/>
      </c>
      <c r="E270" s="7" t="inlineStr">
        <is>
          <t>Long-term Investments (Cross Holdings)</t>
        </is>
      </c>
    </row>
    <row r="271">
      <c r="A271" s="7" t="inlineStr">
        <is>
          <t>cross_holdings</t>
        </is>
      </c>
      <c r="B271" s="7" t="inlineStr">
        <is>
          <t>IQ_FY-10</t>
        </is>
      </c>
      <c r="C271" s="8">
        <f>_xll.ciqfunctions.udf.CIQ($B$1,"IQ_LT_INVEST","IQ_FY-10")</f>
        <v/>
      </c>
      <c r="D271" s="9">
        <f>C271</f>
        <v/>
      </c>
      <c r="E271" s="7" t="inlineStr">
        <is>
          <t>Long-term Investments (Cross Holdings)</t>
        </is>
      </c>
    </row>
    <row r="272">
      <c r="A272" s="7" t="inlineStr">
        <is>
          <t>minority_interests</t>
        </is>
      </c>
      <c r="B272" s="7" t="inlineStr">
        <is>
          <t>IQ_FY-0</t>
        </is>
      </c>
      <c r="C272" s="8">
        <f>_xll.ciqfunctions.udf.CIQ($B$1,"IQ_MINORITY_INTEREST","IQ_FY-0")</f>
        <v/>
      </c>
      <c r="D272" s="9">
        <f>C272</f>
        <v/>
      </c>
      <c r="E272" s="7" t="inlineStr">
        <is>
          <t>Minority Interests</t>
        </is>
      </c>
    </row>
    <row r="273">
      <c r="A273" s="7" t="inlineStr">
        <is>
          <t>minority_interests</t>
        </is>
      </c>
      <c r="B273" s="7" t="inlineStr">
        <is>
          <t>IQ_FY-1</t>
        </is>
      </c>
      <c r="C273" s="8">
        <f>_xll.ciqfunctions.udf.CIQ($B$1,"IQ_MINORITY_INTEREST","IQ_FY-1")</f>
        <v/>
      </c>
      <c r="D273" s="9">
        <f>C273</f>
        <v/>
      </c>
      <c r="E273" s="7" t="inlineStr">
        <is>
          <t>Minority Interests</t>
        </is>
      </c>
    </row>
    <row r="274">
      <c r="A274" s="7" t="inlineStr">
        <is>
          <t>minority_interests</t>
        </is>
      </c>
      <c r="B274" s="7" t="inlineStr">
        <is>
          <t>IQ_FY-2</t>
        </is>
      </c>
      <c r="C274" s="8">
        <f>_xll.ciqfunctions.udf.CIQ($B$1,"IQ_MINORITY_INTEREST","IQ_FY-2")</f>
        <v/>
      </c>
      <c r="D274" s="9">
        <f>C274</f>
        <v/>
      </c>
      <c r="E274" s="7" t="inlineStr">
        <is>
          <t>Minority Interests</t>
        </is>
      </c>
    </row>
    <row r="275">
      <c r="A275" s="7" t="inlineStr">
        <is>
          <t>minority_interests</t>
        </is>
      </c>
      <c r="B275" s="7" t="inlineStr">
        <is>
          <t>IQ_FY-3</t>
        </is>
      </c>
      <c r="C275" s="8">
        <f>_xll.ciqfunctions.udf.CIQ($B$1,"IQ_MINORITY_INTEREST","IQ_FY-3")</f>
        <v/>
      </c>
      <c r="D275" s="9">
        <f>C275</f>
        <v/>
      </c>
      <c r="E275" s="7" t="inlineStr">
        <is>
          <t>Minority Interests</t>
        </is>
      </c>
    </row>
    <row r="276">
      <c r="A276" s="7" t="inlineStr">
        <is>
          <t>minority_interests</t>
        </is>
      </c>
      <c r="B276" s="7" t="inlineStr">
        <is>
          <t>IQ_FY-4</t>
        </is>
      </c>
      <c r="C276" s="8">
        <f>_xll.ciqfunctions.udf.CIQ($B$1,"IQ_MINORITY_INTEREST","IQ_FY-4")</f>
        <v/>
      </c>
      <c r="D276" s="9">
        <f>C276</f>
        <v/>
      </c>
      <c r="E276" s="7" t="inlineStr">
        <is>
          <t>Minority Interests</t>
        </is>
      </c>
    </row>
    <row r="277">
      <c r="A277" s="7" t="inlineStr">
        <is>
          <t>minority_interests</t>
        </is>
      </c>
      <c r="B277" s="7" t="inlineStr">
        <is>
          <t>IQ_FY-5</t>
        </is>
      </c>
      <c r="C277" s="8">
        <f>_xll.ciqfunctions.udf.CIQ($B$1,"IQ_MINORITY_INTEREST","IQ_FY-5")</f>
        <v/>
      </c>
      <c r="D277" s="9">
        <f>C277</f>
        <v/>
      </c>
      <c r="E277" s="7" t="inlineStr">
        <is>
          <t>Minority Interests</t>
        </is>
      </c>
    </row>
    <row r="278">
      <c r="A278" s="7" t="inlineStr">
        <is>
          <t>minority_interests</t>
        </is>
      </c>
      <c r="B278" s="7" t="inlineStr">
        <is>
          <t>IQ_FY-6</t>
        </is>
      </c>
      <c r="C278" s="8">
        <f>_xll.ciqfunctions.udf.CIQ($B$1,"IQ_MINORITY_INTEREST","IQ_FY-6")</f>
        <v/>
      </c>
      <c r="D278" s="9">
        <f>C278</f>
        <v/>
      </c>
      <c r="E278" s="7" t="inlineStr">
        <is>
          <t>Minority Interests</t>
        </is>
      </c>
    </row>
    <row r="279">
      <c r="A279" s="7" t="inlineStr">
        <is>
          <t>minority_interests</t>
        </is>
      </c>
      <c r="B279" s="7" t="inlineStr">
        <is>
          <t>IQ_FY-7</t>
        </is>
      </c>
      <c r="C279" s="8">
        <f>_xll.ciqfunctions.udf.CIQ($B$1,"IQ_MINORITY_INTEREST","IQ_FY-7")</f>
        <v/>
      </c>
      <c r="D279" s="9">
        <f>C279</f>
        <v/>
      </c>
      <c r="E279" s="7" t="inlineStr">
        <is>
          <t>Minority Interests</t>
        </is>
      </c>
    </row>
    <row r="280">
      <c r="A280" s="7" t="inlineStr">
        <is>
          <t>minority_interests</t>
        </is>
      </c>
      <c r="B280" s="7" t="inlineStr">
        <is>
          <t>IQ_FY-8</t>
        </is>
      </c>
      <c r="C280" s="8">
        <f>_xll.ciqfunctions.udf.CIQ($B$1,"IQ_MINORITY_INTEREST","IQ_FY-8")</f>
        <v/>
      </c>
      <c r="D280" s="9">
        <f>C280</f>
        <v/>
      </c>
      <c r="E280" s="7" t="inlineStr">
        <is>
          <t>Minority Interests</t>
        </is>
      </c>
    </row>
    <row r="281">
      <c r="A281" s="7" t="inlineStr">
        <is>
          <t>minority_interests</t>
        </is>
      </c>
      <c r="B281" s="7" t="inlineStr">
        <is>
          <t>IQ_FY-9</t>
        </is>
      </c>
      <c r="C281" s="8">
        <f>_xll.ciqfunctions.udf.CIQ($B$1,"IQ_MINORITY_INTEREST","IQ_FY-9")</f>
        <v/>
      </c>
      <c r="D281" s="9">
        <f>C281</f>
        <v/>
      </c>
      <c r="E281" s="7" t="inlineStr">
        <is>
          <t>Minority Interests</t>
        </is>
      </c>
    </row>
    <row r="282">
      <c r="A282" s="7" t="inlineStr">
        <is>
          <t>minority_interests</t>
        </is>
      </c>
      <c r="B282" s="7" t="inlineStr">
        <is>
          <t>IQ_FY-10</t>
        </is>
      </c>
      <c r="C282" s="8">
        <f>_xll.ciqfunctions.udf.CIQ($B$1,"IQ_MINORITY_INTEREST","IQ_FY-10")</f>
        <v/>
      </c>
      <c r="D282" s="9">
        <f>C282</f>
        <v/>
      </c>
      <c r="E282" s="7" t="inlineStr">
        <is>
          <t>Minority Interests</t>
        </is>
      </c>
    </row>
    <row r="283">
      <c r="A283" s="6" t="inlineStr">
        <is>
          <t>BALANCE SHEET (Quarterly — latest 10-Q)</t>
        </is>
      </c>
    </row>
    <row r="284">
      <c r="A284" s="7" t="inlineStr">
        <is>
          <t>cash_and_marketable_securities</t>
        </is>
      </c>
      <c r="B284" s="7" t="inlineStr">
        <is>
          <t>IQ_FQ-0</t>
        </is>
      </c>
      <c r="C284" s="8">
        <f>_xll.ciqfunctions.udf.CIQ($B$1,"IQ_CASH_EQUIV","IQ_FQ-0")</f>
        <v/>
      </c>
      <c r="D284" s="9">
        <f>C284</f>
        <v/>
      </c>
      <c r="E284" s="7" t="inlineStr">
        <is>
          <t>Cash &amp; Equivalents (latest quarter)</t>
        </is>
      </c>
    </row>
    <row r="285">
      <c r="A285" s="7" t="inlineStr">
        <is>
          <t>bv_equity</t>
        </is>
      </c>
      <c r="B285" s="7" t="inlineStr">
        <is>
          <t>IQ_FQ-0</t>
        </is>
      </c>
      <c r="C285" s="8">
        <f>_xll.ciqfunctions.udf.CIQ($B$1,"IQ_TOTAL_EQUITY","IQ_FQ-0")</f>
        <v/>
      </c>
      <c r="D285" s="9">
        <f>C285</f>
        <v/>
      </c>
      <c r="E285" s="7" t="inlineStr">
        <is>
          <t>Total Stockholders' Equity (latest quarter)</t>
        </is>
      </c>
    </row>
    <row r="286">
      <c r="A286" s="7" t="inlineStr">
        <is>
          <t>bv_debt</t>
        </is>
      </c>
      <c r="B286" s="7" t="inlineStr">
        <is>
          <t>IQ_FQ-0</t>
        </is>
      </c>
      <c r="C286" s="8">
        <f>_xll.ciqfunctions.udf.CIQ($B$1,"IQ_TOTAL_DEBT","IQ_FQ-0")</f>
        <v/>
      </c>
      <c r="D286" s="9">
        <f>C286</f>
        <v/>
      </c>
      <c r="E286" s="7" t="inlineStr">
        <is>
          <t>Total Debt (latest quarter)</t>
        </is>
      </c>
    </row>
    <row r="287">
      <c r="A287" s="7" t="inlineStr">
        <is>
          <t>shares_outstanding</t>
        </is>
      </c>
      <c r="B287" s="7" t="inlineStr">
        <is>
          <t>IQ_FQ-0</t>
        </is>
      </c>
      <c r="C287" s="8">
        <f>_xll.ciqfunctions.udf.CIQ($B$1,"IQ_TOTAL_OUTSTANDING_FILING_DATE","IQ_FQ-0")</f>
        <v/>
      </c>
      <c r="D287" s="9">
        <f>C287</f>
        <v/>
      </c>
      <c r="E287" s="7" t="inlineStr">
        <is>
          <t>Total Shares Outstanding (Filing Date) (latest quarter)</t>
        </is>
      </c>
    </row>
    <row r="288">
      <c r="A288" s="7" t="inlineStr">
        <is>
          <t>cross_holdings</t>
        </is>
      </c>
      <c r="B288" s="7" t="inlineStr">
        <is>
          <t>IQ_FQ-0</t>
        </is>
      </c>
      <c r="C288" s="8">
        <f>_xll.ciqfunctions.udf.CIQ($B$1,"IQ_LT_INVEST","IQ_FQ-0")</f>
        <v/>
      </c>
      <c r="D288" s="9">
        <f>C288</f>
        <v/>
      </c>
      <c r="E288" s="7" t="inlineStr">
        <is>
          <t>Long-term Investments (Cross Holdings) (latest quarter)</t>
        </is>
      </c>
    </row>
    <row r="289">
      <c r="A289" s="7" t="inlineStr">
        <is>
          <t>minority_interests</t>
        </is>
      </c>
      <c r="B289" s="7" t="inlineStr">
        <is>
          <t>IQ_FQ-0</t>
        </is>
      </c>
      <c r="C289" s="8">
        <f>_xll.ciqfunctions.udf.CIQ($B$1,"IQ_MINORITY_INTEREST","IQ_FQ-0")</f>
        <v/>
      </c>
      <c r="D289" s="9">
        <f>C289</f>
        <v/>
      </c>
      <c r="E289" s="7" t="inlineStr">
        <is>
          <t>Minority Interests (latest quarter)</t>
        </is>
      </c>
    </row>
    <row r="290">
      <c r="A290" s="6" t="inlineStr">
        <is>
          <t>MARKET DATA (Current)</t>
        </is>
      </c>
    </row>
    <row r="291">
      <c r="A291" s="7" t="inlineStr">
        <is>
          <t>stock_price</t>
        </is>
      </c>
      <c r="B291" s="7" t="inlineStr">
        <is>
          <t>current</t>
        </is>
      </c>
      <c r="C291" s="8">
        <f>_xll.ciqfunctions.udf.CIQ($B$1,"IQ_CLOSEPRICE")</f>
        <v/>
      </c>
      <c r="D291" s="9">
        <f>C291</f>
        <v/>
      </c>
      <c r="E291" s="7" t="inlineStr">
        <is>
          <t>Closing Stock Price</t>
        </is>
      </c>
    </row>
    <row r="292">
      <c r="A292" s="7" t="inlineStr">
        <is>
          <t>mv_equity</t>
        </is>
      </c>
      <c r="B292" s="7" t="inlineStr">
        <is>
          <t>current</t>
        </is>
      </c>
      <c r="C292" s="8">
        <f>_xll.ciqfunctions.udf.CIQ($B$1,"IQ_MARKETCAP")</f>
        <v/>
      </c>
      <c r="D292" s="9">
        <f>C292</f>
        <v/>
      </c>
      <c r="E292" s="7" t="inlineStr">
        <is>
          <t>Market Capitalization</t>
        </is>
      </c>
    </row>
    <row r="293">
      <c r="A293" s="7" t="inlineStr">
        <is>
          <t>reporting_currency</t>
        </is>
      </c>
      <c r="B293" s="7" t="inlineStr">
        <is>
          <t>current</t>
        </is>
      </c>
      <c r="C293" s="8">
        <f>_xll.ciqfunctions.udf.CIQ($B$1,"IQ_FILING_CURRENCY")</f>
        <v/>
      </c>
      <c r="D293" s="9">
        <f>C293</f>
        <v/>
      </c>
      <c r="E293" s="7" t="inlineStr">
        <is>
          <t>Filing/Reporting Currency</t>
        </is>
      </c>
    </row>
    <row r="294">
      <c r="A294" s="7" t="inlineStr">
        <is>
          <t>primary_exchange</t>
        </is>
      </c>
      <c r="B294" s="7" t="inlineStr">
        <is>
          <t>current</t>
        </is>
      </c>
      <c r="C294" s="8">
        <f>_xll.ciqfunctions.udf.CIQ($B$1,"IQ_EXCHANGE")</f>
        <v/>
      </c>
      <c r="D294" s="9">
        <f>C294</f>
        <v/>
      </c>
      <c r="E294" s="7" t="inlineStr">
        <is>
          <t>Primary Exchange Listing</t>
        </is>
      </c>
    </row>
    <row r="295">
      <c r="A295" s="7" t="inlineStr">
        <is>
          <t>effective_tax_rate_ciq</t>
        </is>
      </c>
      <c r="B295" s="7" t="inlineStr">
        <is>
          <t>IQ_FY</t>
        </is>
      </c>
      <c r="C295" s="8">
        <f>_xll.ciqfunctions.udf.CIQ($B$1,"IQ_EFFECT_TAX_RATE","IQ_FY")/100</f>
        <v/>
      </c>
      <c r="D295" s="9">
        <f>C295</f>
        <v/>
      </c>
      <c r="E295" s="7" t="inlineStr">
        <is>
          <t>Effective Tax Rate (CIQ, /100)</t>
        </is>
      </c>
    </row>
    <row r="296">
      <c r="A296" s="6" t="inlineStr">
        <is>
          <t>EMPLOYEE OPTIONS (Current)</t>
        </is>
      </c>
    </row>
    <row r="297">
      <c r="A297" s="7" t="inlineStr">
        <is>
          <t>options_outstanding</t>
        </is>
      </c>
      <c r="B297" s="7" t="inlineStr">
        <is>
          <t>current</t>
        </is>
      </c>
      <c r="C297" s="8">
        <f>_xll.ciqfunctions.udf.CIQ($B$1,"IQ_OPTIONS_END_OS")</f>
        <v/>
      </c>
      <c r="D297" s="9">
        <f>C297</f>
        <v/>
      </c>
      <c r="E297" s="7" t="inlineStr">
        <is>
          <t>Options Outstanding (End of Period)</t>
        </is>
      </c>
    </row>
    <row r="298">
      <c r="A298" s="7" t="inlineStr">
        <is>
          <t>options_avg_strike</t>
        </is>
      </c>
      <c r="B298" s="7" t="inlineStr">
        <is>
          <t>current</t>
        </is>
      </c>
      <c r="C298" s="8">
        <f>_xll.ciqfunctions.udf.CIQ($B$1,"IQ_OPTIONS_STRIKE_PRICE_OS")</f>
        <v/>
      </c>
      <c r="D298" s="9">
        <f>C298</f>
        <v/>
      </c>
      <c r="E298" s="7" t="inlineStr">
        <is>
          <t>Weighted Avg Strike Price (Outstanding)</t>
        </is>
      </c>
    </row>
    <row r="299">
      <c r="A299" s="7" t="inlineStr">
        <is>
          <t>options_avg_maturity</t>
        </is>
      </c>
      <c r="B299" s="7" t="inlineStr">
        <is>
          <t>current</t>
        </is>
      </c>
      <c r="C299" s="8">
        <f>_xll.ciqfunctions.udf.CIQ($B$1,"IQ_OPTIONS_AVG_LIFE")</f>
        <v/>
      </c>
      <c r="D299" s="9">
        <f>C299</f>
        <v/>
      </c>
      <c r="E299" s="7" t="inlineStr">
        <is>
          <t>Weighted Avg Remaining Life</t>
        </is>
      </c>
    </row>
    <row r="300">
      <c r="A300" s="6" t="inlineStr">
        <is>
          <t>OPERATING LEASE COMMITMENTS (Current)</t>
        </is>
      </c>
    </row>
    <row r="301">
      <c r="A301" s="7" t="inlineStr">
        <is>
          <t>lease_commitment_yr1</t>
        </is>
      </c>
      <c r="B301" s="7" t="inlineStr">
        <is>
          <t>current</t>
        </is>
      </c>
      <c r="C301" s="8">
        <f>_xll.ciqfunctions.udf.CIQ($B$1,"IQ_OL_COMM_CY")</f>
        <v/>
      </c>
      <c r="D301" s="9">
        <f>C301</f>
        <v/>
      </c>
      <c r="E301" s="7" t="inlineStr">
        <is>
          <t>Op Lease Commitment Year 1</t>
        </is>
      </c>
    </row>
    <row r="302">
      <c r="A302" s="7" t="inlineStr">
        <is>
          <t>lease_commitment_yr2</t>
        </is>
      </c>
      <c r="B302" s="7" t="inlineStr">
        <is>
          <t>current</t>
        </is>
      </c>
      <c r="C302" s="8">
        <f>_xll.ciqfunctions.udf.CIQ($B$1,"IQ_OL_COMM_CY1")</f>
        <v/>
      </c>
      <c r="D302" s="9">
        <f>C302</f>
        <v/>
      </c>
      <c r="E302" s="7" t="inlineStr">
        <is>
          <t>Op Lease Commitment Year 2</t>
        </is>
      </c>
    </row>
    <row r="303">
      <c r="A303" s="7" t="inlineStr">
        <is>
          <t>lease_commitment_yr3</t>
        </is>
      </c>
      <c r="B303" s="7" t="inlineStr">
        <is>
          <t>current</t>
        </is>
      </c>
      <c r="C303" s="8">
        <f>_xll.ciqfunctions.udf.CIQ($B$1,"IQ_OL_COMM_CY2")</f>
        <v/>
      </c>
      <c r="D303" s="9">
        <f>C303</f>
        <v/>
      </c>
      <c r="E303" s="7" t="inlineStr">
        <is>
          <t>Op Lease Commitment Year 3</t>
        </is>
      </c>
    </row>
    <row r="304">
      <c r="A304" s="7" t="inlineStr">
        <is>
          <t>lease_commitment_yr4</t>
        </is>
      </c>
      <c r="B304" s="7" t="inlineStr">
        <is>
          <t>current</t>
        </is>
      </c>
      <c r="C304" s="8">
        <f>_xll.ciqfunctions.udf.CIQ($B$1,"IQ_OL_COMM_CY3")</f>
        <v/>
      </c>
      <c r="D304" s="9">
        <f>C304</f>
        <v/>
      </c>
      <c r="E304" s="7" t="inlineStr">
        <is>
          <t>Op Lease Commitment Year 4</t>
        </is>
      </c>
    </row>
    <row r="305">
      <c r="A305" s="7" t="inlineStr">
        <is>
          <t>lease_commitment_yr5</t>
        </is>
      </c>
      <c r="B305" s="7" t="inlineStr">
        <is>
          <t>current</t>
        </is>
      </c>
      <c r="C305" s="8">
        <f>_xll.ciqfunctions.udf.CIQ($B$1,"IQ_OL_COMM_CY4")</f>
        <v/>
      </c>
      <c r="D305" s="9">
        <f>C305</f>
        <v/>
      </c>
      <c r="E305" s="7" t="inlineStr">
        <is>
          <t>Op Lease Commitment Year 5</t>
        </is>
      </c>
    </row>
    <row r="306">
      <c r="A306" s="7" t="inlineStr">
        <is>
          <t>lease_commitment_beyond</t>
        </is>
      </c>
      <c r="B306" s="7" t="inlineStr">
        <is>
          <t>current</t>
        </is>
      </c>
      <c r="C306" s="8">
        <f>_xll.ciqfunctions.udf.CIQ($B$1,"IQ_OL_COMM_NEXT_FIVE")</f>
        <v/>
      </c>
      <c r="D306" s="9">
        <f>C306</f>
        <v/>
      </c>
      <c r="E306" s="7" t="inlineStr">
        <is>
          <t>Op Lease Commitment Beyond Year 5</t>
        </is>
      </c>
    </row>
    <row r="307">
      <c r="A307" s="6" t="inlineStr">
        <is>
          <t>PERIOD DATES</t>
        </is>
      </c>
    </row>
    <row r="308">
      <c r="A308" s="7" t="inlineStr">
        <is>
          <t>period_date_annual</t>
        </is>
      </c>
      <c r="B308" s="7" t="inlineStr">
        <is>
          <t>IQ_FY-0</t>
        </is>
      </c>
      <c r="C308" s="8">
        <f>_xll.ciqfunctions.udf.CIQ($B$1,"IQ_PERIODDATE","IQ_FY-0")</f>
        <v/>
      </c>
      <c r="D308" s="9">
        <f>C308</f>
        <v/>
      </c>
      <c r="E308" s="7" t="inlineStr">
        <is>
          <t>Most recent 10-K period end date</t>
        </is>
      </c>
    </row>
    <row r="309">
      <c r="A309" s="7" t="inlineStr">
        <is>
          <t>period_date_quarterly</t>
        </is>
      </c>
      <c r="B309" s="7" t="inlineStr">
        <is>
          <t>IQ_FQ-0</t>
        </is>
      </c>
      <c r="C309" s="8">
        <f>_xll.ciqfunctions.udf.CIQ($B$1,"IQ_PERIODDATE","IQ_FQ-0")</f>
        <v/>
      </c>
      <c r="D309" s="9">
        <f>C309</f>
        <v/>
      </c>
      <c r="E309" s="7" t="inlineStr">
        <is>
          <t>Most recent 10-Q period end date</t>
        </is>
      </c>
    </row>
  </sheetData>
  <mergeCells count="8">
    <mergeCell ref="A300:E300"/>
    <mergeCell ref="A283:E283"/>
    <mergeCell ref="A216:E216"/>
    <mergeCell ref="A307:E307"/>
    <mergeCell ref="A5:E5"/>
    <mergeCell ref="A296:E296"/>
    <mergeCell ref="A127:E127"/>
    <mergeCell ref="A290:E2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variable</t>
        </is>
      </c>
      <c r="C1" t="inlineStr">
        <is>
          <t>period</t>
        </is>
      </c>
      <c r="D1" t="inlineStr">
        <is>
          <t>mnemonic</t>
        </is>
      </c>
    </row>
    <row r="2">
      <c r="A2" t="n">
        <v>6</v>
      </c>
      <c r="B2" t="inlineStr">
        <is>
          <t>revenues</t>
        </is>
      </c>
      <c r="C2" t="inlineStr">
        <is>
          <t>IQ_FY-0</t>
        </is>
      </c>
      <c r="D2" t="inlineStr">
        <is>
          <t>IQ_TOTAL_REV</t>
        </is>
      </c>
    </row>
    <row r="3">
      <c r="A3" t="n">
        <v>7</v>
      </c>
      <c r="B3" t="inlineStr">
        <is>
          <t>revenues</t>
        </is>
      </c>
      <c r="C3" t="inlineStr">
        <is>
          <t>IQ_FY-1</t>
        </is>
      </c>
      <c r="D3" t="inlineStr">
        <is>
          <t>IQ_TOTAL_REV</t>
        </is>
      </c>
    </row>
    <row r="4">
      <c r="A4" t="n">
        <v>8</v>
      </c>
      <c r="B4" t="inlineStr">
        <is>
          <t>revenues</t>
        </is>
      </c>
      <c r="C4" t="inlineStr">
        <is>
          <t>IQ_FY-2</t>
        </is>
      </c>
      <c r="D4" t="inlineStr">
        <is>
          <t>IQ_TOTAL_REV</t>
        </is>
      </c>
    </row>
    <row r="5">
      <c r="A5" t="n">
        <v>9</v>
      </c>
      <c r="B5" t="inlineStr">
        <is>
          <t>revenues</t>
        </is>
      </c>
      <c r="C5" t="inlineStr">
        <is>
          <t>IQ_FY-3</t>
        </is>
      </c>
      <c r="D5" t="inlineStr">
        <is>
          <t>IQ_TOTAL_REV</t>
        </is>
      </c>
    </row>
    <row r="6">
      <c r="A6" t="n">
        <v>10</v>
      </c>
      <c r="B6" t="inlineStr">
        <is>
          <t>revenues</t>
        </is>
      </c>
      <c r="C6" t="inlineStr">
        <is>
          <t>IQ_FY-4</t>
        </is>
      </c>
      <c r="D6" t="inlineStr">
        <is>
          <t>IQ_TOTAL_REV</t>
        </is>
      </c>
    </row>
    <row r="7">
      <c r="A7" t="n">
        <v>11</v>
      </c>
      <c r="B7" t="inlineStr">
        <is>
          <t>revenues</t>
        </is>
      </c>
      <c r="C7" t="inlineStr">
        <is>
          <t>IQ_FY-5</t>
        </is>
      </c>
      <c r="D7" t="inlineStr">
        <is>
          <t>IQ_TOTAL_REV</t>
        </is>
      </c>
    </row>
    <row r="8">
      <c r="A8" t="n">
        <v>12</v>
      </c>
      <c r="B8" t="inlineStr">
        <is>
          <t>revenues</t>
        </is>
      </c>
      <c r="C8" t="inlineStr">
        <is>
          <t>IQ_FY-6</t>
        </is>
      </c>
      <c r="D8" t="inlineStr">
        <is>
          <t>IQ_TOTAL_REV</t>
        </is>
      </c>
    </row>
    <row r="9">
      <c r="A9" t="n">
        <v>13</v>
      </c>
      <c r="B9" t="inlineStr">
        <is>
          <t>revenues</t>
        </is>
      </c>
      <c r="C9" t="inlineStr">
        <is>
          <t>IQ_FY-7</t>
        </is>
      </c>
      <c r="D9" t="inlineStr">
        <is>
          <t>IQ_TOTAL_REV</t>
        </is>
      </c>
    </row>
    <row r="10">
      <c r="A10" t="n">
        <v>14</v>
      </c>
      <c r="B10" t="inlineStr">
        <is>
          <t>revenues</t>
        </is>
      </c>
      <c r="C10" t="inlineStr">
        <is>
          <t>IQ_FY-8</t>
        </is>
      </c>
      <c r="D10" t="inlineStr">
        <is>
          <t>IQ_TOTAL_REV</t>
        </is>
      </c>
    </row>
    <row r="11">
      <c r="A11" t="n">
        <v>15</v>
      </c>
      <c r="B11" t="inlineStr">
        <is>
          <t>revenues</t>
        </is>
      </c>
      <c r="C11" t="inlineStr">
        <is>
          <t>IQ_FY-9</t>
        </is>
      </c>
      <c r="D11" t="inlineStr">
        <is>
          <t>IQ_TOTAL_REV</t>
        </is>
      </c>
    </row>
    <row r="12">
      <c r="A12" t="n">
        <v>16</v>
      </c>
      <c r="B12" t="inlineStr">
        <is>
          <t>revenues</t>
        </is>
      </c>
      <c r="C12" t="inlineStr">
        <is>
          <t>IQ_FY-10</t>
        </is>
      </c>
      <c r="D12" t="inlineStr">
        <is>
          <t>IQ_TOTAL_REV</t>
        </is>
      </c>
    </row>
    <row r="13">
      <c r="A13" t="n">
        <v>17</v>
      </c>
      <c r="B13" t="inlineStr">
        <is>
          <t>ebit</t>
        </is>
      </c>
      <c r="C13" t="inlineStr">
        <is>
          <t>IQ_FY-0</t>
        </is>
      </c>
      <c r="D13" t="inlineStr">
        <is>
          <t>IQ_EBIT</t>
        </is>
      </c>
    </row>
    <row r="14">
      <c r="A14" t="n">
        <v>18</v>
      </c>
      <c r="B14" t="inlineStr">
        <is>
          <t>ebit</t>
        </is>
      </c>
      <c r="C14" t="inlineStr">
        <is>
          <t>IQ_FY-1</t>
        </is>
      </c>
      <c r="D14" t="inlineStr">
        <is>
          <t>IQ_EBIT</t>
        </is>
      </c>
    </row>
    <row r="15">
      <c r="A15" t="n">
        <v>19</v>
      </c>
      <c r="B15" t="inlineStr">
        <is>
          <t>ebit</t>
        </is>
      </c>
      <c r="C15" t="inlineStr">
        <is>
          <t>IQ_FY-2</t>
        </is>
      </c>
      <c r="D15" t="inlineStr">
        <is>
          <t>IQ_EBIT</t>
        </is>
      </c>
    </row>
    <row r="16">
      <c r="A16" t="n">
        <v>20</v>
      </c>
      <c r="B16" t="inlineStr">
        <is>
          <t>ebit</t>
        </is>
      </c>
      <c r="C16" t="inlineStr">
        <is>
          <t>IQ_FY-3</t>
        </is>
      </c>
      <c r="D16" t="inlineStr">
        <is>
          <t>IQ_EBIT</t>
        </is>
      </c>
    </row>
    <row r="17">
      <c r="A17" t="n">
        <v>21</v>
      </c>
      <c r="B17" t="inlineStr">
        <is>
          <t>ebit</t>
        </is>
      </c>
      <c r="C17" t="inlineStr">
        <is>
          <t>IQ_FY-4</t>
        </is>
      </c>
      <c r="D17" t="inlineStr">
        <is>
          <t>IQ_EBIT</t>
        </is>
      </c>
    </row>
    <row r="18">
      <c r="A18" t="n">
        <v>22</v>
      </c>
      <c r="B18" t="inlineStr">
        <is>
          <t>ebit</t>
        </is>
      </c>
      <c r="C18" t="inlineStr">
        <is>
          <t>IQ_FY-5</t>
        </is>
      </c>
      <c r="D18" t="inlineStr">
        <is>
          <t>IQ_EBIT</t>
        </is>
      </c>
    </row>
    <row r="19">
      <c r="A19" t="n">
        <v>23</v>
      </c>
      <c r="B19" t="inlineStr">
        <is>
          <t>ebit</t>
        </is>
      </c>
      <c r="C19" t="inlineStr">
        <is>
          <t>IQ_FY-6</t>
        </is>
      </c>
      <c r="D19" t="inlineStr">
        <is>
          <t>IQ_EBIT</t>
        </is>
      </c>
    </row>
    <row r="20">
      <c r="A20" t="n">
        <v>24</v>
      </c>
      <c r="B20" t="inlineStr">
        <is>
          <t>ebit</t>
        </is>
      </c>
      <c r="C20" t="inlineStr">
        <is>
          <t>IQ_FY-7</t>
        </is>
      </c>
      <c r="D20" t="inlineStr">
        <is>
          <t>IQ_EBIT</t>
        </is>
      </c>
    </row>
    <row r="21">
      <c r="A21" t="n">
        <v>25</v>
      </c>
      <c r="B21" t="inlineStr">
        <is>
          <t>ebit</t>
        </is>
      </c>
      <c r="C21" t="inlineStr">
        <is>
          <t>IQ_FY-8</t>
        </is>
      </c>
      <c r="D21" t="inlineStr">
        <is>
          <t>IQ_EBIT</t>
        </is>
      </c>
    </row>
    <row r="22">
      <c r="A22" t="n">
        <v>26</v>
      </c>
      <c r="B22" t="inlineStr">
        <is>
          <t>ebit</t>
        </is>
      </c>
      <c r="C22" t="inlineStr">
        <is>
          <t>IQ_FY-9</t>
        </is>
      </c>
      <c r="D22" t="inlineStr">
        <is>
          <t>IQ_EBIT</t>
        </is>
      </c>
    </row>
    <row r="23">
      <c r="A23" t="n">
        <v>27</v>
      </c>
      <c r="B23" t="inlineStr">
        <is>
          <t>ebit</t>
        </is>
      </c>
      <c r="C23" t="inlineStr">
        <is>
          <t>IQ_FY-10</t>
        </is>
      </c>
      <c r="D23" t="inlineStr">
        <is>
          <t>IQ_EBIT</t>
        </is>
      </c>
    </row>
    <row r="24">
      <c r="A24" t="n">
        <v>28</v>
      </c>
      <c r="B24" t="inlineStr">
        <is>
          <t>ebitda</t>
        </is>
      </c>
      <c r="C24" t="inlineStr">
        <is>
          <t>IQ_FY-0</t>
        </is>
      </c>
      <c r="D24" t="inlineStr">
        <is>
          <t>IQ_EBITDA</t>
        </is>
      </c>
    </row>
    <row r="25">
      <c r="A25" t="n">
        <v>29</v>
      </c>
      <c r="B25" t="inlineStr">
        <is>
          <t>ebitda</t>
        </is>
      </c>
      <c r="C25" t="inlineStr">
        <is>
          <t>IQ_FY-1</t>
        </is>
      </c>
      <c r="D25" t="inlineStr">
        <is>
          <t>IQ_EBITDA</t>
        </is>
      </c>
    </row>
    <row r="26">
      <c r="A26" t="n">
        <v>30</v>
      </c>
      <c r="B26" t="inlineStr">
        <is>
          <t>ebitda</t>
        </is>
      </c>
      <c r="C26" t="inlineStr">
        <is>
          <t>IQ_FY-2</t>
        </is>
      </c>
      <c r="D26" t="inlineStr">
        <is>
          <t>IQ_EBITDA</t>
        </is>
      </c>
    </row>
    <row r="27">
      <c r="A27" t="n">
        <v>31</v>
      </c>
      <c r="B27" t="inlineStr">
        <is>
          <t>ebitda</t>
        </is>
      </c>
      <c r="C27" t="inlineStr">
        <is>
          <t>IQ_FY-3</t>
        </is>
      </c>
      <c r="D27" t="inlineStr">
        <is>
          <t>IQ_EBITDA</t>
        </is>
      </c>
    </row>
    <row r="28">
      <c r="A28" t="n">
        <v>32</v>
      </c>
      <c r="B28" t="inlineStr">
        <is>
          <t>ebitda</t>
        </is>
      </c>
      <c r="C28" t="inlineStr">
        <is>
          <t>IQ_FY-4</t>
        </is>
      </c>
      <c r="D28" t="inlineStr">
        <is>
          <t>IQ_EBITDA</t>
        </is>
      </c>
    </row>
    <row r="29">
      <c r="A29" t="n">
        <v>33</v>
      </c>
      <c r="B29" t="inlineStr">
        <is>
          <t>ebitda</t>
        </is>
      </c>
      <c r="C29" t="inlineStr">
        <is>
          <t>IQ_FY-5</t>
        </is>
      </c>
      <c r="D29" t="inlineStr">
        <is>
          <t>IQ_EBITDA</t>
        </is>
      </c>
    </row>
    <row r="30">
      <c r="A30" t="n">
        <v>34</v>
      </c>
      <c r="B30" t="inlineStr">
        <is>
          <t>ebitda</t>
        </is>
      </c>
      <c r="C30" t="inlineStr">
        <is>
          <t>IQ_FY-6</t>
        </is>
      </c>
      <c r="D30" t="inlineStr">
        <is>
          <t>IQ_EBITDA</t>
        </is>
      </c>
    </row>
    <row r="31">
      <c r="A31" t="n">
        <v>35</v>
      </c>
      <c r="B31" t="inlineStr">
        <is>
          <t>ebitda</t>
        </is>
      </c>
      <c r="C31" t="inlineStr">
        <is>
          <t>IQ_FY-7</t>
        </is>
      </c>
      <c r="D31" t="inlineStr">
        <is>
          <t>IQ_EBITDA</t>
        </is>
      </c>
    </row>
    <row r="32">
      <c r="A32" t="n">
        <v>36</v>
      </c>
      <c r="B32" t="inlineStr">
        <is>
          <t>ebitda</t>
        </is>
      </c>
      <c r="C32" t="inlineStr">
        <is>
          <t>IQ_FY-8</t>
        </is>
      </c>
      <c r="D32" t="inlineStr">
        <is>
          <t>IQ_EBITDA</t>
        </is>
      </c>
    </row>
    <row r="33">
      <c r="A33" t="n">
        <v>37</v>
      </c>
      <c r="B33" t="inlineStr">
        <is>
          <t>ebitda</t>
        </is>
      </c>
      <c r="C33" t="inlineStr">
        <is>
          <t>IQ_FY-9</t>
        </is>
      </c>
      <c r="D33" t="inlineStr">
        <is>
          <t>IQ_EBITDA</t>
        </is>
      </c>
    </row>
    <row r="34">
      <c r="A34" t="n">
        <v>38</v>
      </c>
      <c r="B34" t="inlineStr">
        <is>
          <t>ebitda</t>
        </is>
      </c>
      <c r="C34" t="inlineStr">
        <is>
          <t>IQ_FY-10</t>
        </is>
      </c>
      <c r="D34" t="inlineStr">
        <is>
          <t>IQ_EBITDA</t>
        </is>
      </c>
    </row>
    <row r="35">
      <c r="A35" t="n">
        <v>39</v>
      </c>
      <c r="B35" t="inlineStr">
        <is>
          <t>net_income</t>
        </is>
      </c>
      <c r="C35" t="inlineStr">
        <is>
          <t>IQ_FY-0</t>
        </is>
      </c>
      <c r="D35" t="inlineStr">
        <is>
          <t>IQ_NI</t>
        </is>
      </c>
    </row>
    <row r="36">
      <c r="A36" t="n">
        <v>40</v>
      </c>
      <c r="B36" t="inlineStr">
        <is>
          <t>net_income</t>
        </is>
      </c>
      <c r="C36" t="inlineStr">
        <is>
          <t>IQ_FY-1</t>
        </is>
      </c>
      <c r="D36" t="inlineStr">
        <is>
          <t>IQ_NI</t>
        </is>
      </c>
    </row>
    <row r="37">
      <c r="A37" t="n">
        <v>41</v>
      </c>
      <c r="B37" t="inlineStr">
        <is>
          <t>net_income</t>
        </is>
      </c>
      <c r="C37" t="inlineStr">
        <is>
          <t>IQ_FY-2</t>
        </is>
      </c>
      <c r="D37" t="inlineStr">
        <is>
          <t>IQ_NI</t>
        </is>
      </c>
    </row>
    <row r="38">
      <c r="A38" t="n">
        <v>42</v>
      </c>
      <c r="B38" t="inlineStr">
        <is>
          <t>net_income</t>
        </is>
      </c>
      <c r="C38" t="inlineStr">
        <is>
          <t>IQ_FY-3</t>
        </is>
      </c>
      <c r="D38" t="inlineStr">
        <is>
          <t>IQ_NI</t>
        </is>
      </c>
    </row>
    <row r="39">
      <c r="A39" t="n">
        <v>43</v>
      </c>
      <c r="B39" t="inlineStr">
        <is>
          <t>net_income</t>
        </is>
      </c>
      <c r="C39" t="inlineStr">
        <is>
          <t>IQ_FY-4</t>
        </is>
      </c>
      <c r="D39" t="inlineStr">
        <is>
          <t>IQ_NI</t>
        </is>
      </c>
    </row>
    <row r="40">
      <c r="A40" t="n">
        <v>44</v>
      </c>
      <c r="B40" t="inlineStr">
        <is>
          <t>net_income</t>
        </is>
      </c>
      <c r="C40" t="inlineStr">
        <is>
          <t>IQ_FY-5</t>
        </is>
      </c>
      <c r="D40" t="inlineStr">
        <is>
          <t>IQ_NI</t>
        </is>
      </c>
    </row>
    <row r="41">
      <c r="A41" t="n">
        <v>45</v>
      </c>
      <c r="B41" t="inlineStr">
        <is>
          <t>net_income</t>
        </is>
      </c>
      <c r="C41" t="inlineStr">
        <is>
          <t>IQ_FY-6</t>
        </is>
      </c>
      <c r="D41" t="inlineStr">
        <is>
          <t>IQ_NI</t>
        </is>
      </c>
    </row>
    <row r="42">
      <c r="A42" t="n">
        <v>46</v>
      </c>
      <c r="B42" t="inlineStr">
        <is>
          <t>net_income</t>
        </is>
      </c>
      <c r="C42" t="inlineStr">
        <is>
          <t>IQ_FY-7</t>
        </is>
      </c>
      <c r="D42" t="inlineStr">
        <is>
          <t>IQ_NI</t>
        </is>
      </c>
    </row>
    <row r="43">
      <c r="A43" t="n">
        <v>47</v>
      </c>
      <c r="B43" t="inlineStr">
        <is>
          <t>net_income</t>
        </is>
      </c>
      <c r="C43" t="inlineStr">
        <is>
          <t>IQ_FY-8</t>
        </is>
      </c>
      <c r="D43" t="inlineStr">
        <is>
          <t>IQ_NI</t>
        </is>
      </c>
    </row>
    <row r="44">
      <c r="A44" t="n">
        <v>48</v>
      </c>
      <c r="B44" t="inlineStr">
        <is>
          <t>net_income</t>
        </is>
      </c>
      <c r="C44" t="inlineStr">
        <is>
          <t>IQ_FY-9</t>
        </is>
      </c>
      <c r="D44" t="inlineStr">
        <is>
          <t>IQ_NI</t>
        </is>
      </c>
    </row>
    <row r="45">
      <c r="A45" t="n">
        <v>49</v>
      </c>
      <c r="B45" t="inlineStr">
        <is>
          <t>net_income</t>
        </is>
      </c>
      <c r="C45" t="inlineStr">
        <is>
          <t>IQ_FY-10</t>
        </is>
      </c>
      <c r="D45" t="inlineStr">
        <is>
          <t>IQ_NI</t>
        </is>
      </c>
    </row>
    <row r="46">
      <c r="A46" t="n">
        <v>50</v>
      </c>
      <c r="B46" t="inlineStr">
        <is>
          <t>interest_expense</t>
        </is>
      </c>
      <c r="C46" t="inlineStr">
        <is>
          <t>IQ_FY-0</t>
        </is>
      </c>
      <c r="D46" t="inlineStr">
        <is>
          <t>IQ_INTEREST_EXP</t>
        </is>
      </c>
    </row>
    <row r="47">
      <c r="A47" t="n">
        <v>51</v>
      </c>
      <c r="B47" t="inlineStr">
        <is>
          <t>interest_expense</t>
        </is>
      </c>
      <c r="C47" t="inlineStr">
        <is>
          <t>IQ_FY-1</t>
        </is>
      </c>
      <c r="D47" t="inlineStr">
        <is>
          <t>IQ_INTEREST_EXP</t>
        </is>
      </c>
    </row>
    <row r="48">
      <c r="A48" t="n">
        <v>52</v>
      </c>
      <c r="B48" t="inlineStr">
        <is>
          <t>interest_expense</t>
        </is>
      </c>
      <c r="C48" t="inlineStr">
        <is>
          <t>IQ_FY-2</t>
        </is>
      </c>
      <c r="D48" t="inlineStr">
        <is>
          <t>IQ_INTEREST_EXP</t>
        </is>
      </c>
    </row>
    <row r="49">
      <c r="A49" t="n">
        <v>53</v>
      </c>
      <c r="B49" t="inlineStr">
        <is>
          <t>interest_expense</t>
        </is>
      </c>
      <c r="C49" t="inlineStr">
        <is>
          <t>IQ_FY-3</t>
        </is>
      </c>
      <c r="D49" t="inlineStr">
        <is>
          <t>IQ_INTEREST_EXP</t>
        </is>
      </c>
    </row>
    <row r="50">
      <c r="A50" t="n">
        <v>54</v>
      </c>
      <c r="B50" t="inlineStr">
        <is>
          <t>interest_expense</t>
        </is>
      </c>
      <c r="C50" t="inlineStr">
        <is>
          <t>IQ_FY-4</t>
        </is>
      </c>
      <c r="D50" t="inlineStr">
        <is>
          <t>IQ_INTEREST_EXP</t>
        </is>
      </c>
    </row>
    <row r="51">
      <c r="A51" t="n">
        <v>55</v>
      </c>
      <c r="B51" t="inlineStr">
        <is>
          <t>interest_expense</t>
        </is>
      </c>
      <c r="C51" t="inlineStr">
        <is>
          <t>IQ_FY-5</t>
        </is>
      </c>
      <c r="D51" t="inlineStr">
        <is>
          <t>IQ_INTEREST_EXP</t>
        </is>
      </c>
    </row>
    <row r="52">
      <c r="A52" t="n">
        <v>56</v>
      </c>
      <c r="B52" t="inlineStr">
        <is>
          <t>interest_expense</t>
        </is>
      </c>
      <c r="C52" t="inlineStr">
        <is>
          <t>IQ_FY-6</t>
        </is>
      </c>
      <c r="D52" t="inlineStr">
        <is>
          <t>IQ_INTEREST_EXP</t>
        </is>
      </c>
    </row>
    <row r="53">
      <c r="A53" t="n">
        <v>57</v>
      </c>
      <c r="B53" t="inlineStr">
        <is>
          <t>interest_expense</t>
        </is>
      </c>
      <c r="C53" t="inlineStr">
        <is>
          <t>IQ_FY-7</t>
        </is>
      </c>
      <c r="D53" t="inlineStr">
        <is>
          <t>IQ_INTEREST_EXP</t>
        </is>
      </c>
    </row>
    <row r="54">
      <c r="A54" t="n">
        <v>58</v>
      </c>
      <c r="B54" t="inlineStr">
        <is>
          <t>interest_expense</t>
        </is>
      </c>
      <c r="C54" t="inlineStr">
        <is>
          <t>IQ_FY-8</t>
        </is>
      </c>
      <c r="D54" t="inlineStr">
        <is>
          <t>IQ_INTEREST_EXP</t>
        </is>
      </c>
    </row>
    <row r="55">
      <c r="A55" t="n">
        <v>59</v>
      </c>
      <c r="B55" t="inlineStr">
        <is>
          <t>interest_expense</t>
        </is>
      </c>
      <c r="C55" t="inlineStr">
        <is>
          <t>IQ_FY-9</t>
        </is>
      </c>
      <c r="D55" t="inlineStr">
        <is>
          <t>IQ_INTEREST_EXP</t>
        </is>
      </c>
    </row>
    <row r="56">
      <c r="A56" t="n">
        <v>60</v>
      </c>
      <c r="B56" t="inlineStr">
        <is>
          <t>interest_expense</t>
        </is>
      </c>
      <c r="C56" t="inlineStr">
        <is>
          <t>IQ_FY-10</t>
        </is>
      </c>
      <c r="D56" t="inlineStr">
        <is>
          <t>IQ_INTEREST_EXP</t>
        </is>
      </c>
    </row>
    <row r="57">
      <c r="A57" t="n">
        <v>61</v>
      </c>
      <c r="B57" t="inlineStr">
        <is>
          <t>d_a</t>
        </is>
      </c>
      <c r="C57" t="inlineStr">
        <is>
          <t>IQ_FY-0</t>
        </is>
      </c>
      <c r="D57" t="inlineStr">
        <is>
          <t>IQ_DA_CF</t>
        </is>
      </c>
    </row>
    <row r="58">
      <c r="A58" t="n">
        <v>62</v>
      </c>
      <c r="B58" t="inlineStr">
        <is>
          <t>d_a</t>
        </is>
      </c>
      <c r="C58" t="inlineStr">
        <is>
          <t>IQ_FY-1</t>
        </is>
      </c>
      <c r="D58" t="inlineStr">
        <is>
          <t>IQ_DA_CF</t>
        </is>
      </c>
    </row>
    <row r="59">
      <c r="A59" t="n">
        <v>63</v>
      </c>
      <c r="B59" t="inlineStr">
        <is>
          <t>d_a</t>
        </is>
      </c>
      <c r="C59" t="inlineStr">
        <is>
          <t>IQ_FY-2</t>
        </is>
      </c>
      <c r="D59" t="inlineStr">
        <is>
          <t>IQ_DA_CF</t>
        </is>
      </c>
    </row>
    <row r="60">
      <c r="A60" t="n">
        <v>64</v>
      </c>
      <c r="B60" t="inlineStr">
        <is>
          <t>d_a</t>
        </is>
      </c>
      <c r="C60" t="inlineStr">
        <is>
          <t>IQ_FY-3</t>
        </is>
      </c>
      <c r="D60" t="inlineStr">
        <is>
          <t>IQ_DA_CF</t>
        </is>
      </c>
    </row>
    <row r="61">
      <c r="A61" t="n">
        <v>65</v>
      </c>
      <c r="B61" t="inlineStr">
        <is>
          <t>d_a</t>
        </is>
      </c>
      <c r="C61" t="inlineStr">
        <is>
          <t>IQ_FY-4</t>
        </is>
      </c>
      <c r="D61" t="inlineStr">
        <is>
          <t>IQ_DA_CF</t>
        </is>
      </c>
    </row>
    <row r="62">
      <c r="A62" t="n">
        <v>66</v>
      </c>
      <c r="B62" t="inlineStr">
        <is>
          <t>d_a</t>
        </is>
      </c>
      <c r="C62" t="inlineStr">
        <is>
          <t>IQ_FY-5</t>
        </is>
      </c>
      <c r="D62" t="inlineStr">
        <is>
          <t>IQ_DA_CF</t>
        </is>
      </c>
    </row>
    <row r="63">
      <c r="A63" t="n">
        <v>67</v>
      </c>
      <c r="B63" t="inlineStr">
        <is>
          <t>d_a</t>
        </is>
      </c>
      <c r="C63" t="inlineStr">
        <is>
          <t>IQ_FY-6</t>
        </is>
      </c>
      <c r="D63" t="inlineStr">
        <is>
          <t>IQ_DA_CF</t>
        </is>
      </c>
    </row>
    <row r="64">
      <c r="A64" t="n">
        <v>68</v>
      </c>
      <c r="B64" t="inlineStr">
        <is>
          <t>d_a</t>
        </is>
      </c>
      <c r="C64" t="inlineStr">
        <is>
          <t>IQ_FY-7</t>
        </is>
      </c>
      <c r="D64" t="inlineStr">
        <is>
          <t>IQ_DA_CF</t>
        </is>
      </c>
    </row>
    <row r="65">
      <c r="A65" t="n">
        <v>69</v>
      </c>
      <c r="B65" t="inlineStr">
        <is>
          <t>d_a</t>
        </is>
      </c>
      <c r="C65" t="inlineStr">
        <is>
          <t>IQ_FY-8</t>
        </is>
      </c>
      <c r="D65" t="inlineStr">
        <is>
          <t>IQ_DA_CF</t>
        </is>
      </c>
    </row>
    <row r="66">
      <c r="A66" t="n">
        <v>70</v>
      </c>
      <c r="B66" t="inlineStr">
        <is>
          <t>d_a</t>
        </is>
      </c>
      <c r="C66" t="inlineStr">
        <is>
          <t>IQ_FY-9</t>
        </is>
      </c>
      <c r="D66" t="inlineStr">
        <is>
          <t>IQ_DA_CF</t>
        </is>
      </c>
    </row>
    <row r="67">
      <c r="A67" t="n">
        <v>71</v>
      </c>
      <c r="B67" t="inlineStr">
        <is>
          <t>d_a</t>
        </is>
      </c>
      <c r="C67" t="inlineStr">
        <is>
          <t>IQ_FY-10</t>
        </is>
      </c>
      <c r="D67" t="inlineStr">
        <is>
          <t>IQ_DA_CF</t>
        </is>
      </c>
    </row>
    <row r="68">
      <c r="A68" t="n">
        <v>72</v>
      </c>
      <c r="B68" t="inlineStr">
        <is>
          <t>r_and_d_expense</t>
        </is>
      </c>
      <c r="C68" t="inlineStr">
        <is>
          <t>IQ_FY-0</t>
        </is>
      </c>
      <c r="D68" t="inlineStr">
        <is>
          <t>IQ_RD_EXP</t>
        </is>
      </c>
    </row>
    <row r="69">
      <c r="A69" t="n">
        <v>73</v>
      </c>
      <c r="B69" t="inlineStr">
        <is>
          <t>r_and_d_expense</t>
        </is>
      </c>
      <c r="C69" t="inlineStr">
        <is>
          <t>IQ_FY-1</t>
        </is>
      </c>
      <c r="D69" t="inlineStr">
        <is>
          <t>IQ_RD_EXP</t>
        </is>
      </c>
    </row>
    <row r="70">
      <c r="A70" t="n">
        <v>74</v>
      </c>
      <c r="B70" t="inlineStr">
        <is>
          <t>r_and_d_expense</t>
        </is>
      </c>
      <c r="C70" t="inlineStr">
        <is>
          <t>IQ_FY-2</t>
        </is>
      </c>
      <c r="D70" t="inlineStr">
        <is>
          <t>IQ_RD_EXP</t>
        </is>
      </c>
    </row>
    <row r="71">
      <c r="A71" t="n">
        <v>75</v>
      </c>
      <c r="B71" t="inlineStr">
        <is>
          <t>r_and_d_expense</t>
        </is>
      </c>
      <c r="C71" t="inlineStr">
        <is>
          <t>IQ_FY-3</t>
        </is>
      </c>
      <c r="D71" t="inlineStr">
        <is>
          <t>IQ_RD_EXP</t>
        </is>
      </c>
    </row>
    <row r="72">
      <c r="A72" t="n">
        <v>76</v>
      </c>
      <c r="B72" t="inlineStr">
        <is>
          <t>r_and_d_expense</t>
        </is>
      </c>
      <c r="C72" t="inlineStr">
        <is>
          <t>IQ_FY-4</t>
        </is>
      </c>
      <c r="D72" t="inlineStr">
        <is>
          <t>IQ_RD_EXP</t>
        </is>
      </c>
    </row>
    <row r="73">
      <c r="A73" t="n">
        <v>77</v>
      </c>
      <c r="B73" t="inlineStr">
        <is>
          <t>r_and_d_expense</t>
        </is>
      </c>
      <c r="C73" t="inlineStr">
        <is>
          <t>IQ_FY-5</t>
        </is>
      </c>
      <c r="D73" t="inlineStr">
        <is>
          <t>IQ_RD_EXP</t>
        </is>
      </c>
    </row>
    <row r="74">
      <c r="A74" t="n">
        <v>78</v>
      </c>
      <c r="B74" t="inlineStr">
        <is>
          <t>r_and_d_expense</t>
        </is>
      </c>
      <c r="C74" t="inlineStr">
        <is>
          <t>IQ_FY-6</t>
        </is>
      </c>
      <c r="D74" t="inlineStr">
        <is>
          <t>IQ_RD_EXP</t>
        </is>
      </c>
    </row>
    <row r="75">
      <c r="A75" t="n">
        <v>79</v>
      </c>
      <c r="B75" t="inlineStr">
        <is>
          <t>r_and_d_expense</t>
        </is>
      </c>
      <c r="C75" t="inlineStr">
        <is>
          <t>IQ_FY-7</t>
        </is>
      </c>
      <c r="D75" t="inlineStr">
        <is>
          <t>IQ_RD_EXP</t>
        </is>
      </c>
    </row>
    <row r="76">
      <c r="A76" t="n">
        <v>80</v>
      </c>
      <c r="B76" t="inlineStr">
        <is>
          <t>r_and_d_expense</t>
        </is>
      </c>
      <c r="C76" t="inlineStr">
        <is>
          <t>IQ_FY-8</t>
        </is>
      </c>
      <c r="D76" t="inlineStr">
        <is>
          <t>IQ_RD_EXP</t>
        </is>
      </c>
    </row>
    <row r="77">
      <c r="A77" t="n">
        <v>81</v>
      </c>
      <c r="B77" t="inlineStr">
        <is>
          <t>r_and_d_expense</t>
        </is>
      </c>
      <c r="C77" t="inlineStr">
        <is>
          <t>IQ_FY-9</t>
        </is>
      </c>
      <c r="D77" t="inlineStr">
        <is>
          <t>IQ_RD_EXP</t>
        </is>
      </c>
    </row>
    <row r="78">
      <c r="A78" t="n">
        <v>82</v>
      </c>
      <c r="B78" t="inlineStr">
        <is>
          <t>r_and_d_expense</t>
        </is>
      </c>
      <c r="C78" t="inlineStr">
        <is>
          <t>IQ_FY-10</t>
        </is>
      </c>
      <c r="D78" t="inlineStr">
        <is>
          <t>IQ_RD_EXP</t>
        </is>
      </c>
    </row>
    <row r="79">
      <c r="A79" t="n">
        <v>83</v>
      </c>
      <c r="B79" t="inlineStr">
        <is>
          <t>capex</t>
        </is>
      </c>
      <c r="C79" t="inlineStr">
        <is>
          <t>IQ_FY-0</t>
        </is>
      </c>
      <c r="D79" t="inlineStr">
        <is>
          <t>IQ_CAPEX</t>
        </is>
      </c>
    </row>
    <row r="80">
      <c r="A80" t="n">
        <v>84</v>
      </c>
      <c r="B80" t="inlineStr">
        <is>
          <t>capex</t>
        </is>
      </c>
      <c r="C80" t="inlineStr">
        <is>
          <t>IQ_FY-1</t>
        </is>
      </c>
      <c r="D80" t="inlineStr">
        <is>
          <t>IQ_CAPEX</t>
        </is>
      </c>
    </row>
    <row r="81">
      <c r="A81" t="n">
        <v>85</v>
      </c>
      <c r="B81" t="inlineStr">
        <is>
          <t>capex</t>
        </is>
      </c>
      <c r="C81" t="inlineStr">
        <is>
          <t>IQ_FY-2</t>
        </is>
      </c>
      <c r="D81" t="inlineStr">
        <is>
          <t>IQ_CAPEX</t>
        </is>
      </c>
    </row>
    <row r="82">
      <c r="A82" t="n">
        <v>86</v>
      </c>
      <c r="B82" t="inlineStr">
        <is>
          <t>capex</t>
        </is>
      </c>
      <c r="C82" t="inlineStr">
        <is>
          <t>IQ_FY-3</t>
        </is>
      </c>
      <c r="D82" t="inlineStr">
        <is>
          <t>IQ_CAPEX</t>
        </is>
      </c>
    </row>
    <row r="83">
      <c r="A83" t="n">
        <v>87</v>
      </c>
      <c r="B83" t="inlineStr">
        <is>
          <t>capex</t>
        </is>
      </c>
      <c r="C83" t="inlineStr">
        <is>
          <t>IQ_FY-4</t>
        </is>
      </c>
      <c r="D83" t="inlineStr">
        <is>
          <t>IQ_CAPEX</t>
        </is>
      </c>
    </row>
    <row r="84">
      <c r="A84" t="n">
        <v>88</v>
      </c>
      <c r="B84" t="inlineStr">
        <is>
          <t>capex</t>
        </is>
      </c>
      <c r="C84" t="inlineStr">
        <is>
          <t>IQ_FY-5</t>
        </is>
      </c>
      <c r="D84" t="inlineStr">
        <is>
          <t>IQ_CAPEX</t>
        </is>
      </c>
    </row>
    <row r="85">
      <c r="A85" t="n">
        <v>89</v>
      </c>
      <c r="B85" t="inlineStr">
        <is>
          <t>capex</t>
        </is>
      </c>
      <c r="C85" t="inlineStr">
        <is>
          <t>IQ_FY-6</t>
        </is>
      </c>
      <c r="D85" t="inlineStr">
        <is>
          <t>IQ_CAPEX</t>
        </is>
      </c>
    </row>
    <row r="86">
      <c r="A86" t="n">
        <v>90</v>
      </c>
      <c r="B86" t="inlineStr">
        <is>
          <t>capex</t>
        </is>
      </c>
      <c r="C86" t="inlineStr">
        <is>
          <t>IQ_FY-7</t>
        </is>
      </c>
      <c r="D86" t="inlineStr">
        <is>
          <t>IQ_CAPEX</t>
        </is>
      </c>
    </row>
    <row r="87">
      <c r="A87" t="n">
        <v>91</v>
      </c>
      <c r="B87" t="inlineStr">
        <is>
          <t>capex</t>
        </is>
      </c>
      <c r="C87" t="inlineStr">
        <is>
          <t>IQ_FY-8</t>
        </is>
      </c>
      <c r="D87" t="inlineStr">
        <is>
          <t>IQ_CAPEX</t>
        </is>
      </c>
    </row>
    <row r="88">
      <c r="A88" t="n">
        <v>92</v>
      </c>
      <c r="B88" t="inlineStr">
        <is>
          <t>capex</t>
        </is>
      </c>
      <c r="C88" t="inlineStr">
        <is>
          <t>IQ_FY-9</t>
        </is>
      </c>
      <c r="D88" t="inlineStr">
        <is>
          <t>IQ_CAPEX</t>
        </is>
      </c>
    </row>
    <row r="89">
      <c r="A89" t="n">
        <v>93</v>
      </c>
      <c r="B89" t="inlineStr">
        <is>
          <t>capex</t>
        </is>
      </c>
      <c r="C89" t="inlineStr">
        <is>
          <t>IQ_FY-10</t>
        </is>
      </c>
      <c r="D89" t="inlineStr">
        <is>
          <t>IQ_CAPEX</t>
        </is>
      </c>
    </row>
    <row r="90">
      <c r="A90" t="n">
        <v>94</v>
      </c>
      <c r="B90" t="inlineStr">
        <is>
          <t>operating_lease_expense</t>
        </is>
      </c>
      <c r="C90" t="inlineStr">
        <is>
          <t>IQ_FY-0</t>
        </is>
      </c>
      <c r="D90" t="inlineStr">
        <is>
          <t>IQ_OPERATING_LEASE_PAYMENTS</t>
        </is>
      </c>
    </row>
    <row r="91">
      <c r="A91" t="n">
        <v>95</v>
      </c>
      <c r="B91" t="inlineStr">
        <is>
          <t>operating_lease_expense</t>
        </is>
      </c>
      <c r="C91" t="inlineStr">
        <is>
          <t>IQ_FY-1</t>
        </is>
      </c>
      <c r="D91" t="inlineStr">
        <is>
          <t>IQ_OPERATING_LEASE_PAYMENTS</t>
        </is>
      </c>
    </row>
    <row r="92">
      <c r="A92" t="n">
        <v>96</v>
      </c>
      <c r="B92" t="inlineStr">
        <is>
          <t>operating_lease_expense</t>
        </is>
      </c>
      <c r="C92" t="inlineStr">
        <is>
          <t>IQ_FY-2</t>
        </is>
      </c>
      <c r="D92" t="inlineStr">
        <is>
          <t>IQ_OPERATING_LEASE_PAYMENTS</t>
        </is>
      </c>
    </row>
    <row r="93">
      <c r="A93" t="n">
        <v>97</v>
      </c>
      <c r="B93" t="inlineStr">
        <is>
          <t>operating_lease_expense</t>
        </is>
      </c>
      <c r="C93" t="inlineStr">
        <is>
          <t>IQ_FY-3</t>
        </is>
      </c>
      <c r="D93" t="inlineStr">
        <is>
          <t>IQ_OPERATING_LEASE_PAYMENTS</t>
        </is>
      </c>
    </row>
    <row r="94">
      <c r="A94" t="n">
        <v>98</v>
      </c>
      <c r="B94" t="inlineStr">
        <is>
          <t>operating_lease_expense</t>
        </is>
      </c>
      <c r="C94" t="inlineStr">
        <is>
          <t>IQ_FY-4</t>
        </is>
      </c>
      <c r="D94" t="inlineStr">
        <is>
          <t>IQ_OPERATING_LEASE_PAYMENTS</t>
        </is>
      </c>
    </row>
    <row r="95">
      <c r="A95" t="n">
        <v>99</v>
      </c>
      <c r="B95" t="inlineStr">
        <is>
          <t>operating_lease_expense</t>
        </is>
      </c>
      <c r="C95" t="inlineStr">
        <is>
          <t>IQ_FY-5</t>
        </is>
      </c>
      <c r="D95" t="inlineStr">
        <is>
          <t>IQ_OPERATING_LEASE_PAYMENTS</t>
        </is>
      </c>
    </row>
    <row r="96">
      <c r="A96" t="n">
        <v>100</v>
      </c>
      <c r="B96" t="inlineStr">
        <is>
          <t>operating_lease_expense</t>
        </is>
      </c>
      <c r="C96" t="inlineStr">
        <is>
          <t>IQ_FY-6</t>
        </is>
      </c>
      <c r="D96" t="inlineStr">
        <is>
          <t>IQ_OPERATING_LEASE_PAYMENTS</t>
        </is>
      </c>
    </row>
    <row r="97">
      <c r="A97" t="n">
        <v>101</v>
      </c>
      <c r="B97" t="inlineStr">
        <is>
          <t>operating_lease_expense</t>
        </is>
      </c>
      <c r="C97" t="inlineStr">
        <is>
          <t>IQ_FY-7</t>
        </is>
      </c>
      <c r="D97" t="inlineStr">
        <is>
          <t>IQ_OPERATING_LEASE_PAYMENTS</t>
        </is>
      </c>
    </row>
    <row r="98">
      <c r="A98" t="n">
        <v>102</v>
      </c>
      <c r="B98" t="inlineStr">
        <is>
          <t>operating_lease_expense</t>
        </is>
      </c>
      <c r="C98" t="inlineStr">
        <is>
          <t>IQ_FY-8</t>
        </is>
      </c>
      <c r="D98" t="inlineStr">
        <is>
          <t>IQ_OPERATING_LEASE_PAYMENTS</t>
        </is>
      </c>
    </row>
    <row r="99">
      <c r="A99" t="n">
        <v>103</v>
      </c>
      <c r="B99" t="inlineStr">
        <is>
          <t>operating_lease_expense</t>
        </is>
      </c>
      <c r="C99" t="inlineStr">
        <is>
          <t>IQ_FY-9</t>
        </is>
      </c>
      <c r="D99" t="inlineStr">
        <is>
          <t>IQ_OPERATING_LEASE_PAYMENTS</t>
        </is>
      </c>
    </row>
    <row r="100">
      <c r="A100" t="n">
        <v>104</v>
      </c>
      <c r="B100" t="inlineStr">
        <is>
          <t>operating_lease_expense</t>
        </is>
      </c>
      <c r="C100" t="inlineStr">
        <is>
          <t>IQ_FY-10</t>
        </is>
      </c>
      <c r="D100" t="inlineStr">
        <is>
          <t>IQ_OPERATING_LEASE_PAYMENTS</t>
        </is>
      </c>
    </row>
    <row r="101">
      <c r="A101" t="n">
        <v>105</v>
      </c>
      <c r="B101" t="inlineStr">
        <is>
          <t>earnings_before_tax</t>
        </is>
      </c>
      <c r="C101" t="inlineStr">
        <is>
          <t>IQ_FY-0</t>
        </is>
      </c>
      <c r="D101" t="inlineStr">
        <is>
          <t>IQ_EBT_EXCL</t>
        </is>
      </c>
    </row>
    <row r="102">
      <c r="A102" t="n">
        <v>106</v>
      </c>
      <c r="B102" t="inlineStr">
        <is>
          <t>earnings_before_tax</t>
        </is>
      </c>
      <c r="C102" t="inlineStr">
        <is>
          <t>IQ_FY-1</t>
        </is>
      </c>
      <c r="D102" t="inlineStr">
        <is>
          <t>IQ_EBT_EXCL</t>
        </is>
      </c>
    </row>
    <row r="103">
      <c r="A103" t="n">
        <v>107</v>
      </c>
      <c r="B103" t="inlineStr">
        <is>
          <t>earnings_before_tax</t>
        </is>
      </c>
      <c r="C103" t="inlineStr">
        <is>
          <t>IQ_FY-2</t>
        </is>
      </c>
      <c r="D103" t="inlineStr">
        <is>
          <t>IQ_EBT_EXCL</t>
        </is>
      </c>
    </row>
    <row r="104">
      <c r="A104" t="n">
        <v>108</v>
      </c>
      <c r="B104" t="inlineStr">
        <is>
          <t>earnings_before_tax</t>
        </is>
      </c>
      <c r="C104" t="inlineStr">
        <is>
          <t>IQ_FY-3</t>
        </is>
      </c>
      <c r="D104" t="inlineStr">
        <is>
          <t>IQ_EBT_EXCL</t>
        </is>
      </c>
    </row>
    <row r="105">
      <c r="A105" t="n">
        <v>109</v>
      </c>
      <c r="B105" t="inlineStr">
        <is>
          <t>earnings_before_tax</t>
        </is>
      </c>
      <c r="C105" t="inlineStr">
        <is>
          <t>IQ_FY-4</t>
        </is>
      </c>
      <c r="D105" t="inlineStr">
        <is>
          <t>IQ_EBT_EXCL</t>
        </is>
      </c>
    </row>
    <row r="106">
      <c r="A106" t="n">
        <v>110</v>
      </c>
      <c r="B106" t="inlineStr">
        <is>
          <t>earnings_before_tax</t>
        </is>
      </c>
      <c r="C106" t="inlineStr">
        <is>
          <t>IQ_FY-5</t>
        </is>
      </c>
      <c r="D106" t="inlineStr">
        <is>
          <t>IQ_EBT_EXCL</t>
        </is>
      </c>
    </row>
    <row r="107">
      <c r="A107" t="n">
        <v>111</v>
      </c>
      <c r="B107" t="inlineStr">
        <is>
          <t>earnings_before_tax</t>
        </is>
      </c>
      <c r="C107" t="inlineStr">
        <is>
          <t>IQ_FY-6</t>
        </is>
      </c>
      <c r="D107" t="inlineStr">
        <is>
          <t>IQ_EBT_EXCL</t>
        </is>
      </c>
    </row>
    <row r="108">
      <c r="A108" t="n">
        <v>112</v>
      </c>
      <c r="B108" t="inlineStr">
        <is>
          <t>earnings_before_tax</t>
        </is>
      </c>
      <c r="C108" t="inlineStr">
        <is>
          <t>IQ_FY-7</t>
        </is>
      </c>
      <c r="D108" t="inlineStr">
        <is>
          <t>IQ_EBT_EXCL</t>
        </is>
      </c>
    </row>
    <row r="109">
      <c r="A109" t="n">
        <v>113</v>
      </c>
      <c r="B109" t="inlineStr">
        <is>
          <t>earnings_before_tax</t>
        </is>
      </c>
      <c r="C109" t="inlineStr">
        <is>
          <t>IQ_FY-8</t>
        </is>
      </c>
      <c r="D109" t="inlineStr">
        <is>
          <t>IQ_EBT_EXCL</t>
        </is>
      </c>
    </row>
    <row r="110">
      <c r="A110" t="n">
        <v>114</v>
      </c>
      <c r="B110" t="inlineStr">
        <is>
          <t>earnings_before_tax</t>
        </is>
      </c>
      <c r="C110" t="inlineStr">
        <is>
          <t>IQ_FY-9</t>
        </is>
      </c>
      <c r="D110" t="inlineStr">
        <is>
          <t>IQ_EBT_EXCL</t>
        </is>
      </c>
    </row>
    <row r="111">
      <c r="A111" t="n">
        <v>115</v>
      </c>
      <c r="B111" t="inlineStr">
        <is>
          <t>earnings_before_tax</t>
        </is>
      </c>
      <c r="C111" t="inlineStr">
        <is>
          <t>IQ_FY-10</t>
        </is>
      </c>
      <c r="D111" t="inlineStr">
        <is>
          <t>IQ_EBT_EXCL</t>
        </is>
      </c>
    </row>
    <row r="112">
      <c r="A112" t="n">
        <v>116</v>
      </c>
      <c r="B112" t="inlineStr">
        <is>
          <t>total_tax_expense</t>
        </is>
      </c>
      <c r="C112" t="inlineStr">
        <is>
          <t>IQ_FY-0</t>
        </is>
      </c>
      <c r="D112" t="inlineStr">
        <is>
          <t>IQ_INC_TAX</t>
        </is>
      </c>
    </row>
    <row r="113">
      <c r="A113" t="n">
        <v>117</v>
      </c>
      <c r="B113" t="inlineStr">
        <is>
          <t>total_tax_expense</t>
        </is>
      </c>
      <c r="C113" t="inlineStr">
        <is>
          <t>IQ_FY-1</t>
        </is>
      </c>
      <c r="D113" t="inlineStr">
        <is>
          <t>IQ_INC_TAX</t>
        </is>
      </c>
    </row>
    <row r="114">
      <c r="A114" t="n">
        <v>118</v>
      </c>
      <c r="B114" t="inlineStr">
        <is>
          <t>total_tax_expense</t>
        </is>
      </c>
      <c r="C114" t="inlineStr">
        <is>
          <t>IQ_FY-2</t>
        </is>
      </c>
      <c r="D114" t="inlineStr">
        <is>
          <t>IQ_INC_TAX</t>
        </is>
      </c>
    </row>
    <row r="115">
      <c r="A115" t="n">
        <v>119</v>
      </c>
      <c r="B115" t="inlineStr">
        <is>
          <t>total_tax_expense</t>
        </is>
      </c>
      <c r="C115" t="inlineStr">
        <is>
          <t>IQ_FY-3</t>
        </is>
      </c>
      <c r="D115" t="inlineStr">
        <is>
          <t>IQ_INC_TAX</t>
        </is>
      </c>
    </row>
    <row r="116">
      <c r="A116" t="n">
        <v>120</v>
      </c>
      <c r="B116" t="inlineStr">
        <is>
          <t>total_tax_expense</t>
        </is>
      </c>
      <c r="C116" t="inlineStr">
        <is>
          <t>IQ_FY-4</t>
        </is>
      </c>
      <c r="D116" t="inlineStr">
        <is>
          <t>IQ_INC_TAX</t>
        </is>
      </c>
    </row>
    <row r="117">
      <c r="A117" t="n">
        <v>121</v>
      </c>
      <c r="B117" t="inlineStr">
        <is>
          <t>total_tax_expense</t>
        </is>
      </c>
      <c r="C117" t="inlineStr">
        <is>
          <t>IQ_FY-5</t>
        </is>
      </c>
      <c r="D117" t="inlineStr">
        <is>
          <t>IQ_INC_TAX</t>
        </is>
      </c>
    </row>
    <row r="118">
      <c r="A118" t="n">
        <v>122</v>
      </c>
      <c r="B118" t="inlineStr">
        <is>
          <t>total_tax_expense</t>
        </is>
      </c>
      <c r="C118" t="inlineStr">
        <is>
          <t>IQ_FY-6</t>
        </is>
      </c>
      <c r="D118" t="inlineStr">
        <is>
          <t>IQ_INC_TAX</t>
        </is>
      </c>
    </row>
    <row r="119">
      <c r="A119" t="n">
        <v>123</v>
      </c>
      <c r="B119" t="inlineStr">
        <is>
          <t>total_tax_expense</t>
        </is>
      </c>
      <c r="C119" t="inlineStr">
        <is>
          <t>IQ_FY-7</t>
        </is>
      </c>
      <c r="D119" t="inlineStr">
        <is>
          <t>IQ_INC_TAX</t>
        </is>
      </c>
    </row>
    <row r="120">
      <c r="A120" t="n">
        <v>124</v>
      </c>
      <c r="B120" t="inlineStr">
        <is>
          <t>total_tax_expense</t>
        </is>
      </c>
      <c r="C120" t="inlineStr">
        <is>
          <t>IQ_FY-8</t>
        </is>
      </c>
      <c r="D120" t="inlineStr">
        <is>
          <t>IQ_INC_TAX</t>
        </is>
      </c>
    </row>
    <row r="121">
      <c r="A121" t="n">
        <v>125</v>
      </c>
      <c r="B121" t="inlineStr">
        <is>
          <t>total_tax_expense</t>
        </is>
      </c>
      <c r="C121" t="inlineStr">
        <is>
          <t>IQ_FY-9</t>
        </is>
      </c>
      <c r="D121" t="inlineStr">
        <is>
          <t>IQ_INC_TAX</t>
        </is>
      </c>
    </row>
    <row r="122">
      <c r="A122" t="n">
        <v>126</v>
      </c>
      <c r="B122" t="inlineStr">
        <is>
          <t>total_tax_expense</t>
        </is>
      </c>
      <c r="C122" t="inlineStr">
        <is>
          <t>IQ_FY-10</t>
        </is>
      </c>
      <c r="D122" t="inlineStr">
        <is>
          <t>IQ_INC_TAX</t>
        </is>
      </c>
    </row>
    <row r="123">
      <c r="A123" t="n">
        <v>128</v>
      </c>
      <c r="B123" t="inlineStr">
        <is>
          <t>revenues</t>
        </is>
      </c>
      <c r="C123" t="inlineStr">
        <is>
          <t>IQ_FQ-0</t>
        </is>
      </c>
      <c r="D123" t="inlineStr">
        <is>
          <t>IQ_TOTAL_REV</t>
        </is>
      </c>
    </row>
    <row r="124">
      <c r="A124" t="n">
        <v>129</v>
      </c>
      <c r="B124" t="inlineStr">
        <is>
          <t>revenues</t>
        </is>
      </c>
      <c r="C124" t="inlineStr">
        <is>
          <t>IQ_FQ-1</t>
        </is>
      </c>
      <c r="D124" t="inlineStr">
        <is>
          <t>IQ_TOTAL_REV</t>
        </is>
      </c>
    </row>
    <row r="125">
      <c r="A125" t="n">
        <v>130</v>
      </c>
      <c r="B125" t="inlineStr">
        <is>
          <t>revenues</t>
        </is>
      </c>
      <c r="C125" t="inlineStr">
        <is>
          <t>IQ_FQ-2</t>
        </is>
      </c>
      <c r="D125" t="inlineStr">
        <is>
          <t>IQ_TOTAL_REV</t>
        </is>
      </c>
    </row>
    <row r="126">
      <c r="A126" t="n">
        <v>131</v>
      </c>
      <c r="B126" t="inlineStr">
        <is>
          <t>revenues</t>
        </is>
      </c>
      <c r="C126" t="inlineStr">
        <is>
          <t>IQ_FQ-3</t>
        </is>
      </c>
      <c r="D126" t="inlineStr">
        <is>
          <t>IQ_TOTAL_REV</t>
        </is>
      </c>
    </row>
    <row r="127">
      <c r="A127" t="n">
        <v>132</v>
      </c>
      <c r="B127" t="inlineStr">
        <is>
          <t>revenues</t>
        </is>
      </c>
      <c r="C127" t="inlineStr">
        <is>
          <t>IQ_FQ-4</t>
        </is>
      </c>
      <c r="D127" t="inlineStr">
        <is>
          <t>IQ_TOTAL_REV</t>
        </is>
      </c>
    </row>
    <row r="128">
      <c r="A128" t="n">
        <v>133</v>
      </c>
      <c r="B128" t="inlineStr">
        <is>
          <t>revenues</t>
        </is>
      </c>
      <c r="C128" t="inlineStr">
        <is>
          <t>IQ_FQ-5</t>
        </is>
      </c>
      <c r="D128" t="inlineStr">
        <is>
          <t>IQ_TOTAL_REV</t>
        </is>
      </c>
    </row>
    <row r="129">
      <c r="A129" t="n">
        <v>134</v>
      </c>
      <c r="B129" t="inlineStr">
        <is>
          <t>revenues</t>
        </is>
      </c>
      <c r="C129" t="inlineStr">
        <is>
          <t>IQ_FQ-6</t>
        </is>
      </c>
      <c r="D129" t="inlineStr">
        <is>
          <t>IQ_TOTAL_REV</t>
        </is>
      </c>
    </row>
    <row r="130">
      <c r="A130" t="n">
        <v>135</v>
      </c>
      <c r="B130" t="inlineStr">
        <is>
          <t>revenues</t>
        </is>
      </c>
      <c r="C130" t="inlineStr">
        <is>
          <t>IQ_FQ-7</t>
        </is>
      </c>
      <c r="D130" t="inlineStr">
        <is>
          <t>IQ_TOTAL_REV</t>
        </is>
      </c>
    </row>
    <row r="131">
      <c r="A131" t="n">
        <v>136</v>
      </c>
      <c r="B131" t="inlineStr">
        <is>
          <t>ebit</t>
        </is>
      </c>
      <c r="C131" t="inlineStr">
        <is>
          <t>IQ_FQ-0</t>
        </is>
      </c>
      <c r="D131" t="inlineStr">
        <is>
          <t>IQ_EBIT</t>
        </is>
      </c>
    </row>
    <row r="132">
      <c r="A132" t="n">
        <v>137</v>
      </c>
      <c r="B132" t="inlineStr">
        <is>
          <t>ebit</t>
        </is>
      </c>
      <c r="C132" t="inlineStr">
        <is>
          <t>IQ_FQ-1</t>
        </is>
      </c>
      <c r="D132" t="inlineStr">
        <is>
          <t>IQ_EBIT</t>
        </is>
      </c>
    </row>
    <row r="133">
      <c r="A133" t="n">
        <v>138</v>
      </c>
      <c r="B133" t="inlineStr">
        <is>
          <t>ebit</t>
        </is>
      </c>
      <c r="C133" t="inlineStr">
        <is>
          <t>IQ_FQ-2</t>
        </is>
      </c>
      <c r="D133" t="inlineStr">
        <is>
          <t>IQ_EBIT</t>
        </is>
      </c>
    </row>
    <row r="134">
      <c r="A134" t="n">
        <v>139</v>
      </c>
      <c r="B134" t="inlineStr">
        <is>
          <t>ebit</t>
        </is>
      </c>
      <c r="C134" t="inlineStr">
        <is>
          <t>IQ_FQ-3</t>
        </is>
      </c>
      <c r="D134" t="inlineStr">
        <is>
          <t>IQ_EBIT</t>
        </is>
      </c>
    </row>
    <row r="135">
      <c r="A135" t="n">
        <v>140</v>
      </c>
      <c r="B135" t="inlineStr">
        <is>
          <t>ebit</t>
        </is>
      </c>
      <c r="C135" t="inlineStr">
        <is>
          <t>IQ_FQ-4</t>
        </is>
      </c>
      <c r="D135" t="inlineStr">
        <is>
          <t>IQ_EBIT</t>
        </is>
      </c>
    </row>
    <row r="136">
      <c r="A136" t="n">
        <v>141</v>
      </c>
      <c r="B136" t="inlineStr">
        <is>
          <t>ebit</t>
        </is>
      </c>
      <c r="C136" t="inlineStr">
        <is>
          <t>IQ_FQ-5</t>
        </is>
      </c>
      <c r="D136" t="inlineStr">
        <is>
          <t>IQ_EBIT</t>
        </is>
      </c>
    </row>
    <row r="137">
      <c r="A137" t="n">
        <v>142</v>
      </c>
      <c r="B137" t="inlineStr">
        <is>
          <t>ebit</t>
        </is>
      </c>
      <c r="C137" t="inlineStr">
        <is>
          <t>IQ_FQ-6</t>
        </is>
      </c>
      <c r="D137" t="inlineStr">
        <is>
          <t>IQ_EBIT</t>
        </is>
      </c>
    </row>
    <row r="138">
      <c r="A138" t="n">
        <v>143</v>
      </c>
      <c r="B138" t="inlineStr">
        <is>
          <t>ebit</t>
        </is>
      </c>
      <c r="C138" t="inlineStr">
        <is>
          <t>IQ_FQ-7</t>
        </is>
      </c>
      <c r="D138" t="inlineStr">
        <is>
          <t>IQ_EBIT</t>
        </is>
      </c>
    </row>
    <row r="139">
      <c r="A139" t="n">
        <v>144</v>
      </c>
      <c r="B139" t="inlineStr">
        <is>
          <t>ebitda</t>
        </is>
      </c>
      <c r="C139" t="inlineStr">
        <is>
          <t>IQ_FQ-0</t>
        </is>
      </c>
      <c r="D139" t="inlineStr">
        <is>
          <t>IQ_EBITDA</t>
        </is>
      </c>
    </row>
    <row r="140">
      <c r="A140" t="n">
        <v>145</v>
      </c>
      <c r="B140" t="inlineStr">
        <is>
          <t>ebitda</t>
        </is>
      </c>
      <c r="C140" t="inlineStr">
        <is>
          <t>IQ_FQ-1</t>
        </is>
      </c>
      <c r="D140" t="inlineStr">
        <is>
          <t>IQ_EBITDA</t>
        </is>
      </c>
    </row>
    <row r="141">
      <c r="A141" t="n">
        <v>146</v>
      </c>
      <c r="B141" t="inlineStr">
        <is>
          <t>ebitda</t>
        </is>
      </c>
      <c r="C141" t="inlineStr">
        <is>
          <t>IQ_FQ-2</t>
        </is>
      </c>
      <c r="D141" t="inlineStr">
        <is>
          <t>IQ_EBITDA</t>
        </is>
      </c>
    </row>
    <row r="142">
      <c r="A142" t="n">
        <v>147</v>
      </c>
      <c r="B142" t="inlineStr">
        <is>
          <t>ebitda</t>
        </is>
      </c>
      <c r="C142" t="inlineStr">
        <is>
          <t>IQ_FQ-3</t>
        </is>
      </c>
      <c r="D142" t="inlineStr">
        <is>
          <t>IQ_EBITDA</t>
        </is>
      </c>
    </row>
    <row r="143">
      <c r="A143" t="n">
        <v>148</v>
      </c>
      <c r="B143" t="inlineStr">
        <is>
          <t>ebitda</t>
        </is>
      </c>
      <c r="C143" t="inlineStr">
        <is>
          <t>IQ_FQ-4</t>
        </is>
      </c>
      <c r="D143" t="inlineStr">
        <is>
          <t>IQ_EBITDA</t>
        </is>
      </c>
    </row>
    <row r="144">
      <c r="A144" t="n">
        <v>149</v>
      </c>
      <c r="B144" t="inlineStr">
        <is>
          <t>ebitda</t>
        </is>
      </c>
      <c r="C144" t="inlineStr">
        <is>
          <t>IQ_FQ-5</t>
        </is>
      </c>
      <c r="D144" t="inlineStr">
        <is>
          <t>IQ_EBITDA</t>
        </is>
      </c>
    </row>
    <row r="145">
      <c r="A145" t="n">
        <v>150</v>
      </c>
      <c r="B145" t="inlineStr">
        <is>
          <t>ebitda</t>
        </is>
      </c>
      <c r="C145" t="inlineStr">
        <is>
          <t>IQ_FQ-6</t>
        </is>
      </c>
      <c r="D145" t="inlineStr">
        <is>
          <t>IQ_EBITDA</t>
        </is>
      </c>
    </row>
    <row r="146">
      <c r="A146" t="n">
        <v>151</v>
      </c>
      <c r="B146" t="inlineStr">
        <is>
          <t>ebitda</t>
        </is>
      </c>
      <c r="C146" t="inlineStr">
        <is>
          <t>IQ_FQ-7</t>
        </is>
      </c>
      <c r="D146" t="inlineStr">
        <is>
          <t>IQ_EBITDA</t>
        </is>
      </c>
    </row>
    <row r="147">
      <c r="A147" t="n">
        <v>152</v>
      </c>
      <c r="B147" t="inlineStr">
        <is>
          <t>net_income</t>
        </is>
      </c>
      <c r="C147" t="inlineStr">
        <is>
          <t>IQ_FQ-0</t>
        </is>
      </c>
      <c r="D147" t="inlineStr">
        <is>
          <t>IQ_NI</t>
        </is>
      </c>
    </row>
    <row r="148">
      <c r="A148" t="n">
        <v>153</v>
      </c>
      <c r="B148" t="inlineStr">
        <is>
          <t>net_income</t>
        </is>
      </c>
      <c r="C148" t="inlineStr">
        <is>
          <t>IQ_FQ-1</t>
        </is>
      </c>
      <c r="D148" t="inlineStr">
        <is>
          <t>IQ_NI</t>
        </is>
      </c>
    </row>
    <row r="149">
      <c r="A149" t="n">
        <v>154</v>
      </c>
      <c r="B149" t="inlineStr">
        <is>
          <t>net_income</t>
        </is>
      </c>
      <c r="C149" t="inlineStr">
        <is>
          <t>IQ_FQ-2</t>
        </is>
      </c>
      <c r="D149" t="inlineStr">
        <is>
          <t>IQ_NI</t>
        </is>
      </c>
    </row>
    <row r="150">
      <c r="A150" t="n">
        <v>155</v>
      </c>
      <c r="B150" t="inlineStr">
        <is>
          <t>net_income</t>
        </is>
      </c>
      <c r="C150" t="inlineStr">
        <is>
          <t>IQ_FQ-3</t>
        </is>
      </c>
      <c r="D150" t="inlineStr">
        <is>
          <t>IQ_NI</t>
        </is>
      </c>
    </row>
    <row r="151">
      <c r="A151" t="n">
        <v>156</v>
      </c>
      <c r="B151" t="inlineStr">
        <is>
          <t>net_income</t>
        </is>
      </c>
      <c r="C151" t="inlineStr">
        <is>
          <t>IQ_FQ-4</t>
        </is>
      </c>
      <c r="D151" t="inlineStr">
        <is>
          <t>IQ_NI</t>
        </is>
      </c>
    </row>
    <row r="152">
      <c r="A152" t="n">
        <v>157</v>
      </c>
      <c r="B152" t="inlineStr">
        <is>
          <t>net_income</t>
        </is>
      </c>
      <c r="C152" t="inlineStr">
        <is>
          <t>IQ_FQ-5</t>
        </is>
      </c>
      <c r="D152" t="inlineStr">
        <is>
          <t>IQ_NI</t>
        </is>
      </c>
    </row>
    <row r="153">
      <c r="A153" t="n">
        <v>158</v>
      </c>
      <c r="B153" t="inlineStr">
        <is>
          <t>net_income</t>
        </is>
      </c>
      <c r="C153" t="inlineStr">
        <is>
          <t>IQ_FQ-6</t>
        </is>
      </c>
      <c r="D153" t="inlineStr">
        <is>
          <t>IQ_NI</t>
        </is>
      </c>
    </row>
    <row r="154">
      <c r="A154" t="n">
        <v>159</v>
      </c>
      <c r="B154" t="inlineStr">
        <is>
          <t>net_income</t>
        </is>
      </c>
      <c r="C154" t="inlineStr">
        <is>
          <t>IQ_FQ-7</t>
        </is>
      </c>
      <c r="D154" t="inlineStr">
        <is>
          <t>IQ_NI</t>
        </is>
      </c>
    </row>
    <row r="155">
      <c r="A155" t="n">
        <v>160</v>
      </c>
      <c r="B155" t="inlineStr">
        <is>
          <t>interest_expense</t>
        </is>
      </c>
      <c r="C155" t="inlineStr">
        <is>
          <t>IQ_FQ-0</t>
        </is>
      </c>
      <c r="D155" t="inlineStr">
        <is>
          <t>IQ_INTEREST_EXP</t>
        </is>
      </c>
    </row>
    <row r="156">
      <c r="A156" t="n">
        <v>161</v>
      </c>
      <c r="B156" t="inlineStr">
        <is>
          <t>interest_expense</t>
        </is>
      </c>
      <c r="C156" t="inlineStr">
        <is>
          <t>IQ_FQ-1</t>
        </is>
      </c>
      <c r="D156" t="inlineStr">
        <is>
          <t>IQ_INTEREST_EXP</t>
        </is>
      </c>
    </row>
    <row r="157">
      <c r="A157" t="n">
        <v>162</v>
      </c>
      <c r="B157" t="inlineStr">
        <is>
          <t>interest_expense</t>
        </is>
      </c>
      <c r="C157" t="inlineStr">
        <is>
          <t>IQ_FQ-2</t>
        </is>
      </c>
      <c r="D157" t="inlineStr">
        <is>
          <t>IQ_INTEREST_EXP</t>
        </is>
      </c>
    </row>
    <row r="158">
      <c r="A158" t="n">
        <v>163</v>
      </c>
      <c r="B158" t="inlineStr">
        <is>
          <t>interest_expense</t>
        </is>
      </c>
      <c r="C158" t="inlineStr">
        <is>
          <t>IQ_FQ-3</t>
        </is>
      </c>
      <c r="D158" t="inlineStr">
        <is>
          <t>IQ_INTEREST_EXP</t>
        </is>
      </c>
    </row>
    <row r="159">
      <c r="A159" t="n">
        <v>164</v>
      </c>
      <c r="B159" t="inlineStr">
        <is>
          <t>interest_expense</t>
        </is>
      </c>
      <c r="C159" t="inlineStr">
        <is>
          <t>IQ_FQ-4</t>
        </is>
      </c>
      <c r="D159" t="inlineStr">
        <is>
          <t>IQ_INTEREST_EXP</t>
        </is>
      </c>
    </row>
    <row r="160">
      <c r="A160" t="n">
        <v>165</v>
      </c>
      <c r="B160" t="inlineStr">
        <is>
          <t>interest_expense</t>
        </is>
      </c>
      <c r="C160" t="inlineStr">
        <is>
          <t>IQ_FQ-5</t>
        </is>
      </c>
      <c r="D160" t="inlineStr">
        <is>
          <t>IQ_INTEREST_EXP</t>
        </is>
      </c>
    </row>
    <row r="161">
      <c r="A161" t="n">
        <v>166</v>
      </c>
      <c r="B161" t="inlineStr">
        <is>
          <t>interest_expense</t>
        </is>
      </c>
      <c r="C161" t="inlineStr">
        <is>
          <t>IQ_FQ-6</t>
        </is>
      </c>
      <c r="D161" t="inlineStr">
        <is>
          <t>IQ_INTEREST_EXP</t>
        </is>
      </c>
    </row>
    <row r="162">
      <c r="A162" t="n">
        <v>167</v>
      </c>
      <c r="B162" t="inlineStr">
        <is>
          <t>interest_expense</t>
        </is>
      </c>
      <c r="C162" t="inlineStr">
        <is>
          <t>IQ_FQ-7</t>
        </is>
      </c>
      <c r="D162" t="inlineStr">
        <is>
          <t>IQ_INTEREST_EXP</t>
        </is>
      </c>
    </row>
    <row r="163">
      <c r="A163" t="n">
        <v>168</v>
      </c>
      <c r="B163" t="inlineStr">
        <is>
          <t>d_a</t>
        </is>
      </c>
      <c r="C163" t="inlineStr">
        <is>
          <t>IQ_FQ-0</t>
        </is>
      </c>
      <c r="D163" t="inlineStr">
        <is>
          <t>IQ_DA_CF</t>
        </is>
      </c>
    </row>
    <row r="164">
      <c r="A164" t="n">
        <v>169</v>
      </c>
      <c r="B164" t="inlineStr">
        <is>
          <t>d_a</t>
        </is>
      </c>
      <c r="C164" t="inlineStr">
        <is>
          <t>IQ_FQ-1</t>
        </is>
      </c>
      <c r="D164" t="inlineStr">
        <is>
          <t>IQ_DA_CF</t>
        </is>
      </c>
    </row>
    <row r="165">
      <c r="A165" t="n">
        <v>170</v>
      </c>
      <c r="B165" t="inlineStr">
        <is>
          <t>d_a</t>
        </is>
      </c>
      <c r="C165" t="inlineStr">
        <is>
          <t>IQ_FQ-2</t>
        </is>
      </c>
      <c r="D165" t="inlineStr">
        <is>
          <t>IQ_DA_CF</t>
        </is>
      </c>
    </row>
    <row r="166">
      <c r="A166" t="n">
        <v>171</v>
      </c>
      <c r="B166" t="inlineStr">
        <is>
          <t>d_a</t>
        </is>
      </c>
      <c r="C166" t="inlineStr">
        <is>
          <t>IQ_FQ-3</t>
        </is>
      </c>
      <c r="D166" t="inlineStr">
        <is>
          <t>IQ_DA_CF</t>
        </is>
      </c>
    </row>
    <row r="167">
      <c r="A167" t="n">
        <v>172</v>
      </c>
      <c r="B167" t="inlineStr">
        <is>
          <t>d_a</t>
        </is>
      </c>
      <c r="C167" t="inlineStr">
        <is>
          <t>IQ_FQ-4</t>
        </is>
      </c>
      <c r="D167" t="inlineStr">
        <is>
          <t>IQ_DA_CF</t>
        </is>
      </c>
    </row>
    <row r="168">
      <c r="A168" t="n">
        <v>173</v>
      </c>
      <c r="B168" t="inlineStr">
        <is>
          <t>d_a</t>
        </is>
      </c>
      <c r="C168" t="inlineStr">
        <is>
          <t>IQ_FQ-5</t>
        </is>
      </c>
      <c r="D168" t="inlineStr">
        <is>
          <t>IQ_DA_CF</t>
        </is>
      </c>
    </row>
    <row r="169">
      <c r="A169" t="n">
        <v>174</v>
      </c>
      <c r="B169" t="inlineStr">
        <is>
          <t>d_a</t>
        </is>
      </c>
      <c r="C169" t="inlineStr">
        <is>
          <t>IQ_FQ-6</t>
        </is>
      </c>
      <c r="D169" t="inlineStr">
        <is>
          <t>IQ_DA_CF</t>
        </is>
      </c>
    </row>
    <row r="170">
      <c r="A170" t="n">
        <v>175</v>
      </c>
      <c r="B170" t="inlineStr">
        <is>
          <t>d_a</t>
        </is>
      </c>
      <c r="C170" t="inlineStr">
        <is>
          <t>IQ_FQ-7</t>
        </is>
      </c>
      <c r="D170" t="inlineStr">
        <is>
          <t>IQ_DA_CF</t>
        </is>
      </c>
    </row>
    <row r="171">
      <c r="A171" t="n">
        <v>176</v>
      </c>
      <c r="B171" t="inlineStr">
        <is>
          <t>r_and_d_expense</t>
        </is>
      </c>
      <c r="C171" t="inlineStr">
        <is>
          <t>IQ_FQ-0</t>
        </is>
      </c>
      <c r="D171" t="inlineStr">
        <is>
          <t>IQ_RD_EXP</t>
        </is>
      </c>
    </row>
    <row r="172">
      <c r="A172" t="n">
        <v>177</v>
      </c>
      <c r="B172" t="inlineStr">
        <is>
          <t>r_and_d_expense</t>
        </is>
      </c>
      <c r="C172" t="inlineStr">
        <is>
          <t>IQ_FQ-1</t>
        </is>
      </c>
      <c r="D172" t="inlineStr">
        <is>
          <t>IQ_RD_EXP</t>
        </is>
      </c>
    </row>
    <row r="173">
      <c r="A173" t="n">
        <v>178</v>
      </c>
      <c r="B173" t="inlineStr">
        <is>
          <t>r_and_d_expense</t>
        </is>
      </c>
      <c r="C173" t="inlineStr">
        <is>
          <t>IQ_FQ-2</t>
        </is>
      </c>
      <c r="D173" t="inlineStr">
        <is>
          <t>IQ_RD_EXP</t>
        </is>
      </c>
    </row>
    <row r="174">
      <c r="A174" t="n">
        <v>179</v>
      </c>
      <c r="B174" t="inlineStr">
        <is>
          <t>r_and_d_expense</t>
        </is>
      </c>
      <c r="C174" t="inlineStr">
        <is>
          <t>IQ_FQ-3</t>
        </is>
      </c>
      <c r="D174" t="inlineStr">
        <is>
          <t>IQ_RD_EXP</t>
        </is>
      </c>
    </row>
    <row r="175">
      <c r="A175" t="n">
        <v>180</v>
      </c>
      <c r="B175" t="inlineStr">
        <is>
          <t>r_and_d_expense</t>
        </is>
      </c>
      <c r="C175" t="inlineStr">
        <is>
          <t>IQ_FQ-4</t>
        </is>
      </c>
      <c r="D175" t="inlineStr">
        <is>
          <t>IQ_RD_EXP</t>
        </is>
      </c>
    </row>
    <row r="176">
      <c r="A176" t="n">
        <v>181</v>
      </c>
      <c r="B176" t="inlineStr">
        <is>
          <t>r_and_d_expense</t>
        </is>
      </c>
      <c r="C176" t="inlineStr">
        <is>
          <t>IQ_FQ-5</t>
        </is>
      </c>
      <c r="D176" t="inlineStr">
        <is>
          <t>IQ_RD_EXP</t>
        </is>
      </c>
    </row>
    <row r="177">
      <c r="A177" t="n">
        <v>182</v>
      </c>
      <c r="B177" t="inlineStr">
        <is>
          <t>r_and_d_expense</t>
        </is>
      </c>
      <c r="C177" t="inlineStr">
        <is>
          <t>IQ_FQ-6</t>
        </is>
      </c>
      <c r="D177" t="inlineStr">
        <is>
          <t>IQ_RD_EXP</t>
        </is>
      </c>
    </row>
    <row r="178">
      <c r="A178" t="n">
        <v>183</v>
      </c>
      <c r="B178" t="inlineStr">
        <is>
          <t>r_and_d_expense</t>
        </is>
      </c>
      <c r="C178" t="inlineStr">
        <is>
          <t>IQ_FQ-7</t>
        </is>
      </c>
      <c r="D178" t="inlineStr">
        <is>
          <t>IQ_RD_EXP</t>
        </is>
      </c>
    </row>
    <row r="179">
      <c r="A179" t="n">
        <v>184</v>
      </c>
      <c r="B179" t="inlineStr">
        <is>
          <t>capex</t>
        </is>
      </c>
      <c r="C179" t="inlineStr">
        <is>
          <t>IQ_FQ-0</t>
        </is>
      </c>
      <c r="D179" t="inlineStr">
        <is>
          <t>IQ_CAPEX</t>
        </is>
      </c>
    </row>
    <row r="180">
      <c r="A180" t="n">
        <v>185</v>
      </c>
      <c r="B180" t="inlineStr">
        <is>
          <t>capex</t>
        </is>
      </c>
      <c r="C180" t="inlineStr">
        <is>
          <t>IQ_FQ-1</t>
        </is>
      </c>
      <c r="D180" t="inlineStr">
        <is>
          <t>IQ_CAPEX</t>
        </is>
      </c>
    </row>
    <row r="181">
      <c r="A181" t="n">
        <v>186</v>
      </c>
      <c r="B181" t="inlineStr">
        <is>
          <t>capex</t>
        </is>
      </c>
      <c r="C181" t="inlineStr">
        <is>
          <t>IQ_FQ-2</t>
        </is>
      </c>
      <c r="D181" t="inlineStr">
        <is>
          <t>IQ_CAPEX</t>
        </is>
      </c>
    </row>
    <row r="182">
      <c r="A182" t="n">
        <v>187</v>
      </c>
      <c r="B182" t="inlineStr">
        <is>
          <t>capex</t>
        </is>
      </c>
      <c r="C182" t="inlineStr">
        <is>
          <t>IQ_FQ-3</t>
        </is>
      </c>
      <c r="D182" t="inlineStr">
        <is>
          <t>IQ_CAPEX</t>
        </is>
      </c>
    </row>
    <row r="183">
      <c r="A183" t="n">
        <v>188</v>
      </c>
      <c r="B183" t="inlineStr">
        <is>
          <t>capex</t>
        </is>
      </c>
      <c r="C183" t="inlineStr">
        <is>
          <t>IQ_FQ-4</t>
        </is>
      </c>
      <c r="D183" t="inlineStr">
        <is>
          <t>IQ_CAPEX</t>
        </is>
      </c>
    </row>
    <row r="184">
      <c r="A184" t="n">
        <v>189</v>
      </c>
      <c r="B184" t="inlineStr">
        <is>
          <t>capex</t>
        </is>
      </c>
      <c r="C184" t="inlineStr">
        <is>
          <t>IQ_FQ-5</t>
        </is>
      </c>
      <c r="D184" t="inlineStr">
        <is>
          <t>IQ_CAPEX</t>
        </is>
      </c>
    </row>
    <row r="185">
      <c r="A185" t="n">
        <v>190</v>
      </c>
      <c r="B185" t="inlineStr">
        <is>
          <t>capex</t>
        </is>
      </c>
      <c r="C185" t="inlineStr">
        <is>
          <t>IQ_FQ-6</t>
        </is>
      </c>
      <c r="D185" t="inlineStr">
        <is>
          <t>IQ_CAPEX</t>
        </is>
      </c>
    </row>
    <row r="186">
      <c r="A186" t="n">
        <v>191</v>
      </c>
      <c r="B186" t="inlineStr">
        <is>
          <t>capex</t>
        </is>
      </c>
      <c r="C186" t="inlineStr">
        <is>
          <t>IQ_FQ-7</t>
        </is>
      </c>
      <c r="D186" t="inlineStr">
        <is>
          <t>IQ_CAPEX</t>
        </is>
      </c>
    </row>
    <row r="187">
      <c r="A187" t="n">
        <v>192</v>
      </c>
      <c r="B187" t="inlineStr">
        <is>
          <t>operating_lease_expense</t>
        </is>
      </c>
      <c r="C187" t="inlineStr">
        <is>
          <t>IQ_FQ-0</t>
        </is>
      </c>
      <c r="D187" t="inlineStr">
        <is>
          <t>IQ_OPERATING_LEASE_PAYMENTS</t>
        </is>
      </c>
    </row>
    <row r="188">
      <c r="A188" t="n">
        <v>193</v>
      </c>
      <c r="B188" t="inlineStr">
        <is>
          <t>operating_lease_expense</t>
        </is>
      </c>
      <c r="C188" t="inlineStr">
        <is>
          <t>IQ_FQ-1</t>
        </is>
      </c>
      <c r="D188" t="inlineStr">
        <is>
          <t>IQ_OPERATING_LEASE_PAYMENTS</t>
        </is>
      </c>
    </row>
    <row r="189">
      <c r="A189" t="n">
        <v>194</v>
      </c>
      <c r="B189" t="inlineStr">
        <is>
          <t>operating_lease_expense</t>
        </is>
      </c>
      <c r="C189" t="inlineStr">
        <is>
          <t>IQ_FQ-2</t>
        </is>
      </c>
      <c r="D189" t="inlineStr">
        <is>
          <t>IQ_OPERATING_LEASE_PAYMENTS</t>
        </is>
      </c>
    </row>
    <row r="190">
      <c r="A190" t="n">
        <v>195</v>
      </c>
      <c r="B190" t="inlineStr">
        <is>
          <t>operating_lease_expense</t>
        </is>
      </c>
      <c r="C190" t="inlineStr">
        <is>
          <t>IQ_FQ-3</t>
        </is>
      </c>
      <c r="D190" t="inlineStr">
        <is>
          <t>IQ_OPERATING_LEASE_PAYMENTS</t>
        </is>
      </c>
    </row>
    <row r="191">
      <c r="A191" t="n">
        <v>196</v>
      </c>
      <c r="B191" t="inlineStr">
        <is>
          <t>operating_lease_expense</t>
        </is>
      </c>
      <c r="C191" t="inlineStr">
        <is>
          <t>IQ_FQ-4</t>
        </is>
      </c>
      <c r="D191" t="inlineStr">
        <is>
          <t>IQ_OPERATING_LEASE_PAYMENTS</t>
        </is>
      </c>
    </row>
    <row r="192">
      <c r="A192" t="n">
        <v>197</v>
      </c>
      <c r="B192" t="inlineStr">
        <is>
          <t>operating_lease_expense</t>
        </is>
      </c>
      <c r="C192" t="inlineStr">
        <is>
          <t>IQ_FQ-5</t>
        </is>
      </c>
      <c r="D192" t="inlineStr">
        <is>
          <t>IQ_OPERATING_LEASE_PAYMENTS</t>
        </is>
      </c>
    </row>
    <row r="193">
      <c r="A193" t="n">
        <v>198</v>
      </c>
      <c r="B193" t="inlineStr">
        <is>
          <t>operating_lease_expense</t>
        </is>
      </c>
      <c r="C193" t="inlineStr">
        <is>
          <t>IQ_FQ-6</t>
        </is>
      </c>
      <c r="D193" t="inlineStr">
        <is>
          <t>IQ_OPERATING_LEASE_PAYMENTS</t>
        </is>
      </c>
    </row>
    <row r="194">
      <c r="A194" t="n">
        <v>199</v>
      </c>
      <c r="B194" t="inlineStr">
        <is>
          <t>operating_lease_expense</t>
        </is>
      </c>
      <c r="C194" t="inlineStr">
        <is>
          <t>IQ_FQ-7</t>
        </is>
      </c>
      <c r="D194" t="inlineStr">
        <is>
          <t>IQ_OPERATING_LEASE_PAYMENTS</t>
        </is>
      </c>
    </row>
    <row r="195">
      <c r="A195" t="n">
        <v>200</v>
      </c>
      <c r="B195" t="inlineStr">
        <is>
          <t>earnings_before_tax</t>
        </is>
      </c>
      <c r="C195" t="inlineStr">
        <is>
          <t>IQ_FQ-0</t>
        </is>
      </c>
      <c r="D195" t="inlineStr">
        <is>
          <t>IQ_EBT_EXCL</t>
        </is>
      </c>
    </row>
    <row r="196">
      <c r="A196" t="n">
        <v>201</v>
      </c>
      <c r="B196" t="inlineStr">
        <is>
          <t>earnings_before_tax</t>
        </is>
      </c>
      <c r="C196" t="inlineStr">
        <is>
          <t>IQ_FQ-1</t>
        </is>
      </c>
      <c r="D196" t="inlineStr">
        <is>
          <t>IQ_EBT_EXCL</t>
        </is>
      </c>
    </row>
    <row r="197">
      <c r="A197" t="n">
        <v>202</v>
      </c>
      <c r="B197" t="inlineStr">
        <is>
          <t>earnings_before_tax</t>
        </is>
      </c>
      <c r="C197" t="inlineStr">
        <is>
          <t>IQ_FQ-2</t>
        </is>
      </c>
      <c r="D197" t="inlineStr">
        <is>
          <t>IQ_EBT_EXCL</t>
        </is>
      </c>
    </row>
    <row r="198">
      <c r="A198" t="n">
        <v>203</v>
      </c>
      <c r="B198" t="inlineStr">
        <is>
          <t>earnings_before_tax</t>
        </is>
      </c>
      <c r="C198" t="inlineStr">
        <is>
          <t>IQ_FQ-3</t>
        </is>
      </c>
      <c r="D198" t="inlineStr">
        <is>
          <t>IQ_EBT_EXCL</t>
        </is>
      </c>
    </row>
    <row r="199">
      <c r="A199" t="n">
        <v>204</v>
      </c>
      <c r="B199" t="inlineStr">
        <is>
          <t>earnings_before_tax</t>
        </is>
      </c>
      <c r="C199" t="inlineStr">
        <is>
          <t>IQ_FQ-4</t>
        </is>
      </c>
      <c r="D199" t="inlineStr">
        <is>
          <t>IQ_EBT_EXCL</t>
        </is>
      </c>
    </row>
    <row r="200">
      <c r="A200" t="n">
        <v>205</v>
      </c>
      <c r="B200" t="inlineStr">
        <is>
          <t>earnings_before_tax</t>
        </is>
      </c>
      <c r="C200" t="inlineStr">
        <is>
          <t>IQ_FQ-5</t>
        </is>
      </c>
      <c r="D200" t="inlineStr">
        <is>
          <t>IQ_EBT_EXCL</t>
        </is>
      </c>
    </row>
    <row r="201">
      <c r="A201" t="n">
        <v>206</v>
      </c>
      <c r="B201" t="inlineStr">
        <is>
          <t>earnings_before_tax</t>
        </is>
      </c>
      <c r="C201" t="inlineStr">
        <is>
          <t>IQ_FQ-6</t>
        </is>
      </c>
      <c r="D201" t="inlineStr">
        <is>
          <t>IQ_EBT_EXCL</t>
        </is>
      </c>
    </row>
    <row r="202">
      <c r="A202" t="n">
        <v>207</v>
      </c>
      <c r="B202" t="inlineStr">
        <is>
          <t>earnings_before_tax</t>
        </is>
      </c>
      <c r="C202" t="inlineStr">
        <is>
          <t>IQ_FQ-7</t>
        </is>
      </c>
      <c r="D202" t="inlineStr">
        <is>
          <t>IQ_EBT_EXCL</t>
        </is>
      </c>
    </row>
    <row r="203">
      <c r="A203" t="n">
        <v>208</v>
      </c>
      <c r="B203" t="inlineStr">
        <is>
          <t>total_tax_expense</t>
        </is>
      </c>
      <c r="C203" t="inlineStr">
        <is>
          <t>IQ_FQ-0</t>
        </is>
      </c>
      <c r="D203" t="inlineStr">
        <is>
          <t>IQ_INC_TAX</t>
        </is>
      </c>
    </row>
    <row r="204">
      <c r="A204" t="n">
        <v>209</v>
      </c>
      <c r="B204" t="inlineStr">
        <is>
          <t>total_tax_expense</t>
        </is>
      </c>
      <c r="C204" t="inlineStr">
        <is>
          <t>IQ_FQ-1</t>
        </is>
      </c>
      <c r="D204" t="inlineStr">
        <is>
          <t>IQ_INC_TAX</t>
        </is>
      </c>
    </row>
    <row r="205">
      <c r="A205" t="n">
        <v>210</v>
      </c>
      <c r="B205" t="inlineStr">
        <is>
          <t>total_tax_expense</t>
        </is>
      </c>
      <c r="C205" t="inlineStr">
        <is>
          <t>IQ_FQ-2</t>
        </is>
      </c>
      <c r="D205" t="inlineStr">
        <is>
          <t>IQ_INC_TAX</t>
        </is>
      </c>
    </row>
    <row r="206">
      <c r="A206" t="n">
        <v>211</v>
      </c>
      <c r="B206" t="inlineStr">
        <is>
          <t>total_tax_expense</t>
        </is>
      </c>
      <c r="C206" t="inlineStr">
        <is>
          <t>IQ_FQ-3</t>
        </is>
      </c>
      <c r="D206" t="inlineStr">
        <is>
          <t>IQ_INC_TAX</t>
        </is>
      </c>
    </row>
    <row r="207">
      <c r="A207" t="n">
        <v>212</v>
      </c>
      <c r="B207" t="inlineStr">
        <is>
          <t>total_tax_expense</t>
        </is>
      </c>
      <c r="C207" t="inlineStr">
        <is>
          <t>IQ_FQ-4</t>
        </is>
      </c>
      <c r="D207" t="inlineStr">
        <is>
          <t>IQ_INC_TAX</t>
        </is>
      </c>
    </row>
    <row r="208">
      <c r="A208" t="n">
        <v>213</v>
      </c>
      <c r="B208" t="inlineStr">
        <is>
          <t>total_tax_expense</t>
        </is>
      </c>
      <c r="C208" t="inlineStr">
        <is>
          <t>IQ_FQ-5</t>
        </is>
      </c>
      <c r="D208" t="inlineStr">
        <is>
          <t>IQ_INC_TAX</t>
        </is>
      </c>
    </row>
    <row r="209">
      <c r="A209" t="n">
        <v>214</v>
      </c>
      <c r="B209" t="inlineStr">
        <is>
          <t>total_tax_expense</t>
        </is>
      </c>
      <c r="C209" t="inlineStr">
        <is>
          <t>IQ_FQ-6</t>
        </is>
      </c>
      <c r="D209" t="inlineStr">
        <is>
          <t>IQ_INC_TAX</t>
        </is>
      </c>
    </row>
    <row r="210">
      <c r="A210" t="n">
        <v>215</v>
      </c>
      <c r="B210" t="inlineStr">
        <is>
          <t>total_tax_expense</t>
        </is>
      </c>
      <c r="C210" t="inlineStr">
        <is>
          <t>IQ_FQ-7</t>
        </is>
      </c>
      <c r="D210" t="inlineStr">
        <is>
          <t>IQ_INC_TAX</t>
        </is>
      </c>
    </row>
    <row r="211">
      <c r="A211" t="n">
        <v>217</v>
      </c>
      <c r="B211" t="inlineStr">
        <is>
          <t>cash_and_marketable_securities</t>
        </is>
      </c>
      <c r="C211" t="inlineStr">
        <is>
          <t>IQ_FY-0</t>
        </is>
      </c>
      <c r="D211" t="inlineStr">
        <is>
          <t>IQ_CASH_EQUIV</t>
        </is>
      </c>
    </row>
    <row r="212">
      <c r="A212" t="n">
        <v>218</v>
      </c>
      <c r="B212" t="inlineStr">
        <is>
          <t>cash_and_marketable_securities</t>
        </is>
      </c>
      <c r="C212" t="inlineStr">
        <is>
          <t>IQ_FY-1</t>
        </is>
      </c>
      <c r="D212" t="inlineStr">
        <is>
          <t>IQ_CASH_EQUIV</t>
        </is>
      </c>
    </row>
    <row r="213">
      <c r="A213" t="n">
        <v>219</v>
      </c>
      <c r="B213" t="inlineStr">
        <is>
          <t>cash_and_marketable_securities</t>
        </is>
      </c>
      <c r="C213" t="inlineStr">
        <is>
          <t>IQ_FY-2</t>
        </is>
      </c>
      <c r="D213" t="inlineStr">
        <is>
          <t>IQ_CASH_EQUIV</t>
        </is>
      </c>
    </row>
    <row r="214">
      <c r="A214" t="n">
        <v>220</v>
      </c>
      <c r="B214" t="inlineStr">
        <is>
          <t>cash_and_marketable_securities</t>
        </is>
      </c>
      <c r="C214" t="inlineStr">
        <is>
          <t>IQ_FY-3</t>
        </is>
      </c>
      <c r="D214" t="inlineStr">
        <is>
          <t>IQ_CASH_EQUIV</t>
        </is>
      </c>
    </row>
    <row r="215">
      <c r="A215" t="n">
        <v>221</v>
      </c>
      <c r="B215" t="inlineStr">
        <is>
          <t>cash_and_marketable_securities</t>
        </is>
      </c>
      <c r="C215" t="inlineStr">
        <is>
          <t>IQ_FY-4</t>
        </is>
      </c>
      <c r="D215" t="inlineStr">
        <is>
          <t>IQ_CASH_EQUIV</t>
        </is>
      </c>
    </row>
    <row r="216">
      <c r="A216" t="n">
        <v>222</v>
      </c>
      <c r="B216" t="inlineStr">
        <is>
          <t>cash_and_marketable_securities</t>
        </is>
      </c>
      <c r="C216" t="inlineStr">
        <is>
          <t>IQ_FY-5</t>
        </is>
      </c>
      <c r="D216" t="inlineStr">
        <is>
          <t>IQ_CASH_EQUIV</t>
        </is>
      </c>
    </row>
    <row r="217">
      <c r="A217" t="n">
        <v>223</v>
      </c>
      <c r="B217" t="inlineStr">
        <is>
          <t>cash_and_marketable_securities</t>
        </is>
      </c>
      <c r="C217" t="inlineStr">
        <is>
          <t>IQ_FY-6</t>
        </is>
      </c>
      <c r="D217" t="inlineStr">
        <is>
          <t>IQ_CASH_EQUIV</t>
        </is>
      </c>
    </row>
    <row r="218">
      <c r="A218" t="n">
        <v>224</v>
      </c>
      <c r="B218" t="inlineStr">
        <is>
          <t>cash_and_marketable_securities</t>
        </is>
      </c>
      <c r="C218" t="inlineStr">
        <is>
          <t>IQ_FY-7</t>
        </is>
      </c>
      <c r="D218" t="inlineStr">
        <is>
          <t>IQ_CASH_EQUIV</t>
        </is>
      </c>
    </row>
    <row r="219">
      <c r="A219" t="n">
        <v>225</v>
      </c>
      <c r="B219" t="inlineStr">
        <is>
          <t>cash_and_marketable_securities</t>
        </is>
      </c>
      <c r="C219" t="inlineStr">
        <is>
          <t>IQ_FY-8</t>
        </is>
      </c>
      <c r="D219" t="inlineStr">
        <is>
          <t>IQ_CASH_EQUIV</t>
        </is>
      </c>
    </row>
    <row r="220">
      <c r="A220" t="n">
        <v>226</v>
      </c>
      <c r="B220" t="inlineStr">
        <is>
          <t>cash_and_marketable_securities</t>
        </is>
      </c>
      <c r="C220" t="inlineStr">
        <is>
          <t>IQ_FY-9</t>
        </is>
      </c>
      <c r="D220" t="inlineStr">
        <is>
          <t>IQ_CASH_EQUIV</t>
        </is>
      </c>
    </row>
    <row r="221">
      <c r="A221" t="n">
        <v>227</v>
      </c>
      <c r="B221" t="inlineStr">
        <is>
          <t>cash_and_marketable_securities</t>
        </is>
      </c>
      <c r="C221" t="inlineStr">
        <is>
          <t>IQ_FY-10</t>
        </is>
      </c>
      <c r="D221" t="inlineStr">
        <is>
          <t>IQ_CASH_EQUIV</t>
        </is>
      </c>
    </row>
    <row r="222">
      <c r="A222" t="n">
        <v>228</v>
      </c>
      <c r="B222" t="inlineStr">
        <is>
          <t>bv_equity</t>
        </is>
      </c>
      <c r="C222" t="inlineStr">
        <is>
          <t>IQ_FY-0</t>
        </is>
      </c>
      <c r="D222" t="inlineStr">
        <is>
          <t>IQ_TOTAL_EQUITY</t>
        </is>
      </c>
    </row>
    <row r="223">
      <c r="A223" t="n">
        <v>229</v>
      </c>
      <c r="B223" t="inlineStr">
        <is>
          <t>bv_equity</t>
        </is>
      </c>
      <c r="C223" t="inlineStr">
        <is>
          <t>IQ_FY-1</t>
        </is>
      </c>
      <c r="D223" t="inlineStr">
        <is>
          <t>IQ_TOTAL_EQUITY</t>
        </is>
      </c>
    </row>
    <row r="224">
      <c r="A224" t="n">
        <v>230</v>
      </c>
      <c r="B224" t="inlineStr">
        <is>
          <t>bv_equity</t>
        </is>
      </c>
      <c r="C224" t="inlineStr">
        <is>
          <t>IQ_FY-2</t>
        </is>
      </c>
      <c r="D224" t="inlineStr">
        <is>
          <t>IQ_TOTAL_EQUITY</t>
        </is>
      </c>
    </row>
    <row r="225">
      <c r="A225" t="n">
        <v>231</v>
      </c>
      <c r="B225" t="inlineStr">
        <is>
          <t>bv_equity</t>
        </is>
      </c>
      <c r="C225" t="inlineStr">
        <is>
          <t>IQ_FY-3</t>
        </is>
      </c>
      <c r="D225" t="inlineStr">
        <is>
          <t>IQ_TOTAL_EQUITY</t>
        </is>
      </c>
    </row>
    <row r="226">
      <c r="A226" t="n">
        <v>232</v>
      </c>
      <c r="B226" t="inlineStr">
        <is>
          <t>bv_equity</t>
        </is>
      </c>
      <c r="C226" t="inlineStr">
        <is>
          <t>IQ_FY-4</t>
        </is>
      </c>
      <c r="D226" t="inlineStr">
        <is>
          <t>IQ_TOTAL_EQUITY</t>
        </is>
      </c>
    </row>
    <row r="227">
      <c r="A227" t="n">
        <v>233</v>
      </c>
      <c r="B227" t="inlineStr">
        <is>
          <t>bv_equity</t>
        </is>
      </c>
      <c r="C227" t="inlineStr">
        <is>
          <t>IQ_FY-5</t>
        </is>
      </c>
      <c r="D227" t="inlineStr">
        <is>
          <t>IQ_TOTAL_EQUITY</t>
        </is>
      </c>
    </row>
    <row r="228">
      <c r="A228" t="n">
        <v>234</v>
      </c>
      <c r="B228" t="inlineStr">
        <is>
          <t>bv_equity</t>
        </is>
      </c>
      <c r="C228" t="inlineStr">
        <is>
          <t>IQ_FY-6</t>
        </is>
      </c>
      <c r="D228" t="inlineStr">
        <is>
          <t>IQ_TOTAL_EQUITY</t>
        </is>
      </c>
    </row>
    <row r="229">
      <c r="A229" t="n">
        <v>235</v>
      </c>
      <c r="B229" t="inlineStr">
        <is>
          <t>bv_equity</t>
        </is>
      </c>
      <c r="C229" t="inlineStr">
        <is>
          <t>IQ_FY-7</t>
        </is>
      </c>
      <c r="D229" t="inlineStr">
        <is>
          <t>IQ_TOTAL_EQUITY</t>
        </is>
      </c>
    </row>
    <row r="230">
      <c r="A230" t="n">
        <v>236</v>
      </c>
      <c r="B230" t="inlineStr">
        <is>
          <t>bv_equity</t>
        </is>
      </c>
      <c r="C230" t="inlineStr">
        <is>
          <t>IQ_FY-8</t>
        </is>
      </c>
      <c r="D230" t="inlineStr">
        <is>
          <t>IQ_TOTAL_EQUITY</t>
        </is>
      </c>
    </row>
    <row r="231">
      <c r="A231" t="n">
        <v>237</v>
      </c>
      <c r="B231" t="inlineStr">
        <is>
          <t>bv_equity</t>
        </is>
      </c>
      <c r="C231" t="inlineStr">
        <is>
          <t>IQ_FY-9</t>
        </is>
      </c>
      <c r="D231" t="inlineStr">
        <is>
          <t>IQ_TOTAL_EQUITY</t>
        </is>
      </c>
    </row>
    <row r="232">
      <c r="A232" t="n">
        <v>238</v>
      </c>
      <c r="B232" t="inlineStr">
        <is>
          <t>bv_equity</t>
        </is>
      </c>
      <c r="C232" t="inlineStr">
        <is>
          <t>IQ_FY-10</t>
        </is>
      </c>
      <c r="D232" t="inlineStr">
        <is>
          <t>IQ_TOTAL_EQUITY</t>
        </is>
      </c>
    </row>
    <row r="233">
      <c r="A233" t="n">
        <v>239</v>
      </c>
      <c r="B233" t="inlineStr">
        <is>
          <t>bv_debt</t>
        </is>
      </c>
      <c r="C233" t="inlineStr">
        <is>
          <t>IQ_FY-0</t>
        </is>
      </c>
      <c r="D233" t="inlineStr">
        <is>
          <t>IQ_TOTAL_DEBT</t>
        </is>
      </c>
    </row>
    <row r="234">
      <c r="A234" t="n">
        <v>240</v>
      </c>
      <c r="B234" t="inlineStr">
        <is>
          <t>bv_debt</t>
        </is>
      </c>
      <c r="C234" t="inlineStr">
        <is>
          <t>IQ_FY-1</t>
        </is>
      </c>
      <c r="D234" t="inlineStr">
        <is>
          <t>IQ_TOTAL_DEBT</t>
        </is>
      </c>
    </row>
    <row r="235">
      <c r="A235" t="n">
        <v>241</v>
      </c>
      <c r="B235" t="inlineStr">
        <is>
          <t>bv_debt</t>
        </is>
      </c>
      <c r="C235" t="inlineStr">
        <is>
          <t>IQ_FY-2</t>
        </is>
      </c>
      <c r="D235" t="inlineStr">
        <is>
          <t>IQ_TOTAL_DEBT</t>
        </is>
      </c>
    </row>
    <row r="236">
      <c r="A236" t="n">
        <v>242</v>
      </c>
      <c r="B236" t="inlineStr">
        <is>
          <t>bv_debt</t>
        </is>
      </c>
      <c r="C236" t="inlineStr">
        <is>
          <t>IQ_FY-3</t>
        </is>
      </c>
      <c r="D236" t="inlineStr">
        <is>
          <t>IQ_TOTAL_DEBT</t>
        </is>
      </c>
    </row>
    <row r="237">
      <c r="A237" t="n">
        <v>243</v>
      </c>
      <c r="B237" t="inlineStr">
        <is>
          <t>bv_debt</t>
        </is>
      </c>
      <c r="C237" t="inlineStr">
        <is>
          <t>IQ_FY-4</t>
        </is>
      </c>
      <c r="D237" t="inlineStr">
        <is>
          <t>IQ_TOTAL_DEBT</t>
        </is>
      </c>
    </row>
    <row r="238">
      <c r="A238" t="n">
        <v>244</v>
      </c>
      <c r="B238" t="inlineStr">
        <is>
          <t>bv_debt</t>
        </is>
      </c>
      <c r="C238" t="inlineStr">
        <is>
          <t>IQ_FY-5</t>
        </is>
      </c>
      <c r="D238" t="inlineStr">
        <is>
          <t>IQ_TOTAL_DEBT</t>
        </is>
      </c>
    </row>
    <row r="239">
      <c r="A239" t="n">
        <v>245</v>
      </c>
      <c r="B239" t="inlineStr">
        <is>
          <t>bv_debt</t>
        </is>
      </c>
      <c r="C239" t="inlineStr">
        <is>
          <t>IQ_FY-6</t>
        </is>
      </c>
      <c r="D239" t="inlineStr">
        <is>
          <t>IQ_TOTAL_DEBT</t>
        </is>
      </c>
    </row>
    <row r="240">
      <c r="A240" t="n">
        <v>246</v>
      </c>
      <c r="B240" t="inlineStr">
        <is>
          <t>bv_debt</t>
        </is>
      </c>
      <c r="C240" t="inlineStr">
        <is>
          <t>IQ_FY-7</t>
        </is>
      </c>
      <c r="D240" t="inlineStr">
        <is>
          <t>IQ_TOTAL_DEBT</t>
        </is>
      </c>
    </row>
    <row r="241">
      <c r="A241" t="n">
        <v>247</v>
      </c>
      <c r="B241" t="inlineStr">
        <is>
          <t>bv_debt</t>
        </is>
      </c>
      <c r="C241" t="inlineStr">
        <is>
          <t>IQ_FY-8</t>
        </is>
      </c>
      <c r="D241" t="inlineStr">
        <is>
          <t>IQ_TOTAL_DEBT</t>
        </is>
      </c>
    </row>
    <row r="242">
      <c r="A242" t="n">
        <v>248</v>
      </c>
      <c r="B242" t="inlineStr">
        <is>
          <t>bv_debt</t>
        </is>
      </c>
      <c r="C242" t="inlineStr">
        <is>
          <t>IQ_FY-9</t>
        </is>
      </c>
      <c r="D242" t="inlineStr">
        <is>
          <t>IQ_TOTAL_DEBT</t>
        </is>
      </c>
    </row>
    <row r="243">
      <c r="A243" t="n">
        <v>249</v>
      </c>
      <c r="B243" t="inlineStr">
        <is>
          <t>bv_debt</t>
        </is>
      </c>
      <c r="C243" t="inlineStr">
        <is>
          <t>IQ_FY-10</t>
        </is>
      </c>
      <c r="D243" t="inlineStr">
        <is>
          <t>IQ_TOTAL_DEBT</t>
        </is>
      </c>
    </row>
    <row r="244">
      <c r="A244" t="n">
        <v>250</v>
      </c>
      <c r="B244" t="inlineStr">
        <is>
          <t>shares_outstanding</t>
        </is>
      </c>
      <c r="C244" t="inlineStr">
        <is>
          <t>IQ_FY-0</t>
        </is>
      </c>
      <c r="D244" t="inlineStr">
        <is>
          <t>IQ_TOTAL_OUTSTANDING_FILING_DATE</t>
        </is>
      </c>
    </row>
    <row r="245">
      <c r="A245" t="n">
        <v>251</v>
      </c>
      <c r="B245" t="inlineStr">
        <is>
          <t>shares_outstanding</t>
        </is>
      </c>
      <c r="C245" t="inlineStr">
        <is>
          <t>IQ_FY-1</t>
        </is>
      </c>
      <c r="D245" t="inlineStr">
        <is>
          <t>IQ_TOTAL_OUTSTANDING_FILING_DATE</t>
        </is>
      </c>
    </row>
    <row r="246">
      <c r="A246" t="n">
        <v>252</v>
      </c>
      <c r="B246" t="inlineStr">
        <is>
          <t>shares_outstanding</t>
        </is>
      </c>
      <c r="C246" t="inlineStr">
        <is>
          <t>IQ_FY-2</t>
        </is>
      </c>
      <c r="D246" t="inlineStr">
        <is>
          <t>IQ_TOTAL_OUTSTANDING_FILING_DATE</t>
        </is>
      </c>
    </row>
    <row r="247">
      <c r="A247" t="n">
        <v>253</v>
      </c>
      <c r="B247" t="inlineStr">
        <is>
          <t>shares_outstanding</t>
        </is>
      </c>
      <c r="C247" t="inlineStr">
        <is>
          <t>IQ_FY-3</t>
        </is>
      </c>
      <c r="D247" t="inlineStr">
        <is>
          <t>IQ_TOTAL_OUTSTANDING_FILING_DATE</t>
        </is>
      </c>
    </row>
    <row r="248">
      <c r="A248" t="n">
        <v>254</v>
      </c>
      <c r="B248" t="inlineStr">
        <is>
          <t>shares_outstanding</t>
        </is>
      </c>
      <c r="C248" t="inlineStr">
        <is>
          <t>IQ_FY-4</t>
        </is>
      </c>
      <c r="D248" t="inlineStr">
        <is>
          <t>IQ_TOTAL_OUTSTANDING_FILING_DATE</t>
        </is>
      </c>
    </row>
    <row r="249">
      <c r="A249" t="n">
        <v>255</v>
      </c>
      <c r="B249" t="inlineStr">
        <is>
          <t>shares_outstanding</t>
        </is>
      </c>
      <c r="C249" t="inlineStr">
        <is>
          <t>IQ_FY-5</t>
        </is>
      </c>
      <c r="D249" t="inlineStr">
        <is>
          <t>IQ_TOTAL_OUTSTANDING_FILING_DATE</t>
        </is>
      </c>
    </row>
    <row r="250">
      <c r="A250" t="n">
        <v>256</v>
      </c>
      <c r="B250" t="inlineStr">
        <is>
          <t>shares_outstanding</t>
        </is>
      </c>
      <c r="C250" t="inlineStr">
        <is>
          <t>IQ_FY-6</t>
        </is>
      </c>
      <c r="D250" t="inlineStr">
        <is>
          <t>IQ_TOTAL_OUTSTANDING_FILING_DATE</t>
        </is>
      </c>
    </row>
    <row r="251">
      <c r="A251" t="n">
        <v>257</v>
      </c>
      <c r="B251" t="inlineStr">
        <is>
          <t>shares_outstanding</t>
        </is>
      </c>
      <c r="C251" t="inlineStr">
        <is>
          <t>IQ_FY-7</t>
        </is>
      </c>
      <c r="D251" t="inlineStr">
        <is>
          <t>IQ_TOTAL_OUTSTANDING_FILING_DATE</t>
        </is>
      </c>
    </row>
    <row r="252">
      <c r="A252" t="n">
        <v>258</v>
      </c>
      <c r="B252" t="inlineStr">
        <is>
          <t>shares_outstanding</t>
        </is>
      </c>
      <c r="C252" t="inlineStr">
        <is>
          <t>IQ_FY-8</t>
        </is>
      </c>
      <c r="D252" t="inlineStr">
        <is>
          <t>IQ_TOTAL_OUTSTANDING_FILING_DATE</t>
        </is>
      </c>
    </row>
    <row r="253">
      <c r="A253" t="n">
        <v>259</v>
      </c>
      <c r="B253" t="inlineStr">
        <is>
          <t>shares_outstanding</t>
        </is>
      </c>
      <c r="C253" t="inlineStr">
        <is>
          <t>IQ_FY-9</t>
        </is>
      </c>
      <c r="D253" t="inlineStr">
        <is>
          <t>IQ_TOTAL_OUTSTANDING_FILING_DATE</t>
        </is>
      </c>
    </row>
    <row r="254">
      <c r="A254" t="n">
        <v>260</v>
      </c>
      <c r="B254" t="inlineStr">
        <is>
          <t>shares_outstanding</t>
        </is>
      </c>
      <c r="C254" t="inlineStr">
        <is>
          <t>IQ_FY-10</t>
        </is>
      </c>
      <c r="D254" t="inlineStr">
        <is>
          <t>IQ_TOTAL_OUTSTANDING_FILING_DATE</t>
        </is>
      </c>
    </row>
    <row r="255">
      <c r="A255" t="n">
        <v>261</v>
      </c>
      <c r="B255" t="inlineStr">
        <is>
          <t>cross_holdings</t>
        </is>
      </c>
      <c r="C255" t="inlineStr">
        <is>
          <t>IQ_FY-0</t>
        </is>
      </c>
      <c r="D255" t="inlineStr">
        <is>
          <t>IQ_LT_INVEST</t>
        </is>
      </c>
    </row>
    <row r="256">
      <c r="A256" t="n">
        <v>262</v>
      </c>
      <c r="B256" t="inlineStr">
        <is>
          <t>cross_holdings</t>
        </is>
      </c>
      <c r="C256" t="inlineStr">
        <is>
          <t>IQ_FY-1</t>
        </is>
      </c>
      <c r="D256" t="inlineStr">
        <is>
          <t>IQ_LT_INVEST</t>
        </is>
      </c>
    </row>
    <row r="257">
      <c r="A257" t="n">
        <v>263</v>
      </c>
      <c r="B257" t="inlineStr">
        <is>
          <t>cross_holdings</t>
        </is>
      </c>
      <c r="C257" t="inlineStr">
        <is>
          <t>IQ_FY-2</t>
        </is>
      </c>
      <c r="D257" t="inlineStr">
        <is>
          <t>IQ_LT_INVEST</t>
        </is>
      </c>
    </row>
    <row r="258">
      <c r="A258" t="n">
        <v>264</v>
      </c>
      <c r="B258" t="inlineStr">
        <is>
          <t>cross_holdings</t>
        </is>
      </c>
      <c r="C258" t="inlineStr">
        <is>
          <t>IQ_FY-3</t>
        </is>
      </c>
      <c r="D258" t="inlineStr">
        <is>
          <t>IQ_LT_INVEST</t>
        </is>
      </c>
    </row>
    <row r="259">
      <c r="A259" t="n">
        <v>265</v>
      </c>
      <c r="B259" t="inlineStr">
        <is>
          <t>cross_holdings</t>
        </is>
      </c>
      <c r="C259" t="inlineStr">
        <is>
          <t>IQ_FY-4</t>
        </is>
      </c>
      <c r="D259" t="inlineStr">
        <is>
          <t>IQ_LT_INVEST</t>
        </is>
      </c>
    </row>
    <row r="260">
      <c r="A260" t="n">
        <v>266</v>
      </c>
      <c r="B260" t="inlineStr">
        <is>
          <t>cross_holdings</t>
        </is>
      </c>
      <c r="C260" t="inlineStr">
        <is>
          <t>IQ_FY-5</t>
        </is>
      </c>
      <c r="D260" t="inlineStr">
        <is>
          <t>IQ_LT_INVEST</t>
        </is>
      </c>
    </row>
    <row r="261">
      <c r="A261" t="n">
        <v>267</v>
      </c>
      <c r="B261" t="inlineStr">
        <is>
          <t>cross_holdings</t>
        </is>
      </c>
      <c r="C261" t="inlineStr">
        <is>
          <t>IQ_FY-6</t>
        </is>
      </c>
      <c r="D261" t="inlineStr">
        <is>
          <t>IQ_LT_INVEST</t>
        </is>
      </c>
    </row>
    <row r="262">
      <c r="A262" t="n">
        <v>268</v>
      </c>
      <c r="B262" t="inlineStr">
        <is>
          <t>cross_holdings</t>
        </is>
      </c>
      <c r="C262" t="inlineStr">
        <is>
          <t>IQ_FY-7</t>
        </is>
      </c>
      <c r="D262" t="inlineStr">
        <is>
          <t>IQ_LT_INVEST</t>
        </is>
      </c>
    </row>
    <row r="263">
      <c r="A263" t="n">
        <v>269</v>
      </c>
      <c r="B263" t="inlineStr">
        <is>
          <t>cross_holdings</t>
        </is>
      </c>
      <c r="C263" t="inlineStr">
        <is>
          <t>IQ_FY-8</t>
        </is>
      </c>
      <c r="D263" t="inlineStr">
        <is>
          <t>IQ_LT_INVEST</t>
        </is>
      </c>
    </row>
    <row r="264">
      <c r="A264" t="n">
        <v>270</v>
      </c>
      <c r="B264" t="inlineStr">
        <is>
          <t>cross_holdings</t>
        </is>
      </c>
      <c r="C264" t="inlineStr">
        <is>
          <t>IQ_FY-9</t>
        </is>
      </c>
      <c r="D264" t="inlineStr">
        <is>
          <t>IQ_LT_INVEST</t>
        </is>
      </c>
    </row>
    <row r="265">
      <c r="A265" t="n">
        <v>271</v>
      </c>
      <c r="B265" t="inlineStr">
        <is>
          <t>cross_holdings</t>
        </is>
      </c>
      <c r="C265" t="inlineStr">
        <is>
          <t>IQ_FY-10</t>
        </is>
      </c>
      <c r="D265" t="inlineStr">
        <is>
          <t>IQ_LT_INVEST</t>
        </is>
      </c>
    </row>
    <row r="266">
      <c r="A266" t="n">
        <v>272</v>
      </c>
      <c r="B266" t="inlineStr">
        <is>
          <t>minority_interests</t>
        </is>
      </c>
      <c r="C266" t="inlineStr">
        <is>
          <t>IQ_FY-0</t>
        </is>
      </c>
      <c r="D266" t="inlineStr">
        <is>
          <t>IQ_MINORITY_INTEREST</t>
        </is>
      </c>
    </row>
    <row r="267">
      <c r="A267" t="n">
        <v>273</v>
      </c>
      <c r="B267" t="inlineStr">
        <is>
          <t>minority_interests</t>
        </is>
      </c>
      <c r="C267" t="inlineStr">
        <is>
          <t>IQ_FY-1</t>
        </is>
      </c>
      <c r="D267" t="inlineStr">
        <is>
          <t>IQ_MINORITY_INTEREST</t>
        </is>
      </c>
    </row>
    <row r="268">
      <c r="A268" t="n">
        <v>274</v>
      </c>
      <c r="B268" t="inlineStr">
        <is>
          <t>minority_interests</t>
        </is>
      </c>
      <c r="C268" t="inlineStr">
        <is>
          <t>IQ_FY-2</t>
        </is>
      </c>
      <c r="D268" t="inlineStr">
        <is>
          <t>IQ_MINORITY_INTEREST</t>
        </is>
      </c>
    </row>
    <row r="269">
      <c r="A269" t="n">
        <v>275</v>
      </c>
      <c r="B269" t="inlineStr">
        <is>
          <t>minority_interests</t>
        </is>
      </c>
      <c r="C269" t="inlineStr">
        <is>
          <t>IQ_FY-3</t>
        </is>
      </c>
      <c r="D269" t="inlineStr">
        <is>
          <t>IQ_MINORITY_INTEREST</t>
        </is>
      </c>
    </row>
    <row r="270">
      <c r="A270" t="n">
        <v>276</v>
      </c>
      <c r="B270" t="inlineStr">
        <is>
          <t>minority_interests</t>
        </is>
      </c>
      <c r="C270" t="inlineStr">
        <is>
          <t>IQ_FY-4</t>
        </is>
      </c>
      <c r="D270" t="inlineStr">
        <is>
          <t>IQ_MINORITY_INTEREST</t>
        </is>
      </c>
    </row>
    <row r="271">
      <c r="A271" t="n">
        <v>277</v>
      </c>
      <c r="B271" t="inlineStr">
        <is>
          <t>minority_interests</t>
        </is>
      </c>
      <c r="C271" t="inlineStr">
        <is>
          <t>IQ_FY-5</t>
        </is>
      </c>
      <c r="D271" t="inlineStr">
        <is>
          <t>IQ_MINORITY_INTEREST</t>
        </is>
      </c>
    </row>
    <row r="272">
      <c r="A272" t="n">
        <v>278</v>
      </c>
      <c r="B272" t="inlineStr">
        <is>
          <t>minority_interests</t>
        </is>
      </c>
      <c r="C272" t="inlineStr">
        <is>
          <t>IQ_FY-6</t>
        </is>
      </c>
      <c r="D272" t="inlineStr">
        <is>
          <t>IQ_MINORITY_INTEREST</t>
        </is>
      </c>
    </row>
    <row r="273">
      <c r="A273" t="n">
        <v>279</v>
      </c>
      <c r="B273" t="inlineStr">
        <is>
          <t>minority_interests</t>
        </is>
      </c>
      <c r="C273" t="inlineStr">
        <is>
          <t>IQ_FY-7</t>
        </is>
      </c>
      <c r="D273" t="inlineStr">
        <is>
          <t>IQ_MINORITY_INTEREST</t>
        </is>
      </c>
    </row>
    <row r="274">
      <c r="A274" t="n">
        <v>280</v>
      </c>
      <c r="B274" t="inlineStr">
        <is>
          <t>minority_interests</t>
        </is>
      </c>
      <c r="C274" t="inlineStr">
        <is>
          <t>IQ_FY-8</t>
        </is>
      </c>
      <c r="D274" t="inlineStr">
        <is>
          <t>IQ_MINORITY_INTEREST</t>
        </is>
      </c>
    </row>
    <row r="275">
      <c r="A275" t="n">
        <v>281</v>
      </c>
      <c r="B275" t="inlineStr">
        <is>
          <t>minority_interests</t>
        </is>
      </c>
      <c r="C275" t="inlineStr">
        <is>
          <t>IQ_FY-9</t>
        </is>
      </c>
      <c r="D275" t="inlineStr">
        <is>
          <t>IQ_MINORITY_INTEREST</t>
        </is>
      </c>
    </row>
    <row r="276">
      <c r="A276" t="n">
        <v>282</v>
      </c>
      <c r="B276" t="inlineStr">
        <is>
          <t>minority_interests</t>
        </is>
      </c>
      <c r="C276" t="inlineStr">
        <is>
          <t>IQ_FY-10</t>
        </is>
      </c>
      <c r="D276" t="inlineStr">
        <is>
          <t>IQ_MINORITY_INTEREST</t>
        </is>
      </c>
    </row>
    <row r="277">
      <c r="A277" t="n">
        <v>284</v>
      </c>
      <c r="B277" t="inlineStr">
        <is>
          <t>cash_and_marketable_securities</t>
        </is>
      </c>
      <c r="C277" t="inlineStr">
        <is>
          <t>IQ_FQ-0</t>
        </is>
      </c>
      <c r="D277" t="inlineStr">
        <is>
          <t>IQ_CASH_EQUIV</t>
        </is>
      </c>
    </row>
    <row r="278">
      <c r="A278" t="n">
        <v>285</v>
      </c>
      <c r="B278" t="inlineStr">
        <is>
          <t>bv_equity</t>
        </is>
      </c>
      <c r="C278" t="inlineStr">
        <is>
          <t>IQ_FQ-0</t>
        </is>
      </c>
      <c r="D278" t="inlineStr">
        <is>
          <t>IQ_TOTAL_EQUITY</t>
        </is>
      </c>
    </row>
    <row r="279">
      <c r="A279" t="n">
        <v>286</v>
      </c>
      <c r="B279" t="inlineStr">
        <is>
          <t>bv_debt</t>
        </is>
      </c>
      <c r="C279" t="inlineStr">
        <is>
          <t>IQ_FQ-0</t>
        </is>
      </c>
      <c r="D279" t="inlineStr">
        <is>
          <t>IQ_TOTAL_DEBT</t>
        </is>
      </c>
    </row>
    <row r="280">
      <c r="A280" t="n">
        <v>287</v>
      </c>
      <c r="B280" t="inlineStr">
        <is>
          <t>shares_outstanding</t>
        </is>
      </c>
      <c r="C280" t="inlineStr">
        <is>
          <t>IQ_FQ-0</t>
        </is>
      </c>
      <c r="D280" t="inlineStr">
        <is>
          <t>IQ_TOTAL_OUTSTANDING_FILING_DATE</t>
        </is>
      </c>
    </row>
    <row r="281">
      <c r="A281" t="n">
        <v>288</v>
      </c>
      <c r="B281" t="inlineStr">
        <is>
          <t>cross_holdings</t>
        </is>
      </c>
      <c r="C281" t="inlineStr">
        <is>
          <t>IQ_FQ-0</t>
        </is>
      </c>
      <c r="D281" t="inlineStr">
        <is>
          <t>IQ_LT_INVEST</t>
        </is>
      </c>
    </row>
    <row r="282">
      <c r="A282" t="n">
        <v>289</v>
      </c>
      <c r="B282" t="inlineStr">
        <is>
          <t>minority_interests</t>
        </is>
      </c>
      <c r="C282" t="inlineStr">
        <is>
          <t>IQ_FQ-0</t>
        </is>
      </c>
      <c r="D282" t="inlineStr">
        <is>
          <t>IQ_MINORITY_INTEREST</t>
        </is>
      </c>
    </row>
    <row r="283">
      <c r="A283" t="n">
        <v>291</v>
      </c>
      <c r="B283" t="inlineStr">
        <is>
          <t>stock_price</t>
        </is>
      </c>
      <c r="C283" t="inlineStr">
        <is>
          <t>current</t>
        </is>
      </c>
      <c r="D283" t="inlineStr">
        <is>
          <t>IQ_CLOSEPRICE</t>
        </is>
      </c>
    </row>
    <row r="284">
      <c r="A284" t="n">
        <v>292</v>
      </c>
      <c r="B284" t="inlineStr">
        <is>
          <t>mv_equity</t>
        </is>
      </c>
      <c r="C284" t="inlineStr">
        <is>
          <t>current</t>
        </is>
      </c>
      <c r="D284" t="inlineStr">
        <is>
          <t>IQ_MARKETCAP</t>
        </is>
      </c>
    </row>
    <row r="285">
      <c r="A285" t="n">
        <v>293</v>
      </c>
      <c r="B285" t="inlineStr">
        <is>
          <t>reporting_currency</t>
        </is>
      </c>
      <c r="C285" t="inlineStr">
        <is>
          <t>current</t>
        </is>
      </c>
      <c r="D285" t="inlineStr">
        <is>
          <t>IQ_FILING_CURRENCY</t>
        </is>
      </c>
    </row>
    <row r="286">
      <c r="A286" t="n">
        <v>294</v>
      </c>
      <c r="B286" t="inlineStr">
        <is>
          <t>primary_exchange</t>
        </is>
      </c>
      <c r="C286" t="inlineStr">
        <is>
          <t>current</t>
        </is>
      </c>
      <c r="D286" t="inlineStr">
        <is>
          <t>IQ_EXCHANGE</t>
        </is>
      </c>
    </row>
    <row r="287">
      <c r="A287" t="n">
        <v>295</v>
      </c>
      <c r="B287" t="inlineStr">
        <is>
          <t>effective_tax_rate_ciq</t>
        </is>
      </c>
      <c r="C287" t="inlineStr">
        <is>
          <t>IQ_FY</t>
        </is>
      </c>
      <c r="D287" t="inlineStr">
        <is>
          <t>IQ_EFFECT_TAX_RATE</t>
        </is>
      </c>
    </row>
    <row r="288">
      <c r="A288" t="n">
        <v>297</v>
      </c>
      <c r="B288" t="inlineStr">
        <is>
          <t>options_outstanding</t>
        </is>
      </c>
      <c r="C288" t="inlineStr">
        <is>
          <t>current</t>
        </is>
      </c>
      <c r="D288" t="inlineStr">
        <is>
          <t>IQ_OPTIONS_END_OS</t>
        </is>
      </c>
    </row>
    <row r="289">
      <c r="A289" t="n">
        <v>298</v>
      </c>
      <c r="B289" t="inlineStr">
        <is>
          <t>options_avg_strike</t>
        </is>
      </c>
      <c r="C289" t="inlineStr">
        <is>
          <t>current</t>
        </is>
      </c>
      <c r="D289" t="inlineStr">
        <is>
          <t>IQ_OPTIONS_STRIKE_PRICE_OS</t>
        </is>
      </c>
    </row>
    <row r="290">
      <c r="A290" t="n">
        <v>299</v>
      </c>
      <c r="B290" t="inlineStr">
        <is>
          <t>options_avg_maturity</t>
        </is>
      </c>
      <c r="C290" t="inlineStr">
        <is>
          <t>current</t>
        </is>
      </c>
      <c r="D290" t="inlineStr">
        <is>
          <t>IQ_OPTIONS_AVG_LIFE</t>
        </is>
      </c>
    </row>
    <row r="291">
      <c r="A291" t="n">
        <v>301</v>
      </c>
      <c r="B291" t="inlineStr">
        <is>
          <t>lease_commitment_yr1</t>
        </is>
      </c>
      <c r="C291" t="inlineStr">
        <is>
          <t>current</t>
        </is>
      </c>
      <c r="D291" t="inlineStr">
        <is>
          <t>IQ_OL_COMM_CY</t>
        </is>
      </c>
    </row>
    <row r="292">
      <c r="A292" t="n">
        <v>302</v>
      </c>
      <c r="B292" t="inlineStr">
        <is>
          <t>lease_commitment_yr2</t>
        </is>
      </c>
      <c r="C292" t="inlineStr">
        <is>
          <t>current</t>
        </is>
      </c>
      <c r="D292" t="inlineStr">
        <is>
          <t>IQ_OL_COMM_CY1</t>
        </is>
      </c>
    </row>
    <row r="293">
      <c r="A293" t="n">
        <v>303</v>
      </c>
      <c r="B293" t="inlineStr">
        <is>
          <t>lease_commitment_yr3</t>
        </is>
      </c>
      <c r="C293" t="inlineStr">
        <is>
          <t>current</t>
        </is>
      </c>
      <c r="D293" t="inlineStr">
        <is>
          <t>IQ_OL_COMM_CY2</t>
        </is>
      </c>
    </row>
    <row r="294">
      <c r="A294" t="n">
        <v>304</v>
      </c>
      <c r="B294" t="inlineStr">
        <is>
          <t>lease_commitment_yr4</t>
        </is>
      </c>
      <c r="C294" t="inlineStr">
        <is>
          <t>current</t>
        </is>
      </c>
      <c r="D294" t="inlineStr">
        <is>
          <t>IQ_OL_COMM_CY3</t>
        </is>
      </c>
    </row>
    <row r="295">
      <c r="A295" t="n">
        <v>305</v>
      </c>
      <c r="B295" t="inlineStr">
        <is>
          <t>lease_commitment_yr5</t>
        </is>
      </c>
      <c r="C295" t="inlineStr">
        <is>
          <t>current</t>
        </is>
      </c>
      <c r="D295" t="inlineStr">
        <is>
          <t>IQ_OL_COMM_CY4</t>
        </is>
      </c>
    </row>
    <row r="296">
      <c r="A296" t="n">
        <v>306</v>
      </c>
      <c r="B296" t="inlineStr">
        <is>
          <t>lease_commitment_beyond</t>
        </is>
      </c>
      <c r="C296" t="inlineStr">
        <is>
          <t>current</t>
        </is>
      </c>
      <c r="D296" t="inlineStr">
        <is>
          <t>IQ_OL_COMM_NEXT_FIVE</t>
        </is>
      </c>
    </row>
    <row r="297">
      <c r="A297" t="n">
        <v>308</v>
      </c>
      <c r="B297" t="inlineStr">
        <is>
          <t>period_date_annual</t>
        </is>
      </c>
      <c r="C297" t="inlineStr">
        <is>
          <t>IQ_FY-0</t>
        </is>
      </c>
      <c r="D297" t="inlineStr">
        <is>
          <t>IQ_PERIODDATE</t>
        </is>
      </c>
    </row>
    <row r="298">
      <c r="A298" t="n">
        <v>309</v>
      </c>
      <c r="B298" t="inlineStr">
        <is>
          <t>period_date_quarterly</t>
        </is>
      </c>
      <c r="C298" t="inlineStr">
        <is>
          <t>IQ_FQ-0</t>
        </is>
      </c>
      <c r="D298" t="inlineStr">
        <is>
          <t>IQ_PERIODDATE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2026-03-20T09:12:33Z</dcterms:created>
  <dcterms:modified xsi:type="dcterms:W3CDTF">2026-03-20T11:56:50Z</dcterms:modified>
</cp:coreProperties>
</file>