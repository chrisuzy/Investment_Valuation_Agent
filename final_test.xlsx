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Sheet" sheetId="1" state="visible" r:id="rId1"/>
    <sheet name="Valuation Output" sheetId="2" state="visible" r:id="rId2"/>
    <sheet name="Cost of Capital" sheetId="3" state="visible" r:id="rId3"/>
    <sheet name="R&amp;D Converter" sheetId="4" state="visible" r:id="rId4"/>
    <sheet name="Lease Converter" sheetId="5" state="visible" r:id="rId5"/>
    <sheet name="Synthetic Rating" sheetId="6" state="visible" r:id="rId6"/>
    <sheet name="Failure Rate" sheetId="7" state="visible" r:id="rId7"/>
    <sheet name="Diagnostics" sheetId="8" state="visible" r:id="rId8"/>
    <sheet name="Stories to Numbers" sheetId="9" state="visible" r:id="rId9"/>
    <sheet name="Valuation Picture" sheetId="10" state="visible" r:id="rId10"/>
    <sheet name="Option Value" sheetId="11" state="visible" r:id="rId11"/>
    <sheet name="Trailing 12 Month" sheetId="12" state="visible" r:id="rId12"/>
    <sheet name="Answer Key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sz val="10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EF9E7"/>
      </patternFill>
    </fill>
    <fill>
      <patternFill patternType="solid">
        <fgColor rgb="00FEF5E7"/>
      </patternFill>
    </fill>
    <fill>
      <patternFill patternType="solid">
        <fgColor rgb="002C3E50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4" fillId="7" borderId="1" pivotButton="0" quotePrefix="0" xfId="0"/>
    <xf numFmtId="3" fontId="3" fillId="8" borderId="1" pivotButton="0" quotePrefix="0" xfId="0"/>
    <xf numFmtId="3" fontId="3" fillId="4" borderId="1" pivotButton="0" quotePrefix="0" xfId="0"/>
    <xf numFmtId="4" fontId="3" fillId="4" borderId="1" pivotButton="0" quotePrefix="0" xfId="0"/>
    <xf numFmtId="10" fontId="3" fillId="4" borderId="1" pivotButton="0" quotePrefix="0" xfId="0"/>
    <xf numFmtId="10" fontId="3" fillId="3" borderId="1" pivotButton="0" quotePrefix="0" xfId="0"/>
    <xf numFmtId="4" fontId="3" fillId="3" borderId="1" pivotButton="0" quotePrefix="0" xfId="0"/>
    <xf numFmtId="10" fontId="3" fillId="6" borderId="1" pivotButton="0" quotePrefix="0" xfId="0"/>
    <xf numFmtId="10" fontId="3" fillId="8" borderId="1" pivotButton="0" quotePrefix="0" xfId="0"/>
    <xf numFmtId="0" fontId="3" fillId="8" borderId="1" pivotButton="0" quotePrefix="0" xfId="0"/>
    <xf numFmtId="164" fontId="3" fillId="8" borderId="1" pivotButton="0" quotePrefix="0" xfId="0"/>
    <xf numFmtId="4" fontId="3" fillId="8" borderId="1" pivotButton="0" quotePrefix="0" xfId="0"/>
    <xf numFmtId="4" fontId="3" fillId="6" borderId="1" pivotButton="0" quotePrefix="0" xfId="0"/>
    <xf numFmtId="0" fontId="1" fillId="0" borderId="1" pivotButton="0" quotePrefix="0" xfId="0"/>
    <xf numFmtId="10" fontId="1" fillId="8" borderId="1" pivotButton="0" quotePrefix="0" xfId="0"/>
    <xf numFmtId="3" fontId="3" fillId="3" borderId="1" pivotButton="0" quotePrefix="0" xfId="0"/>
    <xf numFmtId="0" fontId="3" fillId="0" borderId="1" pivotButton="0" quotePrefix="0" xfId="0"/>
    <xf numFmtId="2" fontId="3" fillId="8" borderId="1" pivotButton="0" quotePrefix="0" xfId="0"/>
    <xf numFmtId="3" fontId="2" fillId="8" borderId="1" pivotButton="0" quotePrefix="0" xfId="0"/>
    <xf numFmtId="4" fontId="1" fillId="8" borderId="1" pivotButton="0" quotePrefix="0" xfId="0"/>
    <xf numFmtId="0" fontId="1" fillId="8" borderId="1" pivotButton="0" quotePrefix="0" xfId="0"/>
    <xf numFmtId="3" fontId="1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1. Company Information</t>
        </is>
      </c>
    </row>
    <row r="2">
      <c r="A2" s="2" t="inlineStr">
        <is>
          <t>Date of Valuation</t>
        </is>
      </c>
      <c r="B2" s="3" t="inlineStr">
        <is>
          <t>2026-03-19</t>
        </is>
      </c>
    </row>
    <row r="3">
      <c r="A3" s="2" t="inlineStr">
        <is>
          <t>Company Name</t>
        </is>
      </c>
      <c r="B3" s="4" t="inlineStr">
        <is>
          <t>NVIDIA Corporation (NasdaqGS:NVDA)</t>
        </is>
      </c>
      <c r="C3" s="5" t="inlineStr">
        <is>
          <t>CIQ</t>
        </is>
      </c>
    </row>
    <row r="4">
      <c r="A4" s="2" t="inlineStr">
        <is>
          <t>Ticker</t>
        </is>
      </c>
      <c r="B4" s="4" t="inlineStr">
        <is>
          <t>NVDA</t>
        </is>
      </c>
    </row>
    <row r="5">
      <c r="A5" s="2" t="inlineStr">
        <is>
          <t>Country</t>
        </is>
      </c>
      <c r="B5" s="4" t="inlineStr">
        <is>
          <t>United States</t>
        </is>
      </c>
    </row>
    <row r="6">
      <c r="A6" s="2" t="inlineStr">
        <is>
          <t>Reported Currency</t>
        </is>
      </c>
      <c r="B6" s="4" t="inlineStr"/>
    </row>
    <row r="7">
      <c r="A7" s="2" t="inlineStr">
        <is>
          <t>Stock Price Currency</t>
        </is>
      </c>
      <c r="B7" s="4" t="inlineStr"/>
    </row>
    <row r="8">
      <c r="A8" s="2" t="inlineStr">
        <is>
          <t>Industry (US)</t>
        </is>
      </c>
      <c r="B8" s="6" t="inlineStr">
        <is>
          <t>Semiconductor</t>
        </is>
      </c>
    </row>
    <row r="10">
      <c r="A10" s="1" t="inlineStr">
        <is>
          <t>2. Base Year Financials</t>
        </is>
      </c>
    </row>
    <row r="11">
      <c r="A11" s="7" t="inlineStr"/>
      <c r="B11" s="7" t="inlineStr">
        <is>
          <t>LTM</t>
        </is>
      </c>
      <c r="C11" s="7" t="inlineStr">
        <is>
          <t>2026</t>
        </is>
      </c>
      <c r="D11" s="7" t="inlineStr">
        <is>
          <t>2025</t>
        </is>
      </c>
      <c r="E11" s="7" t="inlineStr">
        <is>
          <t>2024</t>
        </is>
      </c>
      <c r="F11" s="7" t="inlineStr">
        <is>
          <t>2023</t>
        </is>
      </c>
      <c r="G11" s="7" t="inlineStr">
        <is>
          <t>2022</t>
        </is>
      </c>
      <c r="H11" s="7" t="inlineStr">
        <is>
          <t>Source</t>
        </is>
      </c>
    </row>
    <row r="12">
      <c r="A12" s="2" t="inlineStr">
        <is>
          <t>Revenues</t>
        </is>
      </c>
      <c r="B12" s="8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5" t="inlineStr">
        <is>
          <t>CIQ</t>
        </is>
      </c>
    </row>
    <row r="13">
      <c r="A13" s="2" t="inlineStr">
        <is>
          <t>EBIT (Operating Income)</t>
        </is>
      </c>
      <c r="B13" s="8" t="n">
        <v>0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5" t="inlineStr">
        <is>
          <t>CIQ</t>
        </is>
      </c>
    </row>
    <row r="14">
      <c r="A14" s="2" t="inlineStr">
        <is>
          <t>EBITDA</t>
        </is>
      </c>
      <c r="B14" s="8" t="n"/>
      <c r="C14" s="9" t="n"/>
      <c r="D14" s="9" t="n"/>
      <c r="E14" s="9" t="n"/>
      <c r="F14" s="9" t="n"/>
      <c r="G14" s="9" t="n"/>
      <c r="H14" s="5" t="inlineStr">
        <is>
          <t>CIQ</t>
        </is>
      </c>
    </row>
    <row r="15">
      <c r="A15" s="2" t="inlineStr">
        <is>
          <t>Net Income</t>
        </is>
      </c>
      <c r="B15" s="8" t="n"/>
      <c r="C15" s="9" t="n"/>
      <c r="D15" s="9" t="n"/>
      <c r="E15" s="9" t="n"/>
      <c r="F15" s="9" t="n"/>
      <c r="G15" s="9" t="n"/>
      <c r="H15" s="5" t="inlineStr">
        <is>
          <t>CIQ</t>
        </is>
      </c>
    </row>
    <row r="16">
      <c r="A16" s="2" t="inlineStr">
        <is>
          <t>Interest Expense</t>
        </is>
      </c>
      <c r="B16" s="8" t="n">
        <v>2146826273</v>
      </c>
      <c r="C16" s="9" t="n">
        <v>2146826273</v>
      </c>
      <c r="D16" s="9" t="n">
        <v>2146826273</v>
      </c>
      <c r="E16" s="9" t="n">
        <v>2146826273</v>
      </c>
      <c r="F16" s="9" t="n">
        <v>2146826273</v>
      </c>
      <c r="G16" s="9" t="n">
        <v>2146826273</v>
      </c>
      <c r="H16" s="5" t="inlineStr">
        <is>
          <t>CIQ</t>
        </is>
      </c>
    </row>
    <row r="17">
      <c r="A17" s="2" t="inlineStr">
        <is>
          <t>D&amp;A</t>
        </is>
      </c>
      <c r="B17" s="8" t="n">
        <v>2146826273</v>
      </c>
      <c r="C17" s="9" t="n">
        <v>2146826273</v>
      </c>
      <c r="D17" s="9" t="n">
        <v>2146826273</v>
      </c>
      <c r="E17" s="9" t="n">
        <v>2146826273</v>
      </c>
      <c r="F17" s="9" t="n">
        <v>2146826273</v>
      </c>
      <c r="G17" s="9" t="n">
        <v>2146826273</v>
      </c>
      <c r="H17" s="5" t="inlineStr">
        <is>
          <t>CIQ</t>
        </is>
      </c>
    </row>
    <row r="18">
      <c r="A18" s="2" t="inlineStr">
        <is>
          <t>Capital Expenditures</t>
        </is>
      </c>
      <c r="B18" s="8" t="n">
        <v>2146826273</v>
      </c>
      <c r="C18" s="9" t="n">
        <v>2146826273</v>
      </c>
      <c r="D18" s="9" t="n">
        <v>2146826273</v>
      </c>
      <c r="E18" s="9" t="n">
        <v>2146826273</v>
      </c>
      <c r="F18" s="9" t="n">
        <v>2146826273</v>
      </c>
      <c r="G18" s="9" t="n">
        <v>2146826273</v>
      </c>
      <c r="H18" s="5" t="inlineStr">
        <is>
          <t>CIQ</t>
        </is>
      </c>
    </row>
    <row r="19">
      <c r="A19" s="2" t="inlineStr">
        <is>
          <t>Book Value of Equity</t>
        </is>
      </c>
      <c r="B19" s="8" t="n"/>
      <c r="C19" s="9" t="n"/>
      <c r="D19" s="9" t="n"/>
      <c r="E19" s="9" t="n"/>
      <c r="F19" s="9" t="n"/>
      <c r="G19" s="9" t="n"/>
      <c r="H19" s="5" t="inlineStr">
        <is>
          <t>CIQ</t>
        </is>
      </c>
    </row>
    <row r="20">
      <c r="A20" s="2" t="inlineStr">
        <is>
          <t>Book Value of Debt</t>
        </is>
      </c>
      <c r="B20" s="8" t="n"/>
      <c r="C20" s="9" t="n"/>
      <c r="D20" s="9" t="n"/>
      <c r="E20" s="9" t="n"/>
      <c r="F20" s="9" t="n"/>
      <c r="G20" s="9" t="n"/>
      <c r="H20" s="5" t="inlineStr">
        <is>
          <t>CIQ</t>
        </is>
      </c>
    </row>
    <row r="22">
      <c r="A22" s="1" t="inlineStr">
        <is>
          <t>3. Balance Sheet</t>
        </is>
      </c>
    </row>
    <row r="23">
      <c r="A23" s="2" t="inlineStr">
        <is>
          <t>Cash &amp; Marketable Securities</t>
        </is>
      </c>
      <c r="B23" s="9" t="n"/>
      <c r="C23" s="5" t="inlineStr">
        <is>
          <t>CIQ</t>
        </is>
      </c>
    </row>
    <row r="24">
      <c r="A24" s="2" t="inlineStr">
        <is>
          <t>Cross Holdings</t>
        </is>
      </c>
      <c r="B24" s="9" t="n"/>
      <c r="C24" s="5" t="inlineStr">
        <is>
          <t>CIQ</t>
        </is>
      </c>
    </row>
    <row r="25">
      <c r="A25" s="2" t="inlineStr">
        <is>
          <t>Minority Interests</t>
        </is>
      </c>
      <c r="B25" s="9" t="n"/>
      <c r="C25" s="5" t="inlineStr">
        <is>
          <t>CIQ</t>
        </is>
      </c>
    </row>
    <row r="26">
      <c r="A26" s="2" t="inlineStr">
        <is>
          <t>Shares Outstanding</t>
        </is>
      </c>
      <c r="B26" s="9" t="n"/>
      <c r="C26" s="5" t="inlineStr">
        <is>
          <t>CIQ</t>
        </is>
      </c>
    </row>
    <row r="27">
      <c r="A27" s="2" t="inlineStr">
        <is>
          <t>Current Stock Price</t>
        </is>
      </c>
      <c r="B27" s="10" t="n"/>
      <c r="C27" s="5" t="inlineStr">
        <is>
          <t>CIQ</t>
        </is>
      </c>
    </row>
    <row r="28">
      <c r="A28" s="2" t="inlineStr">
        <is>
          <t>Market Cap</t>
        </is>
      </c>
      <c r="B28" s="9" t="n"/>
      <c r="C28" s="5" t="inlineStr">
        <is>
          <t>CIQ</t>
        </is>
      </c>
    </row>
    <row r="30">
      <c r="A30" s="1" t="inlineStr">
        <is>
          <t>4. Tax Rates</t>
        </is>
      </c>
    </row>
    <row r="31">
      <c r="A31" s="2" t="inlineStr">
        <is>
          <t>Effective Tax Rate</t>
        </is>
      </c>
      <c r="B31" s="11" t="n"/>
    </row>
    <row r="32">
      <c r="A32" s="2" t="inlineStr">
        <is>
          <t>Marginal Tax Rate</t>
        </is>
      </c>
      <c r="B32" s="12" t="n">
        <v>0</v>
      </c>
    </row>
    <row r="34">
      <c r="A34" s="1" t="inlineStr">
        <is>
          <t>5. Value Drivers</t>
        </is>
      </c>
    </row>
    <row r="35">
      <c r="A35" s="2" t="inlineStr">
        <is>
          <t>Revenue Growth - Next Year</t>
        </is>
      </c>
      <c r="B35" s="12" t="n"/>
    </row>
    <row r="36">
      <c r="A36" s="2" t="inlineStr">
        <is>
          <t>Operating Margin - Next Year</t>
        </is>
      </c>
    </row>
    <row r="37">
      <c r="A37" s="2" t="inlineStr">
        <is>
          <t>Revenue Growth - Years 2-5</t>
        </is>
      </c>
      <c r="B37" s="12" t="n"/>
    </row>
    <row r="38">
      <c r="A38" s="2" t="inlineStr">
        <is>
          <t>Target Pre-tax Operating Margin</t>
        </is>
      </c>
      <c r="B38" s="12" t="n"/>
      <c r="C38" s="5" t="inlineStr">
        <is>
          <t>Industry avg: 0.35327791914252643</t>
        </is>
      </c>
    </row>
    <row r="39">
      <c r="A39" s="2" t="inlineStr">
        <is>
          <t>Year of Convergence</t>
        </is>
      </c>
      <c r="B39" s="3" t="n">
        <v>5</v>
      </c>
    </row>
    <row r="40">
      <c r="A40" s="2" t="inlineStr">
        <is>
          <t>Sales / Capital - Years 1-5</t>
        </is>
      </c>
      <c r="B40" s="13" t="n"/>
    </row>
    <row r="41">
      <c r="A41" s="2" t="inlineStr">
        <is>
          <t>Sales / Capital - Years 6-10</t>
        </is>
      </c>
      <c r="B41" s="13" t="n"/>
    </row>
    <row r="43">
      <c r="A43" s="1" t="inlineStr">
        <is>
          <t>6. Market Numbers</t>
        </is>
      </c>
    </row>
    <row r="44">
      <c r="A44" s="2" t="inlineStr">
        <is>
          <t>Risk-free Rate</t>
        </is>
      </c>
      <c r="B44" s="12" t="n">
        <v>0.0425</v>
      </c>
    </row>
    <row r="45">
      <c r="A45" s="2" t="inlineStr">
        <is>
          <t>Equity Risk Premium</t>
        </is>
      </c>
      <c r="B45" s="14" t="n">
        <v>0.0446</v>
      </c>
      <c r="C45" s="5" t="inlineStr">
        <is>
          <t>Damodaran</t>
        </is>
      </c>
    </row>
    <row r="46">
      <c r="A46" s="2" t="inlineStr">
        <is>
          <t>Country Risk Premium</t>
        </is>
      </c>
      <c r="B46" s="14" t="n">
        <v>0.002333679169992019</v>
      </c>
    </row>
    <row r="47">
      <c r="A47" s="2" t="inlineStr">
        <is>
          <t>Initial WACC</t>
        </is>
      </c>
      <c r="B47" s="15" t="n">
        <v>0.1131187263584776</v>
      </c>
    </row>
    <row r="49">
      <c r="A49" s="1" t="inlineStr">
        <is>
          <t>7. Employee Options</t>
        </is>
      </c>
    </row>
    <row r="50">
      <c r="A50" s="2" t="inlineStr">
        <is>
          <t>Has Options Outstanding?</t>
        </is>
      </c>
      <c r="B50" s="3" t="inlineStr">
        <is>
          <t>No</t>
        </is>
      </c>
    </row>
  </sheetData>
  <mergeCells count="7">
    <mergeCell ref="A1:C1"/>
    <mergeCell ref="A34:D34"/>
    <mergeCell ref="A22:D22"/>
    <mergeCell ref="A30:D30"/>
    <mergeCell ref="A10:H10"/>
    <mergeCell ref="A43:D43"/>
    <mergeCell ref="A49:D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Projection Table</t>
        </is>
      </c>
    </row>
    <row r="2">
      <c r="A2" s="7" t="inlineStr"/>
      <c r="B2" s="7" t="inlineStr">
        <is>
          <t>Base year</t>
        </is>
      </c>
      <c r="C2" s="7" t="inlineStr">
        <is>
          <t>Year 1</t>
        </is>
      </c>
      <c r="D2" s="7" t="inlineStr">
        <is>
          <t>Year 2</t>
        </is>
      </c>
      <c r="E2" s="7" t="inlineStr">
        <is>
          <t>Year 3</t>
        </is>
      </c>
      <c r="F2" s="7" t="inlineStr">
        <is>
          <t>Year 4</t>
        </is>
      </c>
      <c r="G2" s="7" t="inlineStr">
        <is>
          <t>Year 5</t>
        </is>
      </c>
      <c r="H2" s="7" t="inlineStr">
        <is>
          <t>Year 6</t>
        </is>
      </c>
      <c r="I2" s="7" t="inlineStr">
        <is>
          <t>Year 7</t>
        </is>
      </c>
      <c r="J2" s="7" t="inlineStr">
        <is>
          <t>Year 8</t>
        </is>
      </c>
      <c r="K2" s="7" t="inlineStr">
        <is>
          <t>Year 9</t>
        </is>
      </c>
      <c r="L2" s="7" t="inlineStr">
        <is>
          <t>Year 10</t>
        </is>
      </c>
      <c r="M2" s="7" t="inlineStr">
        <is>
          <t>Terminal year</t>
        </is>
      </c>
    </row>
    <row r="3">
      <c r="A3" s="2" t="inlineStr">
        <is>
          <t>Revenue growth rate</t>
        </is>
      </c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5" t="n">
        <v>0.0425</v>
      </c>
    </row>
    <row r="4">
      <c r="A4" s="2" t="inlineStr">
        <is>
          <t>Revenues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</row>
    <row r="5">
      <c r="A5" s="2" t="inlineStr">
        <is>
          <t>EBIT margin</t>
        </is>
      </c>
    </row>
    <row r="6">
      <c r="A6" s="2" t="inlineStr">
        <is>
          <t>EBIT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</row>
    <row r="7">
      <c r="A7" s="2" t="inlineStr">
        <is>
          <t>Tax rate</t>
        </is>
      </c>
      <c r="B7" s="15" t="n">
        <v>0</v>
      </c>
      <c r="C7" s="15" t="n">
        <v>0</v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</row>
    <row r="8">
      <c r="A8" s="2" t="inlineStr">
        <is>
          <t>EBIT(1-t)</t>
        </is>
      </c>
      <c r="B8" s="8" t="n">
        <v>0</v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>
      <c r="A9" s="2" t="inlineStr">
        <is>
          <t>- Reinvestment</t>
        </is>
      </c>
      <c r="B9" s="16" t="n"/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</row>
    <row r="10">
      <c r="A10" s="2" t="inlineStr">
        <is>
          <t>FCFF</t>
        </is>
      </c>
      <c r="B10" s="16" t="n"/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</row>
    <row r="11">
      <c r="A11" s="2" t="inlineStr">
        <is>
          <t>Cost of capital</t>
        </is>
      </c>
      <c r="B11" s="16" t="n"/>
      <c r="C11" s="15" t="n">
        <v>0.1131187263584776</v>
      </c>
      <c r="D11" s="15" t="n">
        <v>0.1131187263584776</v>
      </c>
      <c r="E11" s="15" t="n">
        <v>0.1131187263584776</v>
      </c>
      <c r="F11" s="15" t="n">
        <v>0.1131187263584776</v>
      </c>
      <c r="G11" s="15" t="n">
        <v>0.1131187263584776</v>
      </c>
      <c r="H11" s="15" t="n">
        <v>0.1131187263584776</v>
      </c>
      <c r="I11" s="15" t="n">
        <v>0.1131187263584776</v>
      </c>
      <c r="J11" s="15" t="n">
        <v>0.1131187263584776</v>
      </c>
      <c r="K11" s="15" t="n">
        <v>0.1131187263584776</v>
      </c>
      <c r="L11" s="15" t="n">
        <v>0.1131187263584776</v>
      </c>
      <c r="M11" s="15" t="n">
        <v>0.1131187263584776</v>
      </c>
    </row>
    <row r="12">
      <c r="A12" s="2" t="inlineStr">
        <is>
          <t>Cumulated discount factor</t>
        </is>
      </c>
      <c r="B12" s="16" t="n"/>
      <c r="C12" s="17" t="n">
        <v>0.8983767645985609</v>
      </c>
      <c r="D12" s="17" t="n">
        <v>0.8070808111705782</v>
      </c>
      <c r="E12" s="17" t="n">
        <v>0.725062647909006</v>
      </c>
      <c r="F12" s="17" t="n">
        <v>0.6513794357597583</v>
      </c>
      <c r="G12" s="17" t="n">
        <v>0.5851841500238879</v>
      </c>
      <c r="H12" s="17" t="n">
        <v>0.5257158433928193</v>
      </c>
      <c r="I12" s="17" t="n">
        <v>0.4722908984854446</v>
      </c>
      <c r="J12" s="17" t="n">
        <v>0.4242951693307012</v>
      </c>
      <c r="K12" s="17" t="n">
        <v>0.3811769214581139</v>
      </c>
      <c r="L12" s="17" t="n">
        <v>0.3424404894391801</v>
      </c>
    </row>
    <row r="13">
      <c r="A13" s="2" t="inlineStr">
        <is>
          <t>PV(FCFF)</t>
        </is>
      </c>
      <c r="B13" s="16" t="n"/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</row>
    <row r="15">
      <c r="A15" s="1" t="inlineStr">
        <is>
          <t>Value Bridge</t>
        </is>
      </c>
    </row>
    <row r="16">
      <c r="A16" s="2" t="inlineStr">
        <is>
          <t>PV(cash flows over next 10 years)</t>
        </is>
      </c>
      <c r="B16" s="8" t="n">
        <v>0</v>
      </c>
    </row>
    <row r="17">
      <c r="A17" s="2" t="inlineStr">
        <is>
          <t>Terminal value</t>
        </is>
      </c>
      <c r="B17" s="8" t="n">
        <v>0</v>
      </c>
    </row>
    <row r="18">
      <c r="A18" s="2" t="inlineStr">
        <is>
          <t>PV(terminal value)</t>
        </is>
      </c>
      <c r="B18" s="8" t="n">
        <v>0</v>
      </c>
    </row>
    <row r="19">
      <c r="A19" s="2" t="inlineStr">
        <is>
          <t>Value of operating assets</t>
        </is>
      </c>
      <c r="B19" s="8" t="n">
        <v>0</v>
      </c>
    </row>
    <row r="20">
      <c r="A20" s="2" t="inlineStr">
        <is>
          <t>Probability of failure</t>
        </is>
      </c>
      <c r="B20" s="15" t="n">
        <v>0</v>
      </c>
    </row>
    <row r="21">
      <c r="A21" s="2" t="inlineStr">
        <is>
          <t>Distress proceeds %</t>
        </is>
      </c>
      <c r="B21" s="15" t="n">
        <v>0.5</v>
      </c>
    </row>
    <row r="23">
      <c r="A23" s="2" t="inlineStr">
        <is>
          <t>- Debt</t>
        </is>
      </c>
      <c r="B23" s="8" t="n"/>
    </row>
    <row r="24">
      <c r="A24" s="2" t="inlineStr">
        <is>
          <t>- Minority interests</t>
        </is>
      </c>
      <c r="B24" s="8" t="n"/>
    </row>
    <row r="25">
      <c r="A25" s="2" t="inlineStr">
        <is>
          <t>+ Cash</t>
        </is>
      </c>
      <c r="B25" s="8" t="n"/>
    </row>
    <row r="26">
      <c r="A26" s="2" t="inlineStr">
        <is>
          <t>+ Non-operating assets (cross holdings)</t>
        </is>
      </c>
      <c r="B26" s="8" t="n"/>
    </row>
    <row r="27">
      <c r="A27" s="2" t="inlineStr">
        <is>
          <t>Value of equity</t>
        </is>
      </c>
      <c r="B27" s="8" t="n">
        <v>0</v>
      </c>
    </row>
    <row r="28">
      <c r="A28" s="2" t="inlineStr">
        <is>
          <t>- Value of options</t>
        </is>
      </c>
      <c r="B28" s="8" t="n">
        <v>0</v>
      </c>
    </row>
    <row r="29">
      <c r="A29" s="2" t="inlineStr">
        <is>
          <t>Value of equity in common stock</t>
        </is>
      </c>
      <c r="B29" s="8" t="n">
        <v>0</v>
      </c>
    </row>
    <row r="30">
      <c r="A30" s="2" t="inlineStr">
        <is>
          <t>Number of shares</t>
        </is>
      </c>
      <c r="B30" s="8" t="n"/>
    </row>
    <row r="31">
      <c r="A31" s="2" t="inlineStr">
        <is>
          <t>Estimated value per share</t>
        </is>
      </c>
      <c r="B31" s="18" t="n">
        <v>0</v>
      </c>
    </row>
    <row r="32">
      <c r="A32" s="2" t="inlineStr">
        <is>
          <t>Current price</t>
        </is>
      </c>
      <c r="B32" s="18" t="n"/>
    </row>
    <row r="33">
      <c r="A33" s="2" t="inlineStr">
        <is>
          <t>Price as % of value</t>
        </is>
      </c>
      <c r="B33" s="15" t="n"/>
    </row>
  </sheetData>
  <mergeCells count="2">
    <mergeCell ref="A15:C15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Beta Estimation</t>
        </is>
      </c>
    </row>
    <row r="2">
      <c r="A2" s="2" t="inlineStr">
        <is>
          <t>Beta estimation source</t>
        </is>
      </c>
      <c r="B2" s="3" t="inlineStr">
        <is>
          <t>Bottom up</t>
        </is>
      </c>
    </row>
    <row r="3">
      <c r="A3" s="2" t="inlineStr">
        <is>
          <t>Unlevered beta</t>
        </is>
      </c>
      <c r="B3" s="19" t="n">
        <v>1.48925822268736</v>
      </c>
    </row>
    <row r="4">
      <c r="A4" s="2" t="inlineStr">
        <is>
          <t>Unlevered beta (corrected for cash)</t>
        </is>
      </c>
      <c r="B4" s="19" t="n">
        <v>1.504649275474425</v>
      </c>
    </row>
    <row r="6">
      <c r="A6" s="1" t="inlineStr">
        <is>
          <t>Debt Inputs</t>
        </is>
      </c>
    </row>
    <row r="7">
      <c r="A7" s="2" t="inlineStr">
        <is>
          <t>BV debt</t>
        </is>
      </c>
      <c r="B7" s="9" t="n"/>
    </row>
    <row r="8">
      <c r="A8" s="2" t="inlineStr">
        <is>
          <t>Interest expense</t>
        </is>
      </c>
      <c r="B8" s="9" t="n">
        <v>2146826273</v>
      </c>
    </row>
    <row r="9">
      <c r="A9" s="2" t="inlineStr">
        <is>
          <t>Pre-tax cost of debt</t>
        </is>
      </c>
      <c r="B9" s="14" t="n">
        <v>0.052913</v>
      </c>
    </row>
    <row r="11">
      <c r="A11" s="1" t="inlineStr">
        <is>
          <t>Capital Structure</t>
        </is>
      </c>
    </row>
    <row r="12">
      <c r="A12" s="2" t="inlineStr">
        <is>
          <t>D/E ratio</t>
        </is>
      </c>
      <c r="B12" s="18" t="n">
        <v>0</v>
      </c>
    </row>
    <row r="13">
      <c r="A13" s="2" t="inlineStr">
        <is>
          <t>Levered beta</t>
        </is>
      </c>
      <c r="B13" s="18" t="n">
        <v>1.504649275474425</v>
      </c>
    </row>
    <row r="14">
      <c r="A14" s="2" t="inlineStr">
        <is>
          <t>Weight of equity</t>
        </is>
      </c>
      <c r="B14" s="15" t="n">
        <v>1</v>
      </c>
    </row>
    <row r="15">
      <c r="A15" s="2" t="inlineStr">
        <is>
          <t>Weight of debt</t>
        </is>
      </c>
      <c r="B15" s="15" t="n">
        <v>0</v>
      </c>
    </row>
    <row r="17">
      <c r="A17" s="1" t="inlineStr">
        <is>
          <t>Cost of Capital</t>
        </is>
      </c>
    </row>
    <row r="18">
      <c r="A18" s="2" t="inlineStr">
        <is>
          <t>Risk-free rate</t>
        </is>
      </c>
      <c r="B18" s="12" t="n">
        <v>0.0425</v>
      </c>
    </row>
    <row r="19">
      <c r="A19" s="2" t="inlineStr">
        <is>
          <t>Equity risk premium (ERP)</t>
        </is>
      </c>
      <c r="B19" s="14" t="n">
        <v>0.0446</v>
      </c>
    </row>
    <row r="20">
      <c r="A20" s="2" t="inlineStr">
        <is>
          <t>Country risk premium</t>
        </is>
      </c>
      <c r="B20" s="14" t="n">
        <v>0.002333679169992019</v>
      </c>
    </row>
    <row r="21">
      <c r="A21" s="2" t="inlineStr">
        <is>
          <t>Cost of equity</t>
        </is>
      </c>
      <c r="B21" s="15" t="n">
        <v>0.1131187263584776</v>
      </c>
    </row>
    <row r="22">
      <c r="A22" s="2" t="inlineStr">
        <is>
          <t>Cost of debt (pre-tax)</t>
        </is>
      </c>
      <c r="B22" s="15" t="n">
        <v>0.052913</v>
      </c>
    </row>
    <row r="23">
      <c r="A23" s="2" t="inlineStr">
        <is>
          <t>Cost of debt (after-tax)</t>
        </is>
      </c>
      <c r="B23" s="15" t="n">
        <v>0.052913</v>
      </c>
    </row>
    <row r="24">
      <c r="A24" s="2" t="inlineStr">
        <is>
          <t>Marginal tax rate</t>
        </is>
      </c>
      <c r="B24" s="12" t="n">
        <v>0</v>
      </c>
    </row>
    <row r="25">
      <c r="A25" s="20" t="inlineStr">
        <is>
          <t>WACC</t>
        </is>
      </c>
      <c r="B25" s="21" t="n">
        <v>0.1131187263584776</v>
      </c>
    </row>
    <row r="27">
      <c r="A27" s="1" t="inlineStr">
        <is>
          <t>Industry Comparison</t>
        </is>
      </c>
    </row>
    <row r="28">
      <c r="A28" s="2" t="inlineStr">
        <is>
          <t>Industry</t>
        </is>
      </c>
      <c r="B28" s="6" t="inlineStr">
        <is>
          <t>Semiconductor</t>
        </is>
      </c>
    </row>
    <row r="29">
      <c r="A29" s="2" t="inlineStr">
        <is>
          <t>Industry D/E ratio</t>
        </is>
      </c>
      <c r="B29" s="19" t="n">
        <v>0.02591104732744511</v>
      </c>
    </row>
    <row r="30">
      <c r="A30" s="2" t="inlineStr">
        <is>
          <t>Industry effective tax rate</t>
        </is>
      </c>
      <c r="B30" s="14" t="n">
        <v>0.05106370873021537</v>
      </c>
    </row>
    <row r="31">
      <c r="A31" s="2" t="inlineStr">
        <is>
          <t>Industry WACC</t>
        </is>
      </c>
      <c r="B31" s="14" t="n">
        <v>0.1055061908992829</v>
      </c>
    </row>
    <row r="32">
      <c r="A32" s="2" t="inlineStr">
        <is>
          <t>Industry cost of equity</t>
        </is>
      </c>
      <c r="B32" s="14" t="n">
        <v>0.1072116933695848</v>
      </c>
    </row>
  </sheetData>
  <mergeCells count="5">
    <mergeCell ref="A11:B11"/>
    <mergeCell ref="A1:B1"/>
    <mergeCell ref="A17:B17"/>
    <mergeCell ref="A27:B27"/>
    <mergeCell ref="A6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2" customWidth="1" min="4" max="4"/>
    <col width="22" customWidth="1" min="5" max="5"/>
  </cols>
  <sheetData>
    <row r="1">
      <c r="A1" s="1" t="inlineStr">
        <is>
          <t>R&amp;D Expenses</t>
        </is>
      </c>
    </row>
    <row r="2">
      <c r="A2" s="2" t="inlineStr">
        <is>
          <t>Amortization Period (years)</t>
        </is>
      </c>
      <c r="B2" s="3" t="n">
        <v>5</v>
      </c>
    </row>
    <row r="3">
      <c r="A3" s="2" t="inlineStr">
        <is>
          <t>Current Year R&amp;D</t>
        </is>
      </c>
      <c r="B3" s="22" t="n">
        <v>0</v>
      </c>
    </row>
    <row r="4">
      <c r="A4" s="2" t="inlineStr">
        <is>
          <t>t-1</t>
        </is>
      </c>
      <c r="B4" s="22" t="n">
        <v>0</v>
      </c>
    </row>
    <row r="5">
      <c r="A5" s="2" t="inlineStr">
        <is>
          <t>t-2</t>
        </is>
      </c>
      <c r="B5" s="22" t="n">
        <v>0</v>
      </c>
    </row>
    <row r="6">
      <c r="A6" s="2" t="inlineStr">
        <is>
          <t>t-3</t>
        </is>
      </c>
      <c r="B6" s="22" t="n">
        <v>0</v>
      </c>
    </row>
    <row r="7">
      <c r="A7" s="2" t="inlineStr">
        <is>
          <t>t-4</t>
        </is>
      </c>
      <c r="B7" s="22" t="n">
        <v>0</v>
      </c>
    </row>
    <row r="8">
      <c r="A8" s="2" t="inlineStr">
        <is>
          <t>t-5</t>
        </is>
      </c>
      <c r="B8" s="22" t="n">
        <v>0</v>
      </c>
    </row>
    <row r="9">
      <c r="A9" s="2" t="inlineStr">
        <is>
          <t>t-6</t>
        </is>
      </c>
      <c r="B9" s="22" t="n">
        <v>0</v>
      </c>
    </row>
    <row r="10">
      <c r="A10" s="2" t="inlineStr">
        <is>
          <t>t-7</t>
        </is>
      </c>
      <c r="B10" s="22" t="n">
        <v>0</v>
      </c>
    </row>
    <row r="11">
      <c r="A11" s="2" t="inlineStr">
        <is>
          <t>t-8</t>
        </is>
      </c>
      <c r="B11" s="22" t="n">
        <v>0</v>
      </c>
    </row>
    <row r="12">
      <c r="A12" s="2" t="inlineStr">
        <is>
          <t>t-9</t>
        </is>
      </c>
      <c r="B12" s="22" t="n">
        <v>0</v>
      </c>
    </row>
    <row r="13">
      <c r="A13" s="2" t="inlineStr">
        <is>
          <t>t-10</t>
        </is>
      </c>
      <c r="B13" s="22" t="n">
        <v>0</v>
      </c>
    </row>
    <row r="15">
      <c r="A15" s="1" t="inlineStr">
        <is>
          <t>Amortization Schedule</t>
        </is>
      </c>
    </row>
    <row r="16">
      <c r="A16" s="7" t="inlineStr">
        <is>
          <t>Year</t>
        </is>
      </c>
      <c r="B16" s="7" t="inlineStr">
        <is>
          <t>R&amp;D Expense</t>
        </is>
      </c>
      <c r="C16" s="7" t="inlineStr">
        <is>
          <t>Unamortized %</t>
        </is>
      </c>
      <c r="D16" s="7" t="inlineStr">
        <is>
          <t>Unamortized Amount</t>
        </is>
      </c>
      <c r="E16" s="7" t="inlineStr">
        <is>
          <t>Amortization This Year</t>
        </is>
      </c>
    </row>
    <row r="17">
      <c r="A17" s="23" t="inlineStr">
        <is>
          <t>Current</t>
        </is>
      </c>
      <c r="B17" s="22" t="n">
        <v>0</v>
      </c>
      <c r="C17" s="24" t="n">
        <v>1</v>
      </c>
      <c r="D17" s="8" t="n">
        <v>0</v>
      </c>
      <c r="E17" s="16" t="n"/>
    </row>
    <row r="18">
      <c r="A18" s="23" t="inlineStr">
        <is>
          <t>t-1</t>
        </is>
      </c>
      <c r="B18" s="22" t="n">
        <v>0</v>
      </c>
      <c r="C18" s="24" t="n">
        <v>0.8</v>
      </c>
      <c r="D18" s="8" t="n">
        <v>0</v>
      </c>
      <c r="E18" s="8" t="n">
        <v>0</v>
      </c>
    </row>
    <row r="19">
      <c r="A19" s="23" t="inlineStr">
        <is>
          <t>t-2</t>
        </is>
      </c>
      <c r="B19" s="22" t="n">
        <v>0</v>
      </c>
      <c r="C19" s="24" t="n">
        <v>0.6</v>
      </c>
      <c r="D19" s="8" t="n">
        <v>0</v>
      </c>
      <c r="E19" s="8" t="n">
        <v>0</v>
      </c>
    </row>
    <row r="20">
      <c r="A20" s="23" t="inlineStr">
        <is>
          <t>t-3</t>
        </is>
      </c>
      <c r="B20" s="22" t="n">
        <v>0</v>
      </c>
      <c r="C20" s="24" t="n">
        <v>0.4</v>
      </c>
      <c r="D20" s="8" t="n">
        <v>0</v>
      </c>
      <c r="E20" s="8" t="n">
        <v>0</v>
      </c>
    </row>
    <row r="21">
      <c r="A21" s="23" t="inlineStr">
        <is>
          <t>t-4</t>
        </is>
      </c>
      <c r="B21" s="22" t="n">
        <v>0</v>
      </c>
      <c r="C21" s="24" t="n">
        <v>0.2</v>
      </c>
      <c r="D21" s="8" t="n">
        <v>0</v>
      </c>
      <c r="E21" s="8" t="n">
        <v>0</v>
      </c>
    </row>
    <row r="22">
      <c r="A22" s="23" t="inlineStr">
        <is>
          <t>t-5</t>
        </is>
      </c>
      <c r="B22" s="22" t="n">
        <v>0</v>
      </c>
      <c r="C22" s="24" t="n">
        <v>0</v>
      </c>
      <c r="D22" s="8" t="n">
        <v>0</v>
      </c>
      <c r="E22" s="8" t="n">
        <v>0</v>
      </c>
    </row>
    <row r="23">
      <c r="A23" s="23" t="inlineStr">
        <is>
          <t>t-6</t>
        </is>
      </c>
      <c r="B23" s="22" t="n">
        <v>0</v>
      </c>
      <c r="C23" s="24" t="n">
        <v>0</v>
      </c>
      <c r="D23" s="8" t="n">
        <v>0</v>
      </c>
      <c r="E23" s="8" t="n">
        <v>0</v>
      </c>
    </row>
    <row r="24">
      <c r="A24" s="23" t="inlineStr">
        <is>
          <t>t-7</t>
        </is>
      </c>
      <c r="B24" s="22" t="n">
        <v>0</v>
      </c>
      <c r="C24" s="24" t="n">
        <v>0</v>
      </c>
      <c r="D24" s="8" t="n">
        <v>0</v>
      </c>
      <c r="E24" s="8" t="n">
        <v>0</v>
      </c>
    </row>
    <row r="25">
      <c r="A25" s="23" t="inlineStr">
        <is>
          <t>t-8</t>
        </is>
      </c>
      <c r="B25" s="22" t="n">
        <v>0</v>
      </c>
      <c r="C25" s="24" t="n">
        <v>0</v>
      </c>
      <c r="D25" s="8" t="n">
        <v>0</v>
      </c>
      <c r="E25" s="8" t="n">
        <v>0</v>
      </c>
    </row>
    <row r="26">
      <c r="A26" s="23" t="inlineStr">
        <is>
          <t>t-9</t>
        </is>
      </c>
      <c r="B26" s="22" t="n">
        <v>0</v>
      </c>
      <c r="C26" s="24" t="n">
        <v>0</v>
      </c>
      <c r="D26" s="8" t="n">
        <v>0</v>
      </c>
      <c r="E26" s="8" t="n">
        <v>0</v>
      </c>
    </row>
    <row r="27">
      <c r="A27" s="23" t="inlineStr">
        <is>
          <t>t-10</t>
        </is>
      </c>
      <c r="B27" s="22" t="n">
        <v>0</v>
      </c>
      <c r="C27" s="24" t="n">
        <v>0</v>
      </c>
      <c r="D27" s="8" t="n">
        <v>0</v>
      </c>
      <c r="E27" s="8" t="n">
        <v>0</v>
      </c>
    </row>
    <row r="28">
      <c r="A28" s="2" t="inlineStr">
        <is>
          <t>Total</t>
        </is>
      </c>
      <c r="D28" s="25" t="n">
        <v>0</v>
      </c>
      <c r="E28" s="25" t="n">
        <v>0</v>
      </c>
    </row>
    <row r="30">
      <c r="A30" s="1" t="inlineStr">
        <is>
          <t>Summary</t>
        </is>
      </c>
    </row>
    <row r="31">
      <c r="A31" s="2" t="inlineStr">
        <is>
          <t>Value of Research Asset</t>
        </is>
      </c>
      <c r="B31" s="8" t="n">
        <v>0</v>
      </c>
    </row>
    <row r="32">
      <c r="A32" s="2" t="inlineStr">
        <is>
          <t>Unamortized R&amp;D</t>
        </is>
      </c>
      <c r="B32" s="8" t="n">
        <v>0</v>
      </c>
    </row>
    <row r="33">
      <c r="A33" s="2" t="inlineStr">
        <is>
          <t>Amortization of R&amp;D</t>
        </is>
      </c>
      <c r="B33" s="8" t="n">
        <v>0</v>
      </c>
    </row>
    <row r="34">
      <c r="A34" s="2" t="inlineStr">
        <is>
          <t>Adjusted EBIT</t>
        </is>
      </c>
      <c r="B34" s="8" t="n">
        <v>0</v>
      </c>
    </row>
  </sheetData>
  <mergeCells count="3">
    <mergeCell ref="A15:E15"/>
    <mergeCell ref="A30:B30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20" customWidth="1" min="4" max="4"/>
  </cols>
  <sheetData>
    <row r="1">
      <c r="A1" s="1" t="inlineStr">
        <is>
          <t>Lease Commitments</t>
        </is>
      </c>
    </row>
    <row r="2">
      <c r="A2" s="2" t="inlineStr">
        <is>
          <t>Current year lease expense</t>
        </is>
      </c>
      <c r="B2" s="22" t="n">
        <v>2146826273</v>
      </c>
    </row>
    <row r="3">
      <c r="A3" s="2" t="inlineStr">
        <is>
          <t>Year 1</t>
        </is>
      </c>
      <c r="B3" s="22" t="n">
        <v>0</v>
      </c>
    </row>
    <row r="4">
      <c r="A4" s="2" t="inlineStr">
        <is>
          <t>Year 2</t>
        </is>
      </c>
      <c r="B4" s="22" t="n">
        <v>0</v>
      </c>
    </row>
    <row r="5">
      <c r="A5" s="2" t="inlineStr">
        <is>
          <t>Year 3</t>
        </is>
      </c>
      <c r="B5" s="22" t="n">
        <v>0</v>
      </c>
    </row>
    <row r="6">
      <c r="A6" s="2" t="inlineStr">
        <is>
          <t>Year 4</t>
        </is>
      </c>
      <c r="B6" s="22" t="n">
        <v>0</v>
      </c>
    </row>
    <row r="7">
      <c r="A7" s="2" t="inlineStr">
        <is>
          <t>Year 5</t>
        </is>
      </c>
      <c r="B7" s="22" t="n">
        <v>0</v>
      </c>
    </row>
    <row r="8">
      <c r="A8" s="2" t="inlineStr">
        <is>
          <t>Beyond Year 5</t>
        </is>
      </c>
      <c r="B8" s="22" t="n">
        <v>0</v>
      </c>
    </row>
    <row r="10">
      <c r="A10" s="1" t="inlineStr">
        <is>
          <t>Discount Rate</t>
        </is>
      </c>
    </row>
    <row r="11">
      <c r="A11" s="2" t="inlineStr">
        <is>
          <t>Pre-tax cost of debt</t>
        </is>
      </c>
      <c r="B11" s="14" t="n">
        <v>0.052913</v>
      </c>
    </row>
    <row r="13">
      <c r="A13" s="1" t="inlineStr">
        <is>
          <t>PV of Lease Commitments</t>
        </is>
      </c>
    </row>
    <row r="14">
      <c r="A14" s="7" t="inlineStr">
        <is>
          <t>Year</t>
        </is>
      </c>
      <c r="B14" s="7" t="inlineStr">
        <is>
          <t>Commitment</t>
        </is>
      </c>
      <c r="C14" s="7" t="inlineStr">
        <is>
          <t>Discount Factor</t>
        </is>
      </c>
      <c r="D14" s="7" t="inlineStr">
        <is>
          <t>PV of Commitment</t>
        </is>
      </c>
    </row>
    <row r="15">
      <c r="A15" s="23" t="inlineStr">
        <is>
          <t>Year 1</t>
        </is>
      </c>
      <c r="B15" s="8" t="n">
        <v>0</v>
      </c>
      <c r="C15" s="17" t="n">
        <v>0.9497460853840726</v>
      </c>
      <c r="D15" s="8" t="n">
        <v>0</v>
      </c>
    </row>
    <row r="16">
      <c r="A16" s="23" t="inlineStr">
        <is>
          <t>Year 2</t>
        </is>
      </c>
      <c r="B16" s="8" t="n">
        <v>0</v>
      </c>
      <c r="C16" s="17" t="n">
        <v>0.9020176267023701</v>
      </c>
      <c r="D16" s="8" t="n">
        <v>0</v>
      </c>
    </row>
    <row r="17">
      <c r="A17" s="23" t="inlineStr">
        <is>
          <t>Year 3</t>
        </is>
      </c>
      <c r="B17" s="8" t="n">
        <v>0</v>
      </c>
      <c r="C17" s="17" t="n">
        <v>0.8566877099080077</v>
      </c>
      <c r="D17" s="8" t="n">
        <v>0</v>
      </c>
    </row>
    <row r="18">
      <c r="A18" s="23" t="inlineStr">
        <is>
          <t>Year 4</t>
        </is>
      </c>
      <c r="B18" s="8" t="n">
        <v>0</v>
      </c>
      <c r="C18" s="17" t="n">
        <v>0.8136357988817763</v>
      </c>
      <c r="D18" s="8" t="n">
        <v>0</v>
      </c>
    </row>
    <row r="19">
      <c r="A19" s="23" t="inlineStr">
        <is>
          <t>Year 5</t>
        </is>
      </c>
      <c r="B19" s="8" t="n">
        <v>0</v>
      </c>
      <c r="C19" s="17" t="n">
        <v>0.7727474149163096</v>
      </c>
      <c r="D19" s="8" t="n">
        <v>0</v>
      </c>
    </row>
    <row r="20">
      <c r="A20" s="2" t="inlineStr">
        <is>
          <t>Total: PV of Operating Leases</t>
        </is>
      </c>
      <c r="D20" s="25" t="n">
        <v>0</v>
      </c>
    </row>
    <row r="22">
      <c r="A22" s="1" t="inlineStr">
        <is>
          <t>Adjustments Summary</t>
        </is>
      </c>
    </row>
    <row r="23">
      <c r="A23" s="2" t="inlineStr">
        <is>
          <t>Debt value of leases</t>
        </is>
      </c>
      <c r="B23" s="8" t="n">
        <v>0</v>
      </c>
    </row>
    <row r="24">
      <c r="A24" s="2" t="inlineStr">
        <is>
          <t>Adjusted BV equity</t>
        </is>
      </c>
      <c r="B24" s="8" t="n"/>
    </row>
    <row r="25">
      <c r="A25" s="2" t="inlineStr">
        <is>
          <t>Adjusted MV debt</t>
        </is>
      </c>
      <c r="B25" s="8" t="n">
        <v>0</v>
      </c>
    </row>
  </sheetData>
  <mergeCells count="4">
    <mergeCell ref="A13:D13"/>
    <mergeCell ref="A22:B22"/>
    <mergeCell ref="A10:B10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Company Interest Coverage</t>
        </is>
      </c>
    </row>
    <row r="2">
      <c r="A2" s="2" t="inlineStr">
        <is>
          <t>EBIT (adjusted)</t>
        </is>
      </c>
      <c r="B2" s="8" t="n">
        <v>0</v>
      </c>
    </row>
    <row r="3">
      <c r="A3" s="2" t="inlineStr">
        <is>
          <t>Interest expense</t>
        </is>
      </c>
      <c r="B3" s="9" t="n">
        <v>2146826273</v>
      </c>
    </row>
    <row r="4">
      <c r="A4" s="20" t="inlineStr">
        <is>
          <t>Interest coverage ratio</t>
        </is>
      </c>
      <c r="B4" s="26" t="n">
        <v>0</v>
      </c>
    </row>
    <row r="5">
      <c r="A5" s="20" t="inlineStr">
        <is>
          <t>Estimated bond rating</t>
        </is>
      </c>
      <c r="B5" s="27" t="inlineStr">
        <is>
          <t>D2/D</t>
        </is>
      </c>
    </row>
    <row r="6">
      <c r="A6" s="20" t="inlineStr">
        <is>
          <t>Estimated default spread</t>
        </is>
      </c>
      <c r="B6" s="21" t="n">
        <v>0.1486</v>
      </c>
    </row>
    <row r="8">
      <c r="A8" s="1" t="inlineStr">
        <is>
          <t>Rating Lookup Table</t>
        </is>
      </c>
    </row>
    <row r="9">
      <c r="A9" s="7" t="inlineStr">
        <is>
          <t>Min Coverage</t>
        </is>
      </c>
      <c r="B9" s="7" t="inlineStr">
        <is>
          <t>Max Coverage</t>
        </is>
      </c>
      <c r="C9" s="7" t="inlineStr">
        <is>
          <t>Rating</t>
        </is>
      </c>
      <c r="D9" s="7" t="inlineStr">
        <is>
          <t>Default Spread</t>
        </is>
      </c>
    </row>
    <row r="10">
      <c r="A10" s="19" t="inlineStr">
        <is>
          <t>&lt; 0.5</t>
        </is>
      </c>
      <c r="B10" s="19" t="n">
        <v>0.5</v>
      </c>
      <c r="C10" s="6" t="inlineStr">
        <is>
          <t>D2/D</t>
        </is>
      </c>
      <c r="D10" s="14" t="n">
        <v>0.1486</v>
      </c>
    </row>
    <row r="11">
      <c r="A11" s="19" t="n">
        <v>0.5</v>
      </c>
      <c r="B11" s="19" t="n">
        <v>0.8</v>
      </c>
      <c r="C11" s="6" t="inlineStr">
        <is>
          <t>C2/C</t>
        </is>
      </c>
      <c r="D11" s="14" t="n">
        <v>0.1286</v>
      </c>
    </row>
    <row r="12">
      <c r="A12" s="19" t="n">
        <v>0.8</v>
      </c>
      <c r="B12" s="19" t="n">
        <v>1.25</v>
      </c>
      <c r="C12" s="6" t="inlineStr">
        <is>
          <t>Ca2/CC</t>
        </is>
      </c>
      <c r="D12" s="14" t="n">
        <v>0.1086</v>
      </c>
    </row>
    <row r="13">
      <c r="A13" s="19" t="n">
        <v>1.25</v>
      </c>
      <c r="B13" s="19" t="n">
        <v>1.5</v>
      </c>
      <c r="C13" s="6" t="inlineStr">
        <is>
          <t>Caa/CCC</t>
        </is>
      </c>
      <c r="D13" s="14" t="n">
        <v>0.0886</v>
      </c>
    </row>
    <row r="14">
      <c r="A14" s="19" t="n">
        <v>1.5</v>
      </c>
      <c r="B14" s="19" t="n">
        <v>2</v>
      </c>
      <c r="C14" s="6" t="inlineStr">
        <is>
          <t>B3/B-</t>
        </is>
      </c>
      <c r="D14" s="14" t="n">
        <v>0.0486</v>
      </c>
    </row>
    <row r="15">
      <c r="A15" s="19" t="n">
        <v>2</v>
      </c>
      <c r="B15" s="19" t="n">
        <v>2.5</v>
      </c>
      <c r="C15" s="6" t="inlineStr">
        <is>
          <t>B2/B</t>
        </is>
      </c>
      <c r="D15" s="14" t="n">
        <v>0.0386</v>
      </c>
    </row>
    <row r="16">
      <c r="A16" s="19" t="n">
        <v>2.5</v>
      </c>
      <c r="B16" s="19" t="n">
        <v>3</v>
      </c>
      <c r="C16" s="6" t="inlineStr">
        <is>
          <t>B1/B+</t>
        </is>
      </c>
      <c r="D16" s="14" t="n">
        <v>0.0336</v>
      </c>
    </row>
    <row r="17">
      <c r="A17" s="19" t="n">
        <v>3</v>
      </c>
      <c r="B17" s="19" t="n">
        <v>3.5</v>
      </c>
      <c r="C17" s="6" t="inlineStr">
        <is>
          <t>Ba2/BB</t>
        </is>
      </c>
      <c r="D17" s="14" t="n">
        <v>0.0236</v>
      </c>
    </row>
    <row r="18">
      <c r="A18" s="19" t="n">
        <v>3.5</v>
      </c>
      <c r="B18" s="19" t="n">
        <v>4.5</v>
      </c>
      <c r="C18" s="6" t="inlineStr">
        <is>
          <t>Ba1/BB+</t>
        </is>
      </c>
      <c r="D18" s="14" t="n">
        <v>0.0186</v>
      </c>
    </row>
    <row r="19">
      <c r="A19" s="19" t="n">
        <v>4.5</v>
      </c>
      <c r="B19" s="19" t="n">
        <v>6</v>
      </c>
      <c r="C19" s="6" t="inlineStr">
        <is>
          <t>Baa2/BBB</t>
        </is>
      </c>
      <c r="D19" s="14" t="n">
        <v>0.0161</v>
      </c>
    </row>
    <row r="20">
      <c r="A20" s="19" t="n">
        <v>6</v>
      </c>
      <c r="B20" s="19" t="n">
        <v>7.5</v>
      </c>
      <c r="C20" s="6" t="inlineStr">
        <is>
          <t>A3/A-</t>
        </is>
      </c>
      <c r="D20" s="14" t="n">
        <v>0.0136</v>
      </c>
    </row>
    <row r="21">
      <c r="A21" s="19" t="n">
        <v>7.5</v>
      </c>
      <c r="B21" s="19" t="n">
        <v>9.5</v>
      </c>
      <c r="C21" s="6" t="inlineStr">
        <is>
          <t>A2/A</t>
        </is>
      </c>
      <c r="D21" s="14" t="n">
        <v>0.0111</v>
      </c>
    </row>
    <row r="22">
      <c r="A22" s="19" t="n">
        <v>9.5</v>
      </c>
      <c r="B22" s="19" t="n">
        <v>12.5</v>
      </c>
      <c r="C22" s="6" t="inlineStr">
        <is>
          <t>A1/A+</t>
        </is>
      </c>
      <c r="D22" s="14" t="n">
        <v>0.0086</v>
      </c>
    </row>
    <row r="23">
      <c r="A23" s="19" t="n">
        <v>12.5</v>
      </c>
      <c r="B23" s="19" t="inlineStr">
        <is>
          <t>&gt; 12.5</t>
        </is>
      </c>
      <c r="C23" s="6" t="inlineStr">
        <is>
          <t>Aaa/AAA</t>
        </is>
      </c>
      <c r="D23" s="14" t="n">
        <v>0.0063</v>
      </c>
    </row>
  </sheetData>
  <mergeCells count="2">
    <mergeCell ref="A8:D8"/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Failure Probability Inputs</t>
        </is>
      </c>
    </row>
    <row r="2">
      <c r="A2" s="2" t="inlineStr">
        <is>
          <t>Probability of failure</t>
        </is>
      </c>
      <c r="B2" s="12" t="n">
        <v>0</v>
      </c>
    </row>
    <row r="3">
      <c r="A3" s="2" t="inlineStr">
        <is>
          <t>Proceeds as % of book value if failure</t>
        </is>
      </c>
      <c r="B3" s="12" t="n">
        <v>0.5</v>
      </c>
    </row>
    <row r="5">
      <c r="A5" s="1" t="inlineStr">
        <is>
          <t>Impact on Valuation</t>
        </is>
      </c>
    </row>
    <row r="6">
      <c r="A6" s="2" t="inlineStr">
        <is>
          <t>Value of operating assets (going concern)</t>
        </is>
      </c>
      <c r="B6" s="8" t="n">
        <v>0</v>
      </c>
    </row>
    <row r="7">
      <c r="A7" s="2" t="inlineStr">
        <is>
          <t>Probability of failure</t>
        </is>
      </c>
      <c r="B7" s="15" t="n">
        <v>0</v>
      </c>
    </row>
    <row r="8">
      <c r="A8" s="2" t="inlineStr">
        <is>
          <t>Distress sale proceeds</t>
        </is>
      </c>
      <c r="B8" s="8" t="n">
        <v>0</v>
      </c>
    </row>
    <row r="9">
      <c r="A9" s="20" t="inlineStr">
        <is>
          <t>Expected operating asset value</t>
        </is>
      </c>
      <c r="B9" s="28" t="n">
        <v>0</v>
      </c>
    </row>
    <row r="11">
      <c r="A11" s="1" t="inlineStr">
        <is>
          <t>Cumulative Default Rates by Rating</t>
        </is>
      </c>
    </row>
    <row r="12">
      <c r="A12" s="7" t="inlineStr">
        <is>
          <t>Bond Rating</t>
        </is>
      </c>
      <c r="B12" s="7" t="inlineStr">
        <is>
          <t>1-Year</t>
        </is>
      </c>
      <c r="C12" s="7" t="inlineStr">
        <is>
          <t>5-Year</t>
        </is>
      </c>
      <c r="D12" s="7" t="inlineStr">
        <is>
          <t>10-Year</t>
        </is>
      </c>
    </row>
    <row r="13">
      <c r="A13" s="6" t="inlineStr">
        <is>
          <t>Aaa/AAA</t>
        </is>
      </c>
      <c r="B13" s="14" t="n">
        <v>0.0001</v>
      </c>
      <c r="C13" s="14" t="n">
        <v>0.0012</v>
      </c>
      <c r="D13" s="14" t="n">
        <v>0.005</v>
      </c>
    </row>
    <row r="14">
      <c r="A14" s="6" t="inlineStr">
        <is>
          <t>Aa2/AA</t>
        </is>
      </c>
      <c r="B14" s="14" t="n">
        <v>0.0008</v>
      </c>
      <c r="C14" s="14" t="n">
        <v>0.005</v>
      </c>
      <c r="D14" s="14" t="n">
        <v>0.01</v>
      </c>
    </row>
    <row r="15">
      <c r="A15" s="6" t="inlineStr">
        <is>
          <t>A1/A+</t>
        </is>
      </c>
      <c r="B15" s="14" t="n">
        <v>0.002</v>
      </c>
      <c r="C15" s="14" t="n">
        <v>0.01</v>
      </c>
      <c r="D15" s="14" t="n">
        <v>0.02</v>
      </c>
    </row>
    <row r="16">
      <c r="A16" s="6" t="inlineStr">
        <is>
          <t>A2/A</t>
        </is>
      </c>
      <c r="B16" s="14" t="n">
        <v>0.005</v>
      </c>
      <c r="C16" s="14" t="n">
        <v>0.02</v>
      </c>
      <c r="D16" s="14" t="n">
        <v>0.04</v>
      </c>
    </row>
    <row r="17">
      <c r="A17" s="6" t="inlineStr">
        <is>
          <t>Baa2/BBB</t>
        </is>
      </c>
      <c r="B17" s="14" t="n">
        <v>0.012</v>
      </c>
      <c r="C17" s="14" t="n">
        <v>0.035</v>
      </c>
      <c r="D17" s="14" t="n">
        <v>0.07000000000000001</v>
      </c>
    </row>
    <row r="18">
      <c r="A18" s="6" t="inlineStr">
        <is>
          <t>Ba1/BB+</t>
        </is>
      </c>
      <c r="B18" s="14" t="n">
        <v>0.02</v>
      </c>
      <c r="C18" s="14" t="n">
        <v>0.07000000000000001</v>
      </c>
      <c r="D18" s="14" t="n">
        <v>0.11</v>
      </c>
    </row>
    <row r="19">
      <c r="A19" s="6" t="inlineStr">
        <is>
          <t>Ba2/BB</t>
        </is>
      </c>
      <c r="B19" s="14" t="n">
        <v>0.035</v>
      </c>
      <c r="C19" s="14" t="n">
        <v>0.11</v>
      </c>
      <c r="D19" s="14" t="n">
        <v>0.18</v>
      </c>
    </row>
    <row r="20">
      <c r="A20" s="6" t="inlineStr">
        <is>
          <t>B1/B+</t>
        </is>
      </c>
      <c r="B20" s="14" t="n">
        <v>0.05</v>
      </c>
      <c r="C20" s="14" t="n">
        <v>0.15</v>
      </c>
      <c r="D20" s="14" t="n">
        <v>0.25</v>
      </c>
    </row>
    <row r="21">
      <c r="A21" s="6" t="inlineStr">
        <is>
          <t>B2/B</t>
        </is>
      </c>
      <c r="B21" s="14" t="n">
        <v>0.065</v>
      </c>
      <c r="C21" s="14" t="n">
        <v>0.2</v>
      </c>
      <c r="D21" s="14" t="n">
        <v>0.32</v>
      </c>
    </row>
    <row r="22">
      <c r="A22" s="6" t="inlineStr">
        <is>
          <t>B3/B-</t>
        </is>
      </c>
      <c r="B22" s="14" t="n">
        <v>0.08</v>
      </c>
      <c r="C22" s="14" t="n">
        <v>0.25</v>
      </c>
      <c r="D22" s="14" t="n">
        <v>0.38</v>
      </c>
    </row>
    <row r="23">
      <c r="A23" s="6" t="inlineStr">
        <is>
          <t>Caa/CCC</t>
        </is>
      </c>
      <c r="B23" s="14" t="n">
        <v>0.12</v>
      </c>
      <c r="C23" s="14" t="n">
        <v>0.35</v>
      </c>
      <c r="D23" s="14" t="n">
        <v>0.5</v>
      </c>
    </row>
    <row r="24">
      <c r="A24" s="6" t="inlineStr">
        <is>
          <t>Ca2/CC</t>
        </is>
      </c>
      <c r="B24" s="14" t="n">
        <v>0.2</v>
      </c>
      <c r="C24" s="14" t="n">
        <v>0.45</v>
      </c>
      <c r="D24" s="14" t="n">
        <v>0.65</v>
      </c>
    </row>
    <row r="25">
      <c r="A25" s="6" t="inlineStr">
        <is>
          <t>C2/C</t>
        </is>
      </c>
      <c r="B25" s="14" t="n">
        <v>0.3</v>
      </c>
      <c r="C25" s="14" t="n">
        <v>0.6</v>
      </c>
      <c r="D25" s="14" t="n">
        <v>0.8</v>
      </c>
    </row>
    <row r="26">
      <c r="A26" s="6" t="inlineStr">
        <is>
          <t>D2/D</t>
        </is>
      </c>
      <c r="B26" s="14" t="n">
        <v>1</v>
      </c>
      <c r="C26" s="14" t="n">
        <v>1</v>
      </c>
      <c r="D26" s="14" t="n">
        <v>1</v>
      </c>
    </row>
  </sheetData>
  <mergeCells count="3">
    <mergeCell ref="A11:D11"/>
    <mergeCell ref="A1:B1"/>
    <mergeCell ref="A5:B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Step 1: Revenue Growth</t>
        </is>
      </c>
    </row>
    <row r="2">
      <c r="A2" s="2" t="inlineStr">
        <is>
          <t>Industry avg revenue growth</t>
        </is>
      </c>
      <c r="B2" s="14" t="n"/>
    </row>
    <row r="3">
      <c r="A3" s="2" t="inlineStr">
        <is>
          <t>Most recent revenue growth</t>
        </is>
      </c>
      <c r="B3" s="15" t="n"/>
    </row>
    <row r="4">
      <c r="A4" s="2" t="inlineStr">
        <is>
          <t>Forecast - Year 1 growth</t>
        </is>
      </c>
      <c r="B4" s="12" t="n"/>
    </row>
    <row r="5">
      <c r="A5" s="2" t="inlineStr">
        <is>
          <t>Forecast - Years 2-5 growth</t>
        </is>
      </c>
      <c r="B5" s="12" t="n"/>
    </row>
    <row r="7">
      <c r="A7" s="1" t="inlineStr">
        <is>
          <t>Step 2: Dollar Revenues</t>
        </is>
      </c>
    </row>
    <row r="8">
      <c r="A8" s="2" t="inlineStr">
        <is>
          <t>Base year revenues</t>
        </is>
      </c>
      <c r="B8" s="9" t="n">
        <v>0</v>
      </c>
    </row>
    <row r="9">
      <c r="A9" s="2" t="inlineStr">
        <is>
          <t>Year 1 revenues</t>
        </is>
      </c>
      <c r="B9" s="8" t="n">
        <v>0</v>
      </c>
    </row>
    <row r="10">
      <c r="A10" s="2" t="inlineStr">
        <is>
          <t>Year 5 revenues</t>
        </is>
      </c>
      <c r="B10" s="8" t="n">
        <v>0</v>
      </c>
    </row>
    <row r="11">
      <c r="A11" s="2" t="inlineStr">
        <is>
          <t>Year 10 revenues</t>
        </is>
      </c>
      <c r="B11" s="8" t="n">
        <v>0</v>
      </c>
    </row>
    <row r="13">
      <c r="A13" s="1" t="inlineStr">
        <is>
          <t>Step 3: Operating Margins</t>
        </is>
      </c>
    </row>
    <row r="14">
      <c r="A14" s="2" t="inlineStr">
        <is>
          <t>Current operating margin</t>
        </is>
      </c>
      <c r="B14" s="15" t="n"/>
    </row>
    <row r="15">
      <c r="A15" s="2" t="inlineStr">
        <is>
          <t>Target operating margin</t>
        </is>
      </c>
      <c r="B15" s="12" t="n"/>
    </row>
    <row r="16">
      <c r="A16" s="2" t="inlineStr">
        <is>
          <t>Industry pretax margin</t>
        </is>
      </c>
      <c r="B16" s="14" t="n">
        <v>0.3532779191425264</v>
      </c>
    </row>
    <row r="17">
      <c r="A17" s="2" t="inlineStr">
        <is>
          <t>Year of convergence</t>
        </is>
      </c>
      <c r="B17" s="3" t="n">
        <v>5</v>
      </c>
    </row>
    <row r="19">
      <c r="A19" s="1" t="inlineStr">
        <is>
          <t>Step 4: Reinvestment</t>
        </is>
      </c>
    </row>
    <row r="20">
      <c r="A20" s="2" t="inlineStr">
        <is>
          <t>Sales/capital years 1-5</t>
        </is>
      </c>
      <c r="B20" s="18" t="n"/>
    </row>
    <row r="21">
      <c r="A21" s="2" t="inlineStr">
        <is>
          <t>Sales/capital years 6-10</t>
        </is>
      </c>
      <c r="B21" s="18" t="n"/>
    </row>
    <row r="22">
      <c r="A22" s="2" t="inlineStr">
        <is>
          <t>Industry sales/capital</t>
        </is>
      </c>
      <c r="B22" s="19" t="n"/>
    </row>
    <row r="24">
      <c r="A24" s="1" t="inlineStr">
        <is>
          <t>Step 5: Risk</t>
        </is>
      </c>
    </row>
    <row r="25">
      <c r="A25" s="2" t="inlineStr">
        <is>
          <t>Cost of capital (WACC)</t>
        </is>
      </c>
      <c r="B25" s="15" t="n">
        <v>0.1131187263584776</v>
      </c>
    </row>
    <row r="26">
      <c r="A26" s="2" t="inlineStr">
        <is>
          <t>Industry WACC</t>
        </is>
      </c>
      <c r="B26" s="14" t="n">
        <v>0.1055061908992829</v>
      </c>
    </row>
    <row r="27">
      <c r="A27" s="2" t="inlineStr">
        <is>
          <t>Risk-free rate</t>
        </is>
      </c>
      <c r="B27" s="12" t="n">
        <v>0.0425</v>
      </c>
    </row>
    <row r="29">
      <c r="A29" s="1" t="inlineStr">
        <is>
          <t>Step 6: Value vs Price</t>
        </is>
      </c>
    </row>
    <row r="30">
      <c r="A30" s="2" t="inlineStr">
        <is>
          <t>Value per share</t>
        </is>
      </c>
      <c r="B30" s="18" t="n">
        <v>0</v>
      </c>
    </row>
    <row r="31">
      <c r="A31" s="2" t="inlineStr">
        <is>
          <t>Stock price</t>
        </is>
      </c>
      <c r="B31" s="10" t="n"/>
    </row>
    <row r="32">
      <c r="A32" s="2" t="inlineStr">
        <is>
          <t>Price as % of value</t>
        </is>
      </c>
      <c r="B32" s="15" t="n"/>
    </row>
  </sheetData>
  <mergeCells count="6">
    <mergeCell ref="A24:B24"/>
    <mergeCell ref="A29:B29"/>
    <mergeCell ref="A7:B7"/>
    <mergeCell ref="A19:B19"/>
    <mergeCell ref="A13:B13"/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25" customWidth="1" min="3" max="3"/>
    <col width="18" customWidth="1" min="4" max="4"/>
    <col width="15" customWidth="1" min="5" max="5"/>
  </cols>
  <sheetData>
    <row r="1">
      <c r="A1" s="7" t="inlineStr">
        <is>
          <t>Narrative Question</t>
        </is>
      </c>
      <c r="B1" s="7" t="inlineStr">
        <is>
          <t>Value Driver</t>
        </is>
      </c>
      <c r="C1" s="7" t="inlineStr">
        <is>
          <t>Input Field</t>
        </is>
      </c>
      <c r="D1" s="7" t="inlineStr">
        <is>
          <t>Current Value</t>
        </is>
      </c>
      <c r="E1" s="7" t="inlineStr">
        <is>
          <t>Source</t>
        </is>
      </c>
    </row>
    <row r="2">
      <c r="A2" s="23" t="inlineStr">
        <is>
          <t>How fast will the company grow revenues?</t>
        </is>
      </c>
      <c r="B2" s="23" t="inlineStr">
        <is>
          <t>Revenue growth (next year)</t>
        </is>
      </c>
      <c r="C2" s="5" t="inlineStr">
        <is>
          <t>revenue_growth_next_year</t>
        </is>
      </c>
      <c r="D2" s="12" t="n"/>
      <c r="E2" s="23" t="inlineStr">
        <is>
          <t>User Input</t>
        </is>
      </c>
    </row>
    <row r="3">
      <c r="A3" s="23" t="inlineStr">
        <is>
          <t>How fast will it grow after year 1?</t>
        </is>
      </c>
      <c r="B3" s="23" t="inlineStr">
        <is>
          <t>Revenue growth (years 2-5)</t>
        </is>
      </c>
      <c r="C3" s="5" t="inlineStr">
        <is>
          <t>revenue_growth_years_2_5</t>
        </is>
      </c>
      <c r="D3" s="12" t="n"/>
      <c r="E3" s="23" t="inlineStr">
        <is>
          <t>User Input</t>
        </is>
      </c>
    </row>
    <row r="4">
      <c r="A4" s="23" t="inlineStr">
        <is>
          <t>How profitable at maturity?</t>
        </is>
      </c>
      <c r="B4" s="23" t="inlineStr">
        <is>
          <t>Target pre-tax operating margin</t>
        </is>
      </c>
      <c r="C4" s="5" t="inlineStr">
        <is>
          <t>target_operating_margin</t>
        </is>
      </c>
      <c r="D4" s="12" t="n"/>
      <c r="E4" s="23" t="inlineStr">
        <is>
          <t>User Input</t>
        </is>
      </c>
    </row>
    <row r="5">
      <c r="A5" s="23" t="inlineStr">
        <is>
          <t>How long to reach target margin?</t>
        </is>
      </c>
      <c r="B5" s="23" t="inlineStr">
        <is>
          <t>Year of convergence</t>
        </is>
      </c>
      <c r="C5" s="5" t="inlineStr">
        <is>
          <t>margin_convergence_year</t>
        </is>
      </c>
      <c r="D5" s="3" t="n">
        <v>5</v>
      </c>
      <c r="E5" s="23" t="inlineStr">
        <is>
          <t>User Input</t>
        </is>
      </c>
    </row>
    <row r="6">
      <c r="A6" s="23" t="inlineStr">
        <is>
          <t>How efficiently reinvest?</t>
        </is>
      </c>
      <c r="B6" s="23" t="inlineStr">
        <is>
          <t>Sales/Capital (years 1-5)</t>
        </is>
      </c>
      <c r="C6" s="5" t="inlineStr">
        <is>
          <t>sales_to_capital_high</t>
        </is>
      </c>
      <c r="D6" s="18" t="n"/>
      <c r="E6" s="23" t="inlineStr">
        <is>
          <t>Calculated</t>
        </is>
      </c>
    </row>
    <row r="7">
      <c r="A7" s="23" t="inlineStr">
        <is>
          <t>Reinvestment in stable growth?</t>
        </is>
      </c>
      <c r="B7" s="23" t="inlineStr">
        <is>
          <t>Sales/Capital (years 6-10)</t>
        </is>
      </c>
      <c r="C7" s="5" t="inlineStr">
        <is>
          <t>sales_to_capital_stable</t>
        </is>
      </c>
      <c r="D7" s="18" t="n"/>
      <c r="E7" s="23" t="inlineStr">
        <is>
          <t>Calculated</t>
        </is>
      </c>
    </row>
    <row r="8">
      <c r="A8" s="23" t="inlineStr">
        <is>
          <t>How risky is this company?</t>
        </is>
      </c>
      <c r="B8" s="23" t="inlineStr">
        <is>
          <t>Cost of capital</t>
        </is>
      </c>
      <c r="C8" s="5" t="inlineStr">
        <is>
          <t>wacc</t>
        </is>
      </c>
      <c r="D8" s="15" t="n">
        <v>0.1131187263584776</v>
      </c>
      <c r="E8" s="23" t="inlineStr">
        <is>
          <t>Calculated</t>
        </is>
      </c>
    </row>
    <row r="9">
      <c r="A9" s="23" t="inlineStr">
        <is>
          <t>What is the long-term growth rate?</t>
        </is>
      </c>
      <c r="B9" s="23" t="inlineStr">
        <is>
          <t>Stable growth rate</t>
        </is>
      </c>
      <c r="C9" s="5" t="inlineStr">
        <is>
          <t>stable_growth_rate</t>
        </is>
      </c>
      <c r="D9" s="12" t="n">
        <v>0.0425</v>
      </c>
      <c r="E9" s="23" t="inlineStr">
        <is>
          <t>User Input</t>
        </is>
      </c>
    </row>
    <row r="10">
      <c r="A10" s="23" t="inlineStr">
        <is>
          <t>Could this company fail?</t>
        </is>
      </c>
      <c r="B10" s="23" t="inlineStr">
        <is>
          <t>Probability of failure</t>
        </is>
      </c>
      <c r="C10" s="5" t="inlineStr">
        <is>
          <t>failure_probability</t>
        </is>
      </c>
      <c r="D10" s="12" t="n">
        <v>0</v>
      </c>
      <c r="E10" s="23" t="inlineStr">
        <is>
          <t>User Input</t>
        </is>
      </c>
    </row>
    <row r="11">
      <c r="A11" s="23" t="inlineStr">
        <is>
          <t>What are industry margins like?</t>
        </is>
      </c>
      <c r="B11" s="23" t="inlineStr">
        <is>
          <t>Industry pre-tax margin</t>
        </is>
      </c>
      <c r="C11" s="5" t="inlineStr">
        <is>
          <t>pretax_operating_margin</t>
        </is>
      </c>
      <c r="D11" s="14" t="n">
        <v>0.3532779191425264</v>
      </c>
      <c r="E11" s="23" t="inlineStr">
        <is>
          <t>Industry/Market</t>
        </is>
      </c>
    </row>
    <row r="12">
      <c r="A12" s="23" t="inlineStr">
        <is>
          <t>Industry reinvestment?</t>
        </is>
      </c>
      <c r="B12" s="23" t="inlineStr">
        <is>
          <t>Industry sales/capital</t>
        </is>
      </c>
      <c r="C12" s="5" t="inlineStr">
        <is>
          <t>sales_to_capital</t>
        </is>
      </c>
      <c r="D12" s="19" t="n"/>
      <c r="E12" s="23" t="inlineStr">
        <is>
          <t>Industry/Market</t>
        </is>
      </c>
    </row>
    <row r="13">
      <c r="A13" s="23" t="inlineStr">
        <is>
          <t>What does the market say?</t>
        </is>
      </c>
      <c r="B13" s="23" t="inlineStr">
        <is>
          <t>Current stock price</t>
        </is>
      </c>
      <c r="C13" s="5" t="inlineStr">
        <is>
          <t>stock_price</t>
        </is>
      </c>
      <c r="D13" s="19" t="n"/>
      <c r="E13" s="23" t="inlineStr">
        <is>
          <t>Industry/Market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0" customWidth="1" min="3" max="3"/>
    <col width="18" customWidth="1" min="4" max="4"/>
    <col width="20" customWidth="1" min="5" max="5"/>
    <col width="18" customWidth="1" min="6" max="6"/>
    <col width="25" customWidth="1" min="7" max="7"/>
    <col width="18" customWidth="1" min="8" max="8"/>
  </cols>
  <sheetData>
    <row r="1">
      <c r="A1" s="1" t="inlineStr">
        <is>
          <t>Revenue Growth Path</t>
        </is>
      </c>
    </row>
    <row r="2">
      <c r="A2" s="2" t="inlineStr">
        <is>
          <t>Current revenues</t>
        </is>
      </c>
      <c r="B2" s="9" t="n">
        <v>0</v>
      </c>
      <c r="C2" s="2" t="inlineStr">
        <is>
          <t>Growth yr 1</t>
        </is>
      </c>
      <c r="D2" s="12" t="n"/>
      <c r="E2" s="2" t="inlineStr">
        <is>
          <t>Growth yrs 2-5</t>
        </is>
      </c>
      <c r="F2" s="12" t="n"/>
      <c r="G2" s="2" t="inlineStr">
        <is>
          <t>Terminal revenues</t>
        </is>
      </c>
      <c r="H2" s="8" t="n">
        <v>0</v>
      </c>
    </row>
    <row r="4">
      <c r="A4" s="1" t="inlineStr">
        <is>
          <t>Operating Margin Path</t>
        </is>
      </c>
    </row>
    <row r="5">
      <c r="A5" s="2" t="inlineStr">
        <is>
          <t>Current EBIT margin</t>
        </is>
      </c>
      <c r="B5" s="15" t="n">
        <v>0</v>
      </c>
      <c r="C5" s="2" t="inlineStr">
        <is>
          <t>Target margin</t>
        </is>
      </c>
      <c r="D5" s="12" t="n"/>
      <c r="E5" s="2" t="inlineStr">
        <is>
          <t>Converge year</t>
        </is>
      </c>
      <c r="F5" s="3" t="n">
        <v>5</v>
      </c>
      <c r="G5" s="2" t="inlineStr">
        <is>
          <t>Terminal EBIT</t>
        </is>
      </c>
      <c r="H5" s="8" t="n">
        <v>0</v>
      </c>
    </row>
    <row r="7">
      <c r="A7" s="1" t="inlineStr">
        <is>
          <t>Cost of Capital</t>
        </is>
      </c>
    </row>
    <row r="8">
      <c r="A8" s="2" t="inlineStr">
        <is>
          <t>Risk-free rate</t>
        </is>
      </c>
      <c r="B8" s="12" t="n">
        <v>0.0425</v>
      </c>
      <c r="C8" s="2" t="inlineStr">
        <is>
          <t>+ Beta x ERP</t>
        </is>
      </c>
      <c r="D8" s="14" t="n">
        <v>0.0446</v>
      </c>
      <c r="E8" s="2" t="inlineStr">
        <is>
          <t>WACC</t>
        </is>
      </c>
      <c r="F8" s="15" t="n">
        <v>0.1131187263584776</v>
      </c>
    </row>
    <row r="10">
      <c r="A10" s="1" t="inlineStr">
        <is>
          <t>Value Bridge</t>
        </is>
      </c>
    </row>
    <row r="11">
      <c r="A11" s="23" t="inlineStr">
        <is>
          <t>PV(Cash Flows)</t>
        </is>
      </c>
      <c r="B11" s="8" t="n">
        <v>0</v>
      </c>
    </row>
    <row r="12">
      <c r="A12" s="23" t="inlineStr">
        <is>
          <t>+ PV(Terminal Value)</t>
        </is>
      </c>
      <c r="B12" s="8" t="n">
        <v>0</v>
      </c>
    </row>
    <row r="13">
      <c r="A13" s="2">
        <f> Operating Assets</f>
        <v/>
      </c>
      <c r="B13" s="8" t="n">
        <v>0</v>
      </c>
    </row>
    <row r="14">
      <c r="A14" s="23" t="inlineStr">
        <is>
          <t>- Debt</t>
        </is>
      </c>
      <c r="B14" s="9" t="n"/>
    </row>
    <row r="15">
      <c r="A15" s="23" t="inlineStr">
        <is>
          <t>- Minority interests</t>
        </is>
      </c>
      <c r="B15" s="9" t="n"/>
    </row>
    <row r="16">
      <c r="A16" s="23" t="inlineStr">
        <is>
          <t>+ Cash</t>
        </is>
      </c>
      <c r="B16" s="9" t="n"/>
    </row>
    <row r="17">
      <c r="A17" s="23" t="inlineStr">
        <is>
          <t>+ Non-operating assets</t>
        </is>
      </c>
      <c r="B17" s="9" t="n"/>
    </row>
    <row r="18">
      <c r="A18" s="2">
        <f> Value of Equity</f>
        <v/>
      </c>
      <c r="B18" s="8" t="n">
        <v>0</v>
      </c>
    </row>
    <row r="19">
      <c r="A19" s="23" t="inlineStr">
        <is>
          <t>- Options</t>
        </is>
      </c>
      <c r="B19" s="8" t="n">
        <v>0</v>
      </c>
    </row>
    <row r="20">
      <c r="A20" s="23" t="inlineStr">
        <is>
          <t>/ Shares Outstanding</t>
        </is>
      </c>
      <c r="B20" s="9" t="n"/>
    </row>
    <row r="21">
      <c r="A21" s="2">
        <f> Value per Share</f>
        <v/>
      </c>
      <c r="B21" s="8" t="n">
        <v>0</v>
      </c>
    </row>
    <row r="22">
      <c r="A22" s="23" t="inlineStr">
        <is>
          <t>Current Stock Price</t>
        </is>
      </c>
      <c r="B22" s="9" t="n"/>
    </row>
  </sheetData>
  <mergeCells count="4">
    <mergeCell ref="A4:H4"/>
    <mergeCell ref="A7:F7"/>
    <mergeCell ref="A10:B10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2" t="inlineStr">
        <is>
          <t>No employee options outstanding.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Income Statement Items</t>
        </is>
      </c>
    </row>
    <row r="2">
      <c r="A2" s="7" t="inlineStr">
        <is>
          <t>Item</t>
        </is>
      </c>
      <c r="B2" s="7" t="inlineStr">
        <is>
          <t>LTM / Most Recent</t>
        </is>
      </c>
      <c r="C2" s="7" t="inlineStr">
        <is>
          <t>Prior Annual</t>
        </is>
      </c>
      <c r="D2" s="7" t="inlineStr">
        <is>
          <t>TTM Computed</t>
        </is>
      </c>
    </row>
    <row r="3">
      <c r="A3" s="23" t="inlineStr">
        <is>
          <t>Revenues</t>
        </is>
      </c>
      <c r="B3" s="9" t="n">
        <v>0</v>
      </c>
      <c r="C3" s="9" t="n">
        <v>0</v>
      </c>
      <c r="D3" s="8" t="n">
        <v>0</v>
      </c>
    </row>
    <row r="4">
      <c r="A4" s="23" t="inlineStr">
        <is>
          <t>EBIT</t>
        </is>
      </c>
      <c r="B4" s="9" t="n">
        <v>0</v>
      </c>
      <c r="C4" s="9" t="n">
        <v>0</v>
      </c>
      <c r="D4" s="8" t="n">
        <v>0</v>
      </c>
    </row>
    <row r="5">
      <c r="A5" s="23" t="inlineStr">
        <is>
          <t>EBITDA</t>
        </is>
      </c>
      <c r="B5" s="9" t="n"/>
      <c r="C5" s="9" t="n"/>
      <c r="D5" s="8" t="n"/>
    </row>
    <row r="6">
      <c r="A6" s="23" t="inlineStr">
        <is>
          <t>Net Income</t>
        </is>
      </c>
      <c r="B6" s="9" t="n"/>
      <c r="C6" s="9" t="n"/>
      <c r="D6" s="8" t="n"/>
    </row>
    <row r="7">
      <c r="A7" s="23" t="inlineStr">
        <is>
          <t>Interest Expense</t>
        </is>
      </c>
      <c r="B7" s="9" t="n">
        <v>2146826273</v>
      </c>
      <c r="C7" s="9" t="n">
        <v>2146826273</v>
      </c>
      <c r="D7" s="8" t="n">
        <v>2146826273</v>
      </c>
    </row>
    <row r="8">
      <c r="A8" s="23" t="inlineStr">
        <is>
          <t>Capital Expenditures</t>
        </is>
      </c>
      <c r="B8" s="9" t="n">
        <v>2146826273</v>
      </c>
      <c r="C8" s="9" t="n">
        <v>2146826273</v>
      </c>
      <c r="D8" s="8" t="n">
        <v>2146826273</v>
      </c>
    </row>
    <row r="9">
      <c r="A9" s="23" t="inlineStr">
        <is>
          <t>D&amp;A</t>
        </is>
      </c>
      <c r="B9" s="9" t="n">
        <v>2146826273</v>
      </c>
      <c r="C9" s="9" t="n">
        <v>2146826273</v>
      </c>
      <c r="D9" s="8" t="n">
        <v>2146826273</v>
      </c>
    </row>
    <row r="11">
      <c r="A11" s="1" t="inlineStr">
        <is>
          <t>Balance Sheet Items (Most Recent)</t>
        </is>
      </c>
    </row>
    <row r="12">
      <c r="A12" s="7" t="inlineStr">
        <is>
          <t>Item</t>
        </is>
      </c>
      <c r="B12" s="7" t="inlineStr">
        <is>
          <t>Value</t>
        </is>
      </c>
    </row>
    <row r="13">
      <c r="A13" s="23" t="inlineStr">
        <is>
          <t>Cash &amp; Marketable Securities</t>
        </is>
      </c>
      <c r="B13" s="9" t="n"/>
    </row>
    <row r="14">
      <c r="A14" s="23" t="inlineStr">
        <is>
          <t>BV Equity</t>
        </is>
      </c>
      <c r="B14" s="9" t="n"/>
    </row>
    <row r="15">
      <c r="A15" s="23" t="inlineStr">
        <is>
          <t>BV Debt</t>
        </is>
      </c>
      <c r="B15" s="9" t="n"/>
    </row>
    <row r="16">
      <c r="A16" s="23" t="inlineStr">
        <is>
          <t>MV Equity</t>
        </is>
      </c>
      <c r="B16" s="9" t="n"/>
    </row>
    <row r="17">
      <c r="A17" s="23" t="inlineStr">
        <is>
          <t>Shares Outstanding</t>
        </is>
      </c>
      <c r="B17" s="9" t="n"/>
    </row>
    <row r="18">
      <c r="A18" s="23" t="inlineStr">
        <is>
          <t>Stock Price</t>
        </is>
      </c>
      <c r="B18" s="9" t="n"/>
    </row>
    <row r="20">
      <c r="A20" s="1" t="inlineStr">
        <is>
          <t>Adjustment Inputs</t>
        </is>
      </c>
    </row>
    <row r="21">
      <c r="A21" s="23" t="inlineStr">
        <is>
          <t>Has R&amp;D?</t>
        </is>
      </c>
      <c r="B21" s="3" t="inlineStr">
        <is>
          <t>No</t>
        </is>
      </c>
    </row>
    <row r="22">
      <c r="A22" s="23" t="inlineStr">
        <is>
          <t>R&amp;D Expense (Current)</t>
        </is>
      </c>
      <c r="B22" s="22" t="n">
        <v>0</v>
      </c>
    </row>
    <row r="23">
      <c r="A23" s="23" t="inlineStr">
        <is>
          <t>Has Operating Leases?</t>
        </is>
      </c>
      <c r="B23" s="3" t="inlineStr">
        <is>
          <t>Yes</t>
        </is>
      </c>
    </row>
    <row r="24">
      <c r="A24" s="23" t="inlineStr">
        <is>
          <t>Lease Expense (Current)</t>
        </is>
      </c>
      <c r="B24" s="22" t="n">
        <v>2146826273</v>
      </c>
    </row>
  </sheetData>
  <mergeCells count="3">
    <mergeCell ref="A1:D1"/>
    <mergeCell ref="A20:B20"/>
    <mergeCell ref="A11:B1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Company Data</t>
        </is>
      </c>
    </row>
    <row r="2">
      <c r="A2" s="7" t="inlineStr">
        <is>
          <t>Item</t>
        </is>
      </c>
      <c r="B2" s="7" t="inlineStr">
        <is>
          <t>Value</t>
        </is>
      </c>
    </row>
    <row r="3">
      <c r="A3" s="23" t="inlineStr">
        <is>
          <t>Company</t>
        </is>
      </c>
      <c r="B3" s="4" t="inlineStr">
        <is>
          <t>NVIDIA Corporation (NasdaqGS:NVDA)</t>
        </is>
      </c>
    </row>
    <row r="4">
      <c r="A4" s="23" t="inlineStr">
        <is>
          <t>Industry</t>
        </is>
      </c>
      <c r="B4" s="4" t="inlineStr">
        <is>
          <t>Semiconductor</t>
        </is>
      </c>
    </row>
    <row r="5">
      <c r="A5" s="23" t="inlineStr">
        <is>
          <t>Revenues</t>
        </is>
      </c>
      <c r="B5" s="9" t="n">
        <v>0</v>
      </c>
    </row>
    <row r="6">
      <c r="A6" s="23" t="inlineStr">
        <is>
          <t>EBIT</t>
        </is>
      </c>
      <c r="B6" s="9" t="n">
        <v>0</v>
      </c>
    </row>
    <row r="7">
      <c r="A7" s="23" t="inlineStr">
        <is>
          <t>Stock Price</t>
        </is>
      </c>
      <c r="B7" s="10" t="n"/>
    </row>
    <row r="8">
      <c r="A8" s="23" t="inlineStr">
        <is>
          <t>Shares Outstanding</t>
        </is>
      </c>
      <c r="B8" s="9" t="n"/>
    </row>
    <row r="10">
      <c r="A10" s="1" t="inlineStr">
        <is>
          <t>Key Assumptions</t>
        </is>
      </c>
    </row>
    <row r="11">
      <c r="A11" s="7" t="inlineStr">
        <is>
          <t>Item</t>
        </is>
      </c>
      <c r="B11" s="7" t="inlineStr">
        <is>
          <t>Value</t>
        </is>
      </c>
    </row>
    <row r="12">
      <c r="A12" s="23" t="inlineStr">
        <is>
          <t>Revenue Growth (Yr 1)</t>
        </is>
      </c>
      <c r="B12" s="12" t="n"/>
    </row>
    <row r="13">
      <c r="A13" s="23" t="inlineStr">
        <is>
          <t>Revenue Growth (Yrs 2-5)</t>
        </is>
      </c>
      <c r="B13" s="12" t="n"/>
    </row>
    <row r="14">
      <c r="A14" s="23" t="inlineStr">
        <is>
          <t>Target Operating Margin</t>
        </is>
      </c>
      <c r="B14" s="12" t="n"/>
    </row>
    <row r="15">
      <c r="A15" s="23" t="inlineStr">
        <is>
          <t>Convergence Year</t>
        </is>
      </c>
      <c r="B15" s="3" t="n">
        <v>5</v>
      </c>
    </row>
    <row r="16">
      <c r="A16" s="23" t="inlineStr">
        <is>
          <t>Risk-free Rate</t>
        </is>
      </c>
      <c r="B16" s="12" t="n">
        <v>0.0425</v>
      </c>
    </row>
    <row r="17">
      <c r="A17" s="23" t="inlineStr">
        <is>
          <t>Failure Probability</t>
        </is>
      </c>
      <c r="B17" s="12" t="n">
        <v>0</v>
      </c>
    </row>
    <row r="19">
      <c r="A19" s="1" t="inlineStr">
        <is>
          <t>Computed Results</t>
        </is>
      </c>
    </row>
    <row r="20">
      <c r="A20" s="7" t="inlineStr">
        <is>
          <t>Item</t>
        </is>
      </c>
      <c r="B20" s="7" t="inlineStr">
        <is>
          <t>Value</t>
        </is>
      </c>
    </row>
    <row r="21">
      <c r="A21" s="23" t="inlineStr">
        <is>
          <t>WACC</t>
        </is>
      </c>
      <c r="B21" s="15" t="n">
        <v>0.1131187263584776</v>
      </c>
    </row>
    <row r="22">
      <c r="A22" s="23" t="inlineStr">
        <is>
          <t>Levered Beta</t>
        </is>
      </c>
      <c r="B22" s="18" t="n">
        <v>1.504649275474425</v>
      </c>
    </row>
    <row r="23">
      <c r="A23" s="23" t="inlineStr">
        <is>
          <t>Terminal Value</t>
        </is>
      </c>
      <c r="B23" s="8" t="n">
        <v>0</v>
      </c>
    </row>
    <row r="24">
      <c r="A24" s="23" t="inlineStr">
        <is>
          <t>Value of Operating Assets</t>
        </is>
      </c>
      <c r="B24" s="8" t="n">
        <v>0</v>
      </c>
    </row>
    <row r="25">
      <c r="A25" s="23" t="inlineStr">
        <is>
          <t>Value of Equity</t>
        </is>
      </c>
      <c r="B25" s="8" t="n">
        <v>0</v>
      </c>
    </row>
    <row r="26">
      <c r="A26" s="23" t="inlineStr">
        <is>
          <t>Value per Share</t>
        </is>
      </c>
      <c r="B26" s="18" t="n">
        <v>0</v>
      </c>
    </row>
    <row r="28">
      <c r="A28" s="1" t="inlineStr">
        <is>
          <t>Industry Benchmarks</t>
        </is>
      </c>
    </row>
    <row r="29">
      <c r="A29" s="7" t="inlineStr">
        <is>
          <t>Item</t>
        </is>
      </c>
      <c r="B29" s="7" t="inlineStr">
        <is>
          <t>Value</t>
        </is>
      </c>
    </row>
    <row r="30">
      <c r="A30" s="23" t="inlineStr">
        <is>
          <t>Industry Beta (unlevered)</t>
        </is>
      </c>
      <c r="B30" s="19" t="n">
        <v>1.48925822268736</v>
      </c>
    </row>
    <row r="31">
      <c r="A31" s="23" t="inlineStr">
        <is>
          <t>Industry D/E</t>
        </is>
      </c>
      <c r="B31" s="19" t="n">
        <v>0.02591104732744511</v>
      </c>
    </row>
    <row r="32">
      <c r="A32" s="23" t="inlineStr">
        <is>
          <t>Industry WACC</t>
        </is>
      </c>
      <c r="B32" s="14" t="n">
        <v>0.1055061908992829</v>
      </c>
    </row>
    <row r="33">
      <c r="A33" s="23" t="inlineStr">
        <is>
          <t>Industry Operating Margin</t>
        </is>
      </c>
      <c r="B33" s="14" t="n">
        <v>0.3532779191425264</v>
      </c>
    </row>
    <row r="34">
      <c r="A34" s="23" t="inlineStr">
        <is>
          <t>Industry Sales/Capital</t>
        </is>
      </c>
      <c r="B34" s="19" t="n"/>
    </row>
  </sheetData>
  <mergeCells count="4">
    <mergeCell ref="A19:B19"/>
    <mergeCell ref="A10:B10"/>
    <mergeCell ref="A1:B1"/>
    <mergeCell ref="A28:B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2026-03-19T04:28:11Z</dcterms:created>
  <dcterms:modified xsi:type="dcterms:W3CDTF">2026-03-19T04:28:11Z</dcterms:modified>
</cp:coreProperties>
</file>