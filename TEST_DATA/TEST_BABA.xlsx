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hangyu29\AD_CC_pilot\knowledge_base\ciq_fetches\"/>
    </mc:Choice>
  </mc:AlternateContent>
  <xr:revisionPtr revIDLastSave="0" documentId="8_{28922A67-0A3C-4A5B-96CA-428A5702CACC}" xr6:coauthVersionLast="47" xr6:coauthVersionMax="47" xr10:uidLastSave="{00000000-0000-0000-0000-000000000000}"/>
  <bookViews>
    <workbookView xWindow="-96" yWindow="-96" windowWidth="19392" windowHeight="11472" firstSheet="1" activeTab="1" xr2:uid="{00000000-000D-0000-FFFF-FFFF00000000}"/>
  </bookViews>
  <sheets>
    <sheet name="_CIQHiddenCacheSheet" sheetId="3" state="veryHidden" r:id="rId1"/>
    <sheet name="CIQ_Data" sheetId="1" r:id="rId2"/>
    <sheet name="_RowMap" sheetId="2" r:id="rId3"/>
  </sheets>
  <definedNames>
    <definedName name="CIQWBGuid" hidden="1">"cbccddbb-8669-41c6-a395-ca737c0744ad"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"03/06/2026 01:57:37"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6" i="1" l="1"/>
  <c r="C308" i="1"/>
  <c r="C309" i="1"/>
  <c r="C299" i="1"/>
  <c r="C301" i="1"/>
  <c r="C302" i="1"/>
  <c r="C303" i="1"/>
  <c r="C304" i="1"/>
  <c r="C305" i="1"/>
  <c r="C292" i="1"/>
  <c r="C293" i="1"/>
  <c r="C294" i="1"/>
  <c r="C295" i="1"/>
  <c r="C297" i="1"/>
  <c r="C298" i="1"/>
  <c r="C285" i="1"/>
  <c r="C286" i="1"/>
  <c r="C287" i="1"/>
  <c r="C288" i="1"/>
  <c r="C289" i="1"/>
  <c r="C291" i="1"/>
  <c r="C278" i="1"/>
  <c r="C279" i="1"/>
  <c r="C280" i="1"/>
  <c r="C281" i="1"/>
  <c r="C282" i="1"/>
  <c r="C284" i="1"/>
  <c r="C272" i="1"/>
  <c r="C273" i="1"/>
  <c r="C274" i="1"/>
  <c r="C275" i="1"/>
  <c r="C276" i="1"/>
  <c r="C277" i="1"/>
  <c r="C266" i="1"/>
  <c r="C267" i="1"/>
  <c r="C268" i="1"/>
  <c r="C269" i="1"/>
  <c r="C270" i="1"/>
  <c r="C271" i="1"/>
  <c r="C260" i="1"/>
  <c r="C261" i="1"/>
  <c r="C262" i="1"/>
  <c r="C263" i="1"/>
  <c r="C264" i="1"/>
  <c r="C265" i="1"/>
  <c r="C254" i="1"/>
  <c r="C255" i="1"/>
  <c r="C256" i="1"/>
  <c r="C257" i="1"/>
  <c r="C258" i="1"/>
  <c r="C259" i="1"/>
  <c r="C248" i="1"/>
  <c r="C249" i="1"/>
  <c r="C250" i="1"/>
  <c r="C251" i="1"/>
  <c r="C252" i="1"/>
  <c r="C253" i="1"/>
  <c r="C242" i="1"/>
  <c r="C243" i="1"/>
  <c r="C244" i="1"/>
  <c r="C245" i="1"/>
  <c r="C246" i="1"/>
  <c r="C247" i="1"/>
  <c r="C236" i="1"/>
  <c r="C237" i="1"/>
  <c r="C238" i="1"/>
  <c r="C239" i="1"/>
  <c r="C240" i="1"/>
  <c r="C241" i="1"/>
  <c r="C230" i="1"/>
  <c r="C231" i="1"/>
  <c r="C232" i="1"/>
  <c r="C233" i="1"/>
  <c r="C234" i="1"/>
  <c r="C235" i="1"/>
  <c r="C224" i="1"/>
  <c r="C225" i="1"/>
  <c r="C226" i="1"/>
  <c r="C227" i="1"/>
  <c r="C228" i="1"/>
  <c r="C229" i="1"/>
  <c r="C218" i="1"/>
  <c r="C219" i="1"/>
  <c r="C220" i="1"/>
  <c r="C221" i="1"/>
  <c r="C222" i="1"/>
  <c r="C223" i="1"/>
  <c r="C211" i="1"/>
  <c r="C212" i="1"/>
  <c r="C213" i="1"/>
  <c r="C214" i="1"/>
  <c r="C215" i="1"/>
  <c r="C217" i="1"/>
  <c r="C205" i="1"/>
  <c r="C206" i="1"/>
  <c r="C207" i="1"/>
  <c r="C208" i="1"/>
  <c r="C209" i="1"/>
  <c r="C210" i="1"/>
  <c r="C199" i="1"/>
  <c r="C200" i="1"/>
  <c r="C201" i="1"/>
  <c r="C202" i="1"/>
  <c r="C203" i="1"/>
  <c r="C204" i="1"/>
  <c r="C193" i="1"/>
  <c r="C194" i="1"/>
  <c r="C195" i="1"/>
  <c r="C196" i="1"/>
  <c r="C197" i="1"/>
  <c r="C198" i="1"/>
  <c r="C187" i="1"/>
  <c r="C188" i="1"/>
  <c r="C189" i="1"/>
  <c r="C190" i="1"/>
  <c r="C191" i="1"/>
  <c r="C192" i="1"/>
  <c r="C181" i="1"/>
  <c r="C182" i="1"/>
  <c r="C183" i="1"/>
  <c r="C184" i="1"/>
  <c r="C185" i="1"/>
  <c r="C186" i="1"/>
  <c r="C175" i="1"/>
  <c r="C176" i="1"/>
  <c r="C177" i="1"/>
  <c r="C178" i="1"/>
  <c r="C179" i="1"/>
  <c r="C180" i="1"/>
  <c r="C169" i="1"/>
  <c r="C170" i="1"/>
  <c r="C171" i="1"/>
  <c r="C172" i="1"/>
  <c r="C173" i="1"/>
  <c r="C174" i="1"/>
  <c r="C163" i="1"/>
  <c r="C164" i="1"/>
  <c r="C165" i="1"/>
  <c r="C166" i="1"/>
  <c r="C167" i="1"/>
  <c r="C168" i="1"/>
  <c r="C157" i="1"/>
  <c r="C158" i="1"/>
  <c r="C159" i="1"/>
  <c r="C160" i="1"/>
  <c r="C161" i="1"/>
  <c r="C162" i="1"/>
  <c r="C151" i="1"/>
  <c r="C152" i="1"/>
  <c r="C153" i="1"/>
  <c r="C154" i="1"/>
  <c r="C155" i="1"/>
  <c r="C156" i="1"/>
  <c r="C145" i="1"/>
  <c r="C146" i="1"/>
  <c r="C147" i="1"/>
  <c r="C148" i="1"/>
  <c r="C149" i="1"/>
  <c r="C150" i="1"/>
  <c r="C139" i="1"/>
  <c r="C140" i="1"/>
  <c r="C141" i="1"/>
  <c r="C142" i="1"/>
  <c r="C143" i="1"/>
  <c r="C144" i="1"/>
  <c r="C133" i="1"/>
  <c r="C134" i="1"/>
  <c r="C135" i="1"/>
  <c r="C136" i="1"/>
  <c r="C137" i="1"/>
  <c r="C138" i="1"/>
  <c r="C126" i="1"/>
  <c r="C128" i="1"/>
  <c r="C129" i="1"/>
  <c r="C130" i="1"/>
  <c r="C131" i="1"/>
  <c r="C132" i="1"/>
  <c r="C120" i="1"/>
  <c r="C121" i="1"/>
  <c r="C122" i="1"/>
  <c r="C123" i="1"/>
  <c r="C124" i="1"/>
  <c r="C125" i="1"/>
  <c r="C114" i="1"/>
  <c r="C115" i="1"/>
  <c r="C116" i="1"/>
  <c r="C117" i="1"/>
  <c r="C118" i="1"/>
  <c r="C119" i="1"/>
  <c r="C108" i="1"/>
  <c r="C109" i="1"/>
  <c r="C110" i="1"/>
  <c r="C111" i="1"/>
  <c r="C112" i="1"/>
  <c r="C113" i="1"/>
  <c r="C102" i="1"/>
  <c r="C103" i="1"/>
  <c r="C104" i="1"/>
  <c r="C105" i="1"/>
  <c r="C106" i="1"/>
  <c r="C107" i="1"/>
  <c r="C96" i="1"/>
  <c r="C97" i="1"/>
  <c r="C98" i="1"/>
  <c r="C99" i="1"/>
  <c r="C100" i="1"/>
  <c r="C101" i="1"/>
  <c r="C90" i="1"/>
  <c r="C91" i="1"/>
  <c r="C92" i="1"/>
  <c r="C93" i="1"/>
  <c r="C94" i="1"/>
  <c r="C95" i="1"/>
  <c r="C84" i="1"/>
  <c r="C85" i="1"/>
  <c r="C86" i="1"/>
  <c r="C87" i="1"/>
  <c r="C88" i="1"/>
  <c r="C89" i="1"/>
  <c r="C78" i="1"/>
  <c r="C79" i="1"/>
  <c r="C80" i="1"/>
  <c r="C81" i="1"/>
  <c r="C82" i="1"/>
  <c r="C83" i="1"/>
  <c r="C72" i="1"/>
  <c r="C73" i="1"/>
  <c r="C74" i="1"/>
  <c r="C75" i="1"/>
  <c r="C76" i="1"/>
  <c r="C77" i="1"/>
  <c r="C66" i="1"/>
  <c r="C67" i="1"/>
  <c r="C68" i="1"/>
  <c r="C69" i="1"/>
  <c r="C70" i="1"/>
  <c r="C71" i="1"/>
  <c r="C60" i="1"/>
  <c r="C61" i="1"/>
  <c r="C62" i="1"/>
  <c r="C63" i="1"/>
  <c r="C64" i="1"/>
  <c r="C65" i="1"/>
  <c r="C54" i="1"/>
  <c r="C55" i="1"/>
  <c r="C56" i="1"/>
  <c r="C57" i="1"/>
  <c r="C58" i="1"/>
  <c r="C59" i="1"/>
  <c r="C48" i="1"/>
  <c r="C49" i="1"/>
  <c r="C50" i="1"/>
  <c r="C51" i="1"/>
  <c r="C52" i="1"/>
  <c r="C53" i="1"/>
  <c r="C42" i="1"/>
  <c r="C43" i="1"/>
  <c r="C44" i="1"/>
  <c r="C45" i="1"/>
  <c r="C46" i="1"/>
  <c r="C47" i="1"/>
  <c r="C36" i="1"/>
  <c r="C37" i="1"/>
  <c r="C38" i="1"/>
  <c r="C39" i="1"/>
  <c r="C40" i="1"/>
  <c r="C41" i="1"/>
  <c r="C30" i="1"/>
  <c r="C31" i="1"/>
  <c r="C32" i="1"/>
  <c r="C33" i="1"/>
  <c r="C34" i="1"/>
  <c r="C35" i="1"/>
  <c r="C24" i="1"/>
  <c r="C25" i="1"/>
  <c r="C26" i="1"/>
  <c r="C27" i="1"/>
  <c r="C28" i="1"/>
  <c r="C29" i="1"/>
  <c r="C18" i="1"/>
  <c r="C19" i="1"/>
  <c r="C20" i="1"/>
  <c r="C21" i="1"/>
  <c r="C22" i="1"/>
  <c r="C23" i="1"/>
  <c r="C12" i="1"/>
  <c r="C13" i="1"/>
  <c r="C14" i="1"/>
  <c r="C15" i="1"/>
  <c r="C16" i="1"/>
  <c r="C17" i="1"/>
  <c r="C6" i="1"/>
  <c r="C7" i="1"/>
  <c r="C8" i="1"/>
  <c r="C9" i="1"/>
  <c r="C10" i="1"/>
  <c r="C11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4" i="1"/>
  <c r="D285" i="1"/>
  <c r="D286" i="1"/>
  <c r="D287" i="1"/>
  <c r="D288" i="1"/>
  <c r="D289" i="1"/>
  <c r="D291" i="1"/>
  <c r="D292" i="1"/>
  <c r="D293" i="1"/>
  <c r="D294" i="1"/>
  <c r="D295" i="1"/>
  <c r="D297" i="1"/>
  <c r="D298" i="1"/>
  <c r="D299" i="1"/>
  <c r="D301" i="1"/>
  <c r="D302" i="1"/>
  <c r="D303" i="1"/>
  <c r="D304" i="1"/>
  <c r="D305" i="1"/>
  <c r="D306" i="1"/>
  <c r="D308" i="1"/>
  <c r="D309" i="1"/>
</calcChain>
</file>

<file path=xl/sharedStrings.xml><?xml version="1.0" encoding="utf-8"?>
<sst xmlns="http://schemas.openxmlformats.org/spreadsheetml/2006/main" count="1878" uniqueCount="221">
  <si>
    <t>Ticker:</t>
  </si>
  <si>
    <t>← Change this ticker, then wait for CIQ to resolve all formulas, then Save.</t>
  </si>
  <si>
    <t>Instructions:</t>
  </si>
  <si>
    <t>1) Enter ticker in B1  2) Wait for #GETTING_DATA to disappear  3) Save (Ctrl+S)  4) Load in app</t>
  </si>
  <si>
    <t>Variable</t>
  </si>
  <si>
    <t>Period</t>
  </si>
  <si>
    <t>CIQ Formula</t>
  </si>
  <si>
    <t>Resolved Value</t>
  </si>
  <si>
    <t>Description</t>
  </si>
  <si>
    <t>INCOME STATEMENT (Annual)</t>
  </si>
  <si>
    <t>revenues</t>
  </si>
  <si>
    <t>IQ_FY-0</t>
  </si>
  <si>
    <t>Total Revenue</t>
  </si>
  <si>
    <t>IQ_FY-1</t>
  </si>
  <si>
    <t>IQ_FY-2</t>
  </si>
  <si>
    <t>IQ_FY-3</t>
  </si>
  <si>
    <t>IQ_FY-4</t>
  </si>
  <si>
    <t>IQ_FY-5</t>
  </si>
  <si>
    <t>IQ_FY-6</t>
  </si>
  <si>
    <t>IQ_FY-7</t>
  </si>
  <si>
    <t>IQ_FY-8</t>
  </si>
  <si>
    <t>IQ_FY-9</t>
  </si>
  <si>
    <t>IQ_FY-10</t>
  </si>
  <si>
    <t>ebit</t>
  </si>
  <si>
    <t>Operating Income (EBIT)</t>
  </si>
  <si>
    <t>ebitda</t>
  </si>
  <si>
    <t>EBITDA</t>
  </si>
  <si>
    <t>net_income</t>
  </si>
  <si>
    <t>Net Income</t>
  </si>
  <si>
    <t>interest_expense</t>
  </si>
  <si>
    <t>Interest Expense</t>
  </si>
  <si>
    <t>d_a</t>
  </si>
  <si>
    <t>Depreciation &amp; Amortization (from Cash Flow)</t>
  </si>
  <si>
    <t>r_and_d_expense</t>
  </si>
  <si>
    <t>R&amp;D Expense</t>
  </si>
  <si>
    <t>capex</t>
  </si>
  <si>
    <t>Capital Expenditures</t>
  </si>
  <si>
    <t>operating_lease_expense</t>
  </si>
  <si>
    <t>Operating Lease Payments</t>
  </si>
  <si>
    <t>earnings_before_tax</t>
  </si>
  <si>
    <t>Earnings Before Tax (excl unusual items)</t>
  </si>
  <si>
    <t>total_tax_expense</t>
  </si>
  <si>
    <t>Income Tax Expense</t>
  </si>
  <si>
    <t>INCOME STATEMENT (Quarterly — for LTM)</t>
  </si>
  <si>
    <t>IQ_FQ-0</t>
  </si>
  <si>
    <t>IQ_FQ-1</t>
  </si>
  <si>
    <t>IQ_FQ-2</t>
  </si>
  <si>
    <t>IQ_FQ-3</t>
  </si>
  <si>
    <t>IQ_FQ-4</t>
  </si>
  <si>
    <t>IQ_FQ-5</t>
  </si>
  <si>
    <t>IQ_FQ-6</t>
  </si>
  <si>
    <t>IQ_FQ-7</t>
  </si>
  <si>
    <t>BALANCE SHEET (Annual)</t>
  </si>
  <si>
    <t>cash_and_marketable_securities</t>
  </si>
  <si>
    <t>Cash &amp; Equivalents</t>
  </si>
  <si>
    <t>bv_equity</t>
  </si>
  <si>
    <t>Total Stockholders' Equity</t>
  </si>
  <si>
    <t>bv_debt</t>
  </si>
  <si>
    <t>Total Debt</t>
  </si>
  <si>
    <t>shares_outstanding</t>
  </si>
  <si>
    <t>Total Shares Outstanding (Filing Date)</t>
  </si>
  <si>
    <t>cross_holdings</t>
  </si>
  <si>
    <t>Long-term Investments (Cross Holdings)</t>
  </si>
  <si>
    <t>minority_interests</t>
  </si>
  <si>
    <t>Minority Interests</t>
  </si>
  <si>
    <t>BALANCE SHEET (Quarterly — latest 10-Q)</t>
  </si>
  <si>
    <t>Cash &amp; Equivalents (latest quarter)</t>
  </si>
  <si>
    <t>Total Stockholders' Equity (latest quarter)</t>
  </si>
  <si>
    <t>Total Debt (latest quarter)</t>
  </si>
  <si>
    <t>Total Shares Outstanding (Filing Date) (latest quarter)</t>
  </si>
  <si>
    <t>Long-term Investments (Cross Holdings) (latest quarter)</t>
  </si>
  <si>
    <t>Minority Interests (latest quarter)</t>
  </si>
  <si>
    <t>MARKET DATA (Current)</t>
  </si>
  <si>
    <t>stock_price</t>
  </si>
  <si>
    <t>current</t>
  </si>
  <si>
    <t>Closing Stock Price</t>
  </si>
  <si>
    <t>mv_equity</t>
  </si>
  <si>
    <t>Market Capitalization</t>
  </si>
  <si>
    <t>reporting_currency</t>
  </si>
  <si>
    <t>Filing/Reporting Currency</t>
  </si>
  <si>
    <t>primary_exchange</t>
  </si>
  <si>
    <t>Primary Exchange Listing</t>
  </si>
  <si>
    <t>effective_tax_rate_ciq</t>
  </si>
  <si>
    <t>IQ_FY</t>
  </si>
  <si>
    <t>Effective Tax Rate (CIQ, /100)</t>
  </si>
  <si>
    <t>EMPLOYEE OPTIONS (Current)</t>
  </si>
  <si>
    <t>options_outstanding</t>
  </si>
  <si>
    <t>Options Outstanding (End of Period)</t>
  </si>
  <si>
    <t>options_avg_strike</t>
  </si>
  <si>
    <t>Weighted Avg Strike Price (Outstanding)</t>
  </si>
  <si>
    <t>options_avg_maturity</t>
  </si>
  <si>
    <t>Weighted Avg Remaining Life</t>
  </si>
  <si>
    <t>OPERATING LEASE COMMITMENTS (Current)</t>
  </si>
  <si>
    <t>lease_commitment_yr1</t>
  </si>
  <si>
    <t>Op Lease Commitment Year 1</t>
  </si>
  <si>
    <t>lease_commitment_yr2</t>
  </si>
  <si>
    <t>Op Lease Commitment Year 2</t>
  </si>
  <si>
    <t>lease_commitment_yr3</t>
  </si>
  <si>
    <t>Op Lease Commitment Year 3</t>
  </si>
  <si>
    <t>lease_commitment_yr4</t>
  </si>
  <si>
    <t>Op Lease Commitment Year 4</t>
  </si>
  <si>
    <t>lease_commitment_yr5</t>
  </si>
  <si>
    <t>Op Lease Commitment Year 5</t>
  </si>
  <si>
    <t>lease_commitment_beyond</t>
  </si>
  <si>
    <t>Op Lease Commitment Beyond Year 5</t>
  </si>
  <si>
    <t>PERIOD DATES</t>
  </si>
  <si>
    <t>period_date_annual</t>
  </si>
  <si>
    <t>Most recent 10-K period end date</t>
  </si>
  <si>
    <t>period_date_quarterly</t>
  </si>
  <si>
    <t>Most recent 10-Q period end date</t>
  </si>
  <si>
    <t>row</t>
  </si>
  <si>
    <t>variable</t>
  </si>
  <si>
    <t>period</t>
  </si>
  <si>
    <t>mnemonic</t>
  </si>
  <si>
    <t>IQ_TOTAL_REV</t>
  </si>
  <si>
    <t>IQ_EBIT</t>
  </si>
  <si>
    <t>IQ_EBITDA</t>
  </si>
  <si>
    <t>IQ_NI</t>
  </si>
  <si>
    <t>IQ_INTEREST_EXP</t>
  </si>
  <si>
    <t>IQ_DA_CF</t>
  </si>
  <si>
    <t>IQ_RD_EXP</t>
  </si>
  <si>
    <t>IQ_CAPEX</t>
  </si>
  <si>
    <t>IQ_OPERATING_LEASE_PAYMENTS</t>
  </si>
  <si>
    <t>IQ_EBT_EXCL</t>
  </si>
  <si>
    <t>IQ_INC_TAX</t>
  </si>
  <si>
    <t>IQ_CASH_EQUIV</t>
  </si>
  <si>
    <t>IQ_TOTAL_EQUITY</t>
  </si>
  <si>
    <t>IQ_TOTAL_DEBT</t>
  </si>
  <si>
    <t>IQ_TOTAL_OUTSTANDING_FILING_DATE</t>
  </si>
  <si>
    <t>IQ_LT_INVEST</t>
  </si>
  <si>
    <t>IQ_MINORITY_INTEREST</t>
  </si>
  <si>
    <t>IQ_CLOSEPRICE</t>
  </si>
  <si>
    <t>IQ_MARKETCAP</t>
  </si>
  <si>
    <t>IQ_FILING_CURRENCY</t>
  </si>
  <si>
    <t>IQ_EXCHANGE</t>
  </si>
  <si>
    <t>IQ_EFFECT_TAX_RATE</t>
  </si>
  <si>
    <t>IQ_OPTIONS_END_OS</t>
  </si>
  <si>
    <t>IQ_OPTIONS_STRIKE_PRICE_OS</t>
  </si>
  <si>
    <t>IQ_OPTIONS_AVG_LIFE</t>
  </si>
  <si>
    <t>IQ_OL_COMM_CY</t>
  </si>
  <si>
    <t>IQ_OL_COMM_CY1</t>
  </si>
  <si>
    <t>IQ_OL_COMM_CY2</t>
  </si>
  <si>
    <t>IQ_OL_COMM_CY3</t>
  </si>
  <si>
    <t>IQ_OL_COMM_CY4</t>
  </si>
  <si>
    <t>IQ_OL_COMM_NEXT_FIVE</t>
  </si>
  <si>
    <t>IQ_PERIODDATE</t>
  </si>
  <si>
    <t>BABA</t>
    <phoneticPr fontId="7" type="noConversion"/>
  </si>
  <si>
    <t>BAABTAVMT0NBTAFI/////wFQcwEAACFDSVEuTllTRTpCQUJBLklRX09QVElPTlNfQVZHX0xJRkUFAAAAAAAAAAgAAAAWKEludmFsaWQgRm9ybXVsYSBOYW1lKczmF7dKpd4IRAQ2xUql3ggZQ0lRLk5ZU0U6QkFCQS5JUV9FWENIQU5HRQEAAAARJYICAwAAAAROWVNFAMzmF7dKpd4IRAQ2xUql3ggaQ0lRLk5ZU0U6QkFCQS5JUV9NQVJLRVRDQVABAAAAESWCAgIAAAANMjk3NzgzLjIyMDEwNAEGAAAABQAAAAExAQAAAAstMTkwMDk4MTAxMAMAAAADMTYwAgAAAAYxMDAwNTQEAAAAATAHAAAACTQvMjcvMjAyNtsNGLdKpd4IRAQ2xUql3ggbQ0lRLk5ZU0U6QkFCQS5JUV9DTE9TRVBSSUNFAQAAABElggICAAAABjEzMi41MgDbDRi3SqXeCEQENsVKpd4II0NJUS5OWVNFOkJBQkEuSVFfUEVSSU9EREFURS5JUV9GUS0wAQAAABElggIFAAAACjIwMjUvMTIvMzEA6jQYt0ql3ghEBDbFSqXeCCpDSVEuTllTRTpCQUJBLklRX01JTk9SSVRZX0lOVEVSRVNULklRX0ZRLTABAAAAESWCAgIAAAAFNjYyNzMBCAAAAAUAAAABMQEAAAALLTE5MDA5ODEwMTADAAAAAjMyAgAAAAQxMDUyBAAAAAEwBwAAAAk0LzI4LzIwMjYIAAAACjEyLzMxLzIwMjUJAAAAATDqNBi3SqXeCPD3NcVKpd4IKkNJUS5OWVNFOkJBQkEuSVFfTUlOT1JJVFlfSU5URVJFU1QuSVFfRlktMAEAAAARJYICAgAAAAU4MDI0OAEIAAAABQAAAAExAQAAAAst</t>
  </si>
  <si>
    <t>MTkzMTczNTMxMAMAAAACMzICAAAABDEwNTIEAAAAATAHAAAACTQvMjgvMjAyNggAAAAJMy8zMS8yMDI1CQAAAAEw6jQYt0ql3gjU0DXFSqXeCDZDSVEuTllTRTpCQUJBLklRX1RPVEFMX09VVFNUQU5ESU5HX0ZJTElOR19EQVRFLklRX0ZZLTYBAAAAESWCAgIAAAALMjYwMy41MzE2OTMBBAAAAAUAAAABNQEAAAALLTIxNDE1MjA3MjgCAAAABTI0MTUzBgAAAAEw6jQYt0ql3gjVqTXFSqXeCCNDSVEuTllTRTpCQUJBLklRX1RPVEFMX0RFQlQuSVFfRlktMQEAAAARJYICAgAAAAYyMDU2MTQBCAAAAAUAAAABMQEAAAALLTE5MzE3MzUyOTIDAAAAAjMyAgAAAAQ0MTczBAAAAAEwBwAAAAk0LzI4LzIwMjYIAAAACTMvMzEvMjAyNAkAAAABMOo0GLdKpd4IxII1xUql3ggiQ0lRLk5ZU0U6QkFCQS5JUV9MVF9JTlZFU1QuSVFfRlEtMAEAAAARJYICAgAAAAY2NDkyMTYBCAAAAAUAAAABMQEAAAALLTE5MDA5ODEwMTADAAAAAjMyAgAAAAQxMDU0BAAAAAEwBwAAAAk0LzI4LzIwMjYIAAAACjEyLzMxLzIwMjUJAAAAATDqNBi3SqXeCPD3NcVKpd4II0NJUS5OWVNFOkJBQkEuSVFfTFRfSU5WRVNULklRX0ZZLTEwAQAAABElggICAAAABTQ4NDg4AQgAAAAFAAAAATEBAAAACjE4NDcxMTMyMDkDAAAAAjMyAgAAAAQxMDU0BAAAAAEwBwAAAAk0LzI4LzIwMjYIAAAACTMvMzEvMjAxNQkAAAABMOo0GLdKpd4I1NA1xUql3gg2</t>
  </si>
  <si>
    <t>Q0lRLk5ZU0U6QkFCQS5JUV9UT1RBTF9PVVRTVEFORElOR19GSUxJTkdfREFURS5JUV9GWS01AQAAABElggICAAAACzI3MDQuNjYzMTUzAQQAAAAFAAAAATUBAAAACy0yMDg4MTA1MTIzAgAAAAUyNDE1MwYAAAABMOo0GLdKpd4I1ak1xUql3ggjQ0lRLk5ZU0U6QkFCQS5JUV9QRVJJT0REQVRFLklRX0ZZLTABAAAAESWCAgUAAAAJMjAyNS8zLzMxAOo0GLdKpd4IRAQ2xUql3ggkQ0lRLk5ZU0U6QkFCQS5JUV9UT1RBTF9ERUJULklRX0ZZLTEwAQAAABElggICAAAABTUyNTkzAQgAAAAFAAAAATEBAAAACjE4NDcxMTMyMDkDAAAAAjMyAgAAAAQ0MTczBAAAAAEwBwAAAAk0LzI4LzIwMjYIAAAACTMvMzEvMjAxNQkAAAABMOo0GLdKpd4IxII1xUql3gg2Q0lRLk5ZU0U6QkFCQS5JUV9UT1RBTF9PVVRTVEFORElOR19GSUxJTkdfREFURS5JUV9GUS0wAQAAABElggICAAAABDIzMjEBBAAAAAUAAAABNQEAAAALLTE5MDA5ODEwMTACAAAABTI0MTUzBgAAAAEw6jQYt0ql3gjw9zXFSqXeCCJDSVEuTllTRTpCQUJBLklRX0xUX0lOVkVTVC5JUV9GWS05AQAAABElggICAAAABjEyMDg1MwEIAAAABQAAAAExAQAAAAoxODk3NDU0NjQwAwAAAAIzMgIAAAAEMTA1NAQAAAABMAcAAAAJNC8yOC8yMDI2CAAAAAkzLzMxLzIwMTYJAAAAATDqNBi3SqXeCNTQNcVKpd4INkNJUS5OWVNFOkJBQkEuSVFfVE9UQUxfT1VUU1RBTkRJ</t>
  </si>
  <si>
    <t>TkdfRklMSU5HX0RBVEUuSVFfRlktNAEAAAARJYICAgAAAAsyNzE4LjE3OTI0OAEEAAAABQAAAAE1AQAAAAstMjAzNzU0ODMyMQIAAAAFMjQxNTMGAAAAATDqNBi3SqXeCMSCNcVKpd4IIkNJUS5OWVNFOkJBQkEuSVFfT0xfQ09NTV9ORVhUX0ZJVkUBAAAAESWCAgMAAAAAAOo0GLdKpd4IRAQ2xUql3ggjQ0lRLk5ZU0U6QkFCQS5JUV9UT1RBTF9ERUJULklRX0ZRLTABAAAAESWCAgIAAAAGMjg2NTI5AQgAAAAFAAAAATEBAAAACy0xOTAwOTgxMDEwAwAAAAIzMgIAAAAENDE3MwQAAAABMAcAAAAJNC8yOC8yMDI2CAAAAAoxMi8zMS8yMDI1CQAAAAEw6jQYt0ql3gjw9zXFSqXeCCJDSVEuTllTRTpCQUJBLklRX0xUX0lOVkVTVC5JUV9GWS04AQAAABElggICAAAABjE1MjI1NgEIAAAABQAAAAExAQAAAAoxOTY3NDc0MTUzAwAAAAIzMgIAAAAEMTA1NAQAAAABMAcAAAAJNC8yOC8yMDI2CAAAAAkzLzMxLzIwMTcJAAAAATDqNBi3SqXeCNTQNcVKpd4INkNJUS5OWVNFOkJBQkEuSVFfVE9UQUxfT1VUU1RBTkRJTkdfRklMSU5HX0RBVEUuSVFfRlktMwEAAAARJYICAgAAAAsyNjQ4LjEzODQ0MwEEAAAABQAAAAE1AQAAAAstMTk5MjQ3NTU3NwIAAAAFMjQxNTMGAAAAATDqNBi3SqXeCMSCNcVKpd4IHENJUS5OWVNFOkJBQkEuSVFfT0xfQ09NTV9DWTQBAAAAESWCAgMAAAAAAOo0GLdKpd4IRAQ2xUql3gglQ0lRLk5Z</t>
  </si>
  <si>
    <t>U0U6QkFCQS5JUV9UT1RBTF9FUVVJVFkuSVFfRlEtMAEAAAARJYICAgAAAAcxMTA1OTI4AQgAAAAFAAAAATEBAAAACy0xOTAwOTgxMDEwAwAAAAIzMgIAAAAEMTI3NQQAAAABMAcAAAAJNC8yOC8yMDI2CAAAAAoxMi8zMS8yMDI1CQAAAAEw6jQYt0ql3gjw9zXFSqXeCCJDSVEuTllTRTpCQUJBLklRX0xUX0lOVkVTVC5JUV9GWS03AQAAABElggICAAAABjE3ODQzNAEIAAAABQAAAAExAQAAAAoyMDc4NjAwOTM3AwAAAAIzMgIAAAAEMTA1NAQAAAABMAcAAAAJNC8yOC8yMDI2CAAAAAkzLzMxLzIwMTgJAAAAATDqNBi3SqXeCNWpNcVKpd4INkNJUS5OWVNFOkJBQkEuSVFfVE9UQUxfT1VUU1RBTkRJTkdfRklMSU5HX0RBVEUuSVFfRlktMgEAAAARJYICAgAAAAsyNTQ2Ljc3OTc1NQEEAAAABQAAAAE1AQAAAAstMTkzMTczNTI4MwIAAAAFMjQxNTMGAAAAATDqNBi3SqXeCMSCNcVKpd4IHENJUS5OWVNFOkJBQkEuSVFfT0xfQ09NTV9DWTMBAAAAESWCAgMAAAAAAOo0GLdKpd4IRAQ2xUql3ggjQ0lRLk5ZU0U6QkFCQS5JUV9UT1RBTF9ERUJULklRX0ZZLTIBAAAAESWCAgIAAAAGMTk1NTY5AQgAAAAFAAAAATEBAAAACy0xOTMxNzM1MjgzAwAAAAIzMgIAAAAENDE3MwQAAAABMAcAAAAJNC8yOC8yMDI2CAAAAAkzLzMxLzIwMjMJAAAAATDqNBi3SqXeCMSCNcVKpd4II0NJUS5OWVNFOkJBQkEuSVFfQ0FTSF9FUVVJ</t>
  </si>
  <si>
    <t>Vi5JUV9GUS0wAQAAABElggICAAAABjEyODE3NAEIAAAABQAAAAExAQAAAAstMTkwMDk4MTAxMAMAAAACMzICAAAABDEwOTYEAAAAATAHAAAACTQvMjgvMjAyNggAAAAKMTIvMzEvMjAyNQkAAAABMOo0GLdKpd4I1NA1xUql3ggiQ0lRLk5ZU0U6QkFCQS5JUV9MVF9JTlZFU1QuSVFfRlktNgEAAAARJYICAgAAAAYyNDE1NDQBCAAAAAUAAAABMQEAAAALLTIxNDE1MjA3MjgDAAAAAjMyAgAAAAQxMDU0BAAAAAEwBwAAAAk0LzI4LzIwMjYIAAAACTMvMzEvMjAxOQkAAAABMOo0GLdKpd4I1ak1xUql3gg2Q0lRLk5ZU0U6QkFCQS5JUV9UT1RBTF9PVVRTVEFORElOR19GSUxJTkdfREFURS5JUV9GWS0xAQAAABElggICAAAACzI0MTguMTg1Njc1AQQAAAAFAAAAATUBAAAACy0xOTMxNzM1MjkyAgAAAAUyNDE1MwYAAAABMOo0GLdKpd4IxII1xUql3gglQ0lRLk5ZU0U6QkFCQS5JUV9UT1RBTF9FUVVJVFkuSVFfRlktNwEAAAARJYICAgAAAAY0MzY0MzgBCAAAAAUAAAABMQEAAAAKMjA3ODYwMDkzNwMAAAACMzICAAAABDEyNzUEAAAAATAHAAAACTQvMjgvMjAyNggAAAAJMy8zMS8yMDE4CQAAAAEw6jQYt0ql3gi8WzXFSqXeCBxDSVEuTllTRTpCQUJBLklRX09MX0NPTU1fQ1kyAQAAABElggIDAAAAAADqNBi3SqXeCEQENsVKpd4IK0NJUS5OWVNFOkJBQkEuSVFfTUlOT1JJVFlfSU5URVJFU1QuSVFfRlktMTABAAAA</t>
  </si>
  <si>
    <t>ESWCAgIAAAAFMTE5NzQBCAAAAAUAAAABMQEAAAAKMTg0NzExMzIwOQMAAAACMzICAAAABDEwNTIEAAAAATAHAAAACTQvMjgvMjAyNggAAAAJMy8zMS8yMDE1CQAAAAEw6jQYt0ql3gjU0DXFSqXeCCJDSVEuTllTRTpCQUJBLklRX0xUX0lOVkVTVC5JUV9GWS01AQAAABElggICAAAABjM1MDk2MQEIAAAABQAAAAExAQAAAAstMjA4ODEwNTEyMwMAAAACMzICAAAABDEwNTQEAAAAATAHAAAACTQvMjgvMjAyNggAAAAJMy8zMS8yMDIwCQAAAAEw6jQYt0ql3gjVqTXFSqXeCDZDSVEuTllTRTpCQUJBLklRX1RPVEFMX09VVFNUQU5ESU5HX0ZJTElOR19EQVRFLklRX0ZZLTABAAAAESWCAgIAAAALMjMxOS4xNTgwMTYBBAAAAAUAAAABNQEAAAALLTE5MzE3MzUzMTACAAAABTI0MTUzBgAAAAEw6jQYt0ql3gjEgjXFSqXeCCVDSVEuTllTRTpCQUJBLklRX1RPVEFMX0VRVUlUWS5JUV9GWS02AQAAABElggICAAAABjYwODU4MwEIAAAABQAAAAExAQAAAAstMjE0MTUyMDcyOAMAAAACMzICAAAABDEyNzUEAAAAATAHAAAACTQvMjgvMjAyNggAAAAJMy8zMS8yMDE5CQAAAAEw6jQYt0ql3gi8WzXFSqXeCBxDSVEuTllTRTpCQUJBLklRX09MX0NPTU1fQ1kxAQAAABElggIDAAAAAADqNBi3SqXeCEQENsVKpd4IKkNJUS5OWVNFOkJBQkEuSVFfTUlOT1JJVFlfSU5URVJFU1QuSVFfRlktOQEAAAARJYICAgAAAAUzMjU1MgEI</t>
  </si>
  <si>
    <t>AAAABQAAAAExAQAAAAoxODk3NDU0NjQwAwAAAAIzMgIAAAAEMTA1MgQAAAABMAcAAAAJNC8yOC8yMDI2CAAAAAkzLzMxLzIwMTYJAAAAATDqNBi3SqXeCNTQNcVKpd4IG0NJUS5OWVNFOkJBQkEuSVFfT0xfQ09NTV9DWQEAAAARJYICAwAAAAAA6jQYt0ql3ghEBDbFSqXeCCJDSVEuTllTRTpCQUJBLklRX0xUX0lOVkVTVC5JUV9GWS00AQAAABElggICAAAABjQzNzQxMAEIAAAABQAAAAExAQAAAAstMjAzNzU0ODMyMQMAAAACMzICAAAABDEwNTQEAAAAATAHAAAACTQvMjgvMjAyNggAAAAJMy8zMS8yMDIxCQAAAAEw6jQYt0ql3gjVqTXFSqXeCCpDSVEuTllTRTpCQUJBLklRX01JTk9SSVRZX0lOVEVSRVNULklRX0ZZLTgBAAAAESWCAgIAAAAFNDIzMzABCAAAAAUAAAABMQEAAAAKMTk2NzQ3NDE1MwMAAAACMzICAAAABDEwNTIEAAAAATAHAAAACTQvMjgvMjAyNggAAAAJMy8zMS8yMDE3CQAAAAEw6jQYt0ql3gjU0DXFSqXeCCJDSVEuTllTRTpCQUJBLklRX0xUX0lOVkVTVC5JUV9GWS0zAQAAABElggICAAAABjQ0MzI1MwEIAAAABQAAAAExAQAAAAstMTk5MjQ3NTU3NwMAAAACMzICAAAABDEwNTQEAAAAATAHAAAACTQvMjgvMjAyNggAAAAJMy8zMS8yMDIyCQAAAAEw6jQYt0ql3gjVqTXFSqXeCCVDSVEuTllTRTpCQUJBLklRX1RPVEFMX0VRVUlUWS5JUV9GWS00AQAAABElggICAAAABzEwODM2MzQBCAAA</t>
  </si>
  <si>
    <t>AAUAAAABMQEAAAALLTIwMzc1NDgzMjEDAAAAAjMyAgAAAAQxMjc1BAAAAAEwBwAAAAk0LzI4LzIwMjYIAAAACTMvMzEvMjAyMQkAAAABMOo0GLdKpd4IvFs1xUql3ggjQ0lRLk5ZU0U6QkFCQS5JUV9UT1RBTF9ERUJULklRX0ZZLTkBAAAAESWCAgIAAAAFNTc1NjYBCAAAAAUAAAABMQEAAAAKMTg5NzQ1NDY0MAMAAAACMzICAAAABDQxNzMEAAAAATAHAAAACTQvMjgvMjAyNggAAAAJMy8zMS8yMDE2CQAAAAEw6jQYt0ql3gjEgjXFSqXeCCpDSVEuTllTRTpCQUJBLklRX01JTk9SSVRZX0lOVEVSRVNULklRX0ZZLTcBAAAAESWCAgIAAAAFNzA2MTYBCAAAAAUAAAABMQEAAAAKMjA3ODYwMDkzNwMAAAACMzICAAAABDEwNTIEAAAAATAHAAAACTQvMjgvMjAyNggAAAAJMy8zMS8yMDE4CQAAAAEw6jQYt0ql3gjU0DXFSqXeCCJDSVEuTllTRTpCQUJBLklRX0xUX0lOVkVTVC5JUV9GWS0yAQAAABElggICAAAABjQ1MzExNwEIAAAABQAAAAExAQAAAAstMTkzMTczNTI4MwMAAAACMzICAAAABDEwNTQEAAAAATAHAAAACTQvMjgvMjAyNggAAAAJMy8zMS8yMDIzCQAAAAEw6jQYt0ql3gjVqTXFSqXeCCNDSVEuTllTRTpCQUJBLklRX1RPVEFMX0RFQlQuSVFfRlktOAEAAAARJYICAgAAAAU5MTczMgEIAAAABQAAAAExAQAAAAoxOTY3NDc0MTUzAwAAAAIzMgIAAAAENDE3MwQAAAABMAcAAAAJNC8yOC8yMDI2CAAAAAkz</t>
  </si>
  <si>
    <t>LzMxLzIwMTcJAAAAATDqNBi3SqXeCMSCNcVKpd4IJUNJUS5OWVNFOkJBQkEuSVFfVE9UQUxfRVFVSVRZLklRX0ZZLTMBAAAAESWCAgIAAAAHMTA4MjE5MwEIAAAABQAAAAExAQAAAAstMTk5MjQ3NTU3NwMAAAACMzICAAAABDEyNzUEAAAAATAHAAAACTQvMjgvMjAyNggAAAAJMy8zMS8yMDIyCQAAAAEw6jQYt0ql3gi8WzXFSqXeCChDSVEuTllTRTpCQUJBLklRX09QVElPTlNfU1RSSUtFX1BSSUNFX09TAQAAABElggIDAAAAAADqNBi3SqXeCEQENsVKpd4INkNJUS5OWVNFOkJBQkEuSVFfVE9UQUxfT1VUU1RBTkRJTkdfRklMSU5HX0RBVEUuSVFfRlktNwEAAAARJYICAgAAAAgyNTUzLjEyNQEEAAAABQAAAAE1AQAAAAoyMDc4NjAwOTM3AgAAAAUyNDE1MwYAAAABMOo0GLdKpd4I1ak1xUql3ggqQ0lRLk5ZU0U6QkFCQS5JUV9NSU5PUklUWV9JTlRFUkVTVC5JUV9GWS02AQAAABElggICAAAABjExNjMyNgEIAAAABQAAAAExAQAAAAstMjE0MTUyMDcyOAMAAAACMzICAAAABDEwNTIEAAAAATAHAAAACTQvMjgvMjAyNggAAAAJMy8zMS8yMDE5CQAAAAEw6jQYt0ql3gjU0DXFSqXeCCNDSVEuTllTRTpCQUJBLklRX1RPVEFMX0RFQlQuSVFfRlktNwEAAAARJYICAgAAAAYxMjU1NTMBCAAAAAUAAAABMQEAAAAKMjA3ODYwMDkzNwMAAAACMzICAAAABDQxNzMEAAAAATAHAAAACTQvMjgvMjAyNggAAAAJMy8zMS8y</t>
  </si>
  <si>
    <t>MDE4CQAAAAEw6jQYt0ql3gjEgjXFSqXeCCVDSVEuTllTRTpCQUJBLklRX1RPVEFMX0VRVUlUWS5JUV9GWS0yAQAAABElggICAAAABzExMjI5MjEBCAAAAAUAAAABMQEAAAALLTE5MzE3MzUyODMDAAAAAjMyAgAAAAQxMjc1BAAAAAEwBwAAAAk0LzI4LzIwMjYIAAAACTMvMzEvMjAyMwkAAAABMOo0GLdKpd4IvFs1xUql3ggfQ0lRLk5ZU0U6QkFCQS5JUV9PUFRJT05TX0VORF9PUwEAAAARJYICAwAAAAAA6jQYt0ql3ghEBDbFSqXeCCJDSVEuTllTRTpCQUJBLklRX0xUX0lOVkVTVC5JUV9GWS0xAQAAABElggICAAAABjQyNDA3MwEIAAAABQAAAAExAQAAAAstMTkzMTczNTI5MgMAAAACMzICAAAABDEwNTQEAAAAATAHAAAACTQvMjgvMjAyNggAAAAJMy8zMS8yMDI0CQAAAAEw6jQYt0ql3gjVqTXFSqXeCCZDSVEuTllTRTpCQUJBLklRX0VGRkVDVF9UQVhfUkFURS5JUV9GWQEAAAARJYICAgAAAAcyMS45NTgxAQgAAAAFAAAAATEBAAAACy0xOTMxNzM1MzEwAwAAAAIzMgIAAAAENDM3NgQAAAABMAcAAAAJNC8yOC8yMDI2CAAAAAkzLzMxLzIwMjUJAAAAATDqNBi3SqXeCEQENsVKpd4IIkNJUS5OWVNFOkJBQkEuSVFfTFRfSU5WRVNULklRX0ZZLTABAAAAESWCAgIAAAAGNTY2OTg3AQgAAAAFAAAAATEBAAAACy0xOTMxNzM1MzEwAwAAAAIzMgIAAAAEMTA1NAQAAAABMAcAAAAJNC8yOC8yMDI2CAAAAAkzLzMx</t>
  </si>
  <si>
    <t>LzIwMjUJAAAAATDqNBi3SqXeCNWpNcVKpd4II0NJUS5OWVNFOkJBQkEuSVFfVE9UQUxfREVCVC5JUV9GWS02AQAAABElggICAAAABjEzNDMwMAEIAAAABQAAAAExAQAAAAstMjE0MTUyMDcyOAMAAAACMzICAAAABDQxNzMEAAAAATAHAAAACTQvMjgvMjAyNggAAAAJMy8zMS8yMDE5CQAAAAEw6jQYt0ql3gjEgjXFSqXeCCVDSVEuTllTRTpCQUJBLklRX1RPVEFMX0VRVUlUWS5JUV9GWS0xAQAAABElggICAAAABzExMTI1OTkBCAAAAAUAAAABMQEAAAALLTE5MzE3MzUyOTIDAAAAAjMyAgAAAAQxMjc1BAAAAAEwBwAAAAk0LzI4LzIwMjYIAAAACTMvMzEvMjAyNAkAAAABMOo0GLdKpd4IvFs1xUql3ggjQ0lRLk5ZU0U6QkFCQS5JUV9DQVNIX0VRVUlWLklRX0ZZLTkBAAAAESWCAgIAAAAGMTA2ODE4AQgAAAAFAAAAATEBAAAACjE4OTc0NTQ2NDADAAAAAjMyAgAAAAQxMDk2BAAAAAEwBwAAAAk0LzI4LzIwMjYIAAAACTMvMzEvMjAxNgkAAAABMOo0GLdKpd4IvFs1xUql3ggqQ0lRLk5ZU0U6QkFCQS5JUV9NSU5PUklUWV9JTlRFUkVTVC5JUV9GWS01AQAAABElggICAAAABjEyNDI1MAEIAAAABQAAAAExAQAAAAstMjA4ODEwNTEyMwMAAAACMzICAAAABDEwNTIEAAAAATAHAAAACTQvMjgvMjAyNggAAAAJMy8zMS8yMDIwCQAAAAEw6jQYt0ql3gjU0DXFSqXeCCNDSVEuTllTRTpCQUJBLklRX1RPVEFMX0RFQlQu</t>
  </si>
  <si>
    <t>SVFfRlktMwEAAAARJYICAgAAAAYxNzY1OTcBCAAAAAUAAAABMQEAAAALLTE5OTI0NzU1NzcDAAAAAjMyAgAAAAQ0MTczBAAAAAEwBwAAAAk0LzI4LzIwMjYIAAAACTMvMzEvMjAyMgkAAAABMOo0GLdKpd4IxII1xUql3ggqQ0lRLk5ZU0U6QkFCQS5JUV9NSU5PUklUWV9JTlRFUkVTVC5JUV9GWS00AQAAABElggICAAAABjE0NjE2NAEIAAAABQAAAAExAQAAAAstMjAzNzU0ODMyMQMAAAACMzICAAAABDEwNTIEAAAAATAHAAAACTQvMjgvMjAyNggAAAAJMy8zMS8yMDIxCQAAAAEw6jQYt0ql3gjU0DXFSqXeCDdDSVEuTllTRTpCQUJBLklRX1RPVEFMX09VVFNUQU5ESU5HX0ZJTElOR19EQVRFLklRX0ZZLTEwAQAAABElggICAAAACzI1MTIuNDI3NTA0AQQAAAAFAAAAATUBAAAACjE4NDcxMTMyMDkCAAAABTI0MTUzBgAAAAEw6jQYt0ql3gjVqTXFSqXeCCNDSVEuTllTRTpCQUJBLklRX1RPVEFMX0RFQlQuSVFfRlktNQEAAAARJYICAgAAAAYxNDcyODcBCAAAAAUAAAABMQEAAAALLTIwODgxMDUxMjMDAAAAAjMyAgAAAAQ0MTczBAAAAAEwBwAAAAk0LzI4LzIwMjYIAAAACTMvMzEvMjAyMAkAAAABMOo0GLdKpd4IxII1xUql3gglQ0lRLk5ZU0U6QkFCQS5JUV9UT1RBTF9FUVVJVFkuSVFfRlktMAEAAAARJYICAgAAAAcxMDkwMTA2AQgAAAAFAAAAATEBAAAACy0xOTMxNzM1MzEwAwAAAAIzMgIAAAAEMTI3NQQA</t>
  </si>
  <si>
    <t>AAABMAcAAAAJNC8yOC8yMDI2CAAAAAkzLzMxLzIwMjUJAAAAATDqNBi3SqXeCLxbNcVKpd4IIENJUS5OWVNFOkJBQkEuSVFfRklMSU5HX0NVUlJFTkNZAQAAABElggIDAAAAA0NOWQDqNBi3SqXeCEQENsVKpd4IKkNJUS5OWVNFOkJBQkEuSVFfTUlOT1JJVFlfSU5URVJFU1QuSVFfRlktMwEAAAARJYICAgAAAAYxMzM3MTQBCAAAAAUAAAABMQEAAAALLTE5OTI0NzU1NzcDAAAAAjMyAgAAAAQxMDUyBAAAAAEwBwAAAAk0LzI4LzIwMjYIAAAACTMvMzEvMjAyMgkAAAABMOo0GLdKpd4I1NA1xUql3gg2Q0lRLk5ZU0U6QkFCQS5JUV9UT1RBTF9PVVRTVEFORElOR19GSUxJTkdfREFURS5JUV9GWS05AQAAABElggICAAAACzI0OTUuMjc2NjgyAQQAAAAFAAAAATUBAAAACjE4OTc0NTQ2NDACAAAABTI0MTUzBgAAAAEw6jQYt0ql3gjVqTXFSqXeCCNDSVEuTllTRTpCQUJBLklRX1RPVEFMX0RFQlQuSVFfRlktNAEAAAARJYICAgAAAAYxODE0MzkBCAAAAAUAAAABMQEAAAALLTIwMzc1NDgzMjEDAAAAAjMyAgAAAAQ0MTczBAAAAAEwBwAAAAk0LzI4LzIwMjYIAAAACTMvMzEvMjAyMQkAAAABMOo0GLdKpd4IxII1xUql3gg2Q0lRLk5ZU0U6QkFCQS5JUV9UT1RBTF9PVVRTVEFORElOR19GSUxJTkdfREFURS5JUV9GWS04AQAAABElggICAAAABDI1MzABBAAAAAUAAAABNQEAAAAKMTk2NzQ3NDE1MwIAAAAFMjQxNTMG</t>
  </si>
  <si>
    <t>AAAAATDqNBi3SqXeCNWpNcVKpd4IJENJUS5OWVNFOkJBQkEuSVFfQ0FTSF9FUVVJVi5JUV9GWS0xMAEAAAARJYICAgAAAAYxMDgxOTMBCAAAAAUAAAABMQEAAAAKMTg0NzExMzIwOQMAAAACMzICAAAABDEwOTYEAAAAATAHAAAACTQvMjgvMjAyNggAAAAJMy8zMS8yMDE1CQAAAAEw6jQYt0ql3gi8WzXFSqXeCCpDSVEuTllTRTpCQUJBLklRX01JTk9SSVRZX0lOVEVSRVNULklRX0ZZLTIBAAAAESWCAgIAAAAGMTMzMjY0AQgAAAAFAAAAATEBAAAACy0xOTMxNzM1MjgzAwAAAAIzMgIAAAAEMTA1MgQAAAABMAcAAAAJNC8yOC8yMDI2CAAAAAkzLzMxLzIwMjMJAAAAATDqNBi3SqXeCNTQNcVKpd4IKkNJUS5OWVNFOkJBQkEuSVFfTUlOT1JJVFlfSU5URVJFU1QuSVFfRlktMQEAAAARJYICAgAAAAYxMjYwNTUBCAAAAAUAAAABMQEAAAALLTE5MzE3MzUyOTIDAAAAAjMyAgAAAAQxMDUyBAAAAAEwBwAAAAk0LzI4LzIwMjYIAAAACTMvMzEvMjAyNAkAAAABMOo0GLdKpd4I1NA1xUql3ggcQ0lRLkJBQkEuSVFfT1BUSU9OU19BVkdfTElGRQUAAAAAAAAACAAAABYoSW52YWxpZCBGb3JtdWxhIE5hbWUpJRsOzEql3gi10EDMSqXeCBRDSVEuQkFCQS5JUV9FWENIQU5HRQEAAAARJYICAwAAAAROWVNFACUbDsxKpd4ItdBAzEql3ggWQ0lRLkJBQkEuSVFfQ0xPU0VQUklDRQEAAAARJYICAgAAAAYxMzIuNTIAJRsOzEql</t>
  </si>
  <si>
    <t>3gjO90DMSqXeCBVDSVEuQkFCQS5JUV9NQVJLRVRDQVABAAAAESWCAgIAAAANMjk3NzgzLjIyMDEwNAEGAAAABQAAAAExAQAAAAstMTkwMDk4MTAxMAMAAAADMTYwAgAAAAYxMDAwNTQEAAAAATAHAAAACTQvMjcvMjAyNiUbDsxKpd4ItdBAzEql3ggdQ0lRLkJBQkEuSVFfVE9UQUxfUkVWLklRX0ZZLTABAAAAESWCAgIAAAAGOTk2MzQ3AQgAAAAFAAAAATEBAAAACy0xOTMxNzM1MzEwAwAAAAIzMgIAAAACMjgEAAAAATAHAAAACTQvMjgvMjAyNggAAAAJMy8zMS8yMDI1CQAAAAEwJRsOzEql3gjYg0PMSqXeCB1DSVEuQkFCQS5JUV9UT1RBTF9SRVYuSVFfRlktMQEAAAARJYICAgAAAAY5NDExNjgBCAAAAAUAAAABMQEAAAALLTE5MzE3MzUyOTIDAAAAAjMyAgAAAAIyOAQAAAABMAcAAAAJNC8yOC8yMDI2CAAAAAkzLzMxLzIwMjQJAAAAATAlGw7MSqXeCNiDQ8xKpd4IHUNJUS5CQUJBLklRX1RPVEFMX1JFVi5JUV9GWS0yAQAAABElggICAAAABjg2ODY4NwEIAAAABQAAAAExAQAAAAstMTkzMTczNTI4MwMAAAACMzICAAAAAjI4BAAAAAEwBwAAAAk0LzI4LzIwMjYIAAAACTMvMzEvMjAyMwkAAAABMCUbDsxKpd4I2INDzEql3ggdQ0lRLkJBQkEuSVFfVE9UQUxfUkVWLklRX0ZZLTMBAAAAESWCAgIAAAAGODUzMDYyAQgAAAAFAAAAATEBAAAACy0xOTkyNDc1NTc3AwAAAAIzMgIAAAACMjgEAAAAATAHAAAACTQv</t>
  </si>
  <si>
    <t>MjgvMjAyNggAAAAJMy8zMS8yMDIyCQAAAAEwJRsOzEql3gjYg0PMSqXeCB1DSVEuQkFCQS5JUV9UT1RBTF9SRVYuSVFfRlktNAEAAAARJYICAgAAAAY3MTcyODkBCAAAAAUAAAABMQEAAAALLTIwMzc1NDgzMjEDAAAAAjMyAgAAAAIyOAQAAAABMAcAAAAJNC8yOC8yMDI2CAAAAAkzLzMxLzIwMjEJAAAAATAlGw7MSqXeCNiDQ8xKpd4IHUNJUS5CQUJBLklRX1RPVEFMX1JFVi5JUV9GWS01AQAAABElggICAAAABjUwOTcxMQEIAAAABQAAAAExAQAAAAstMjA4ODEwNTEyMwMAAAACMzICAAAAAjI4BAAAAAEwBwAAAAk0LzI4LzIwMjYIAAAACTMvMzEvMjAyMAkAAAABMCUbDsxKpd4ITKtDzEql3ggdQ0lRLkJBQkEuSVFfVE9UQUxfUkVWLklRX0ZZLTYBAAAAESWCAgIAAAAGMzc2ODQ0AQgAAAAFAAAAATEBAAAACy0yMTQxNTIwNzI4AwAAAAIzMgIAAAACMjgEAAAAATAHAAAACTQvMjgvMjAyNggAAAAJMy8zMS8yMDE5CQAAAAEwJRsOzEql3gjYg0PMSqXeCB1DSVEuQkFCQS5JUV9UT1RBTF9SRVYuSVFfRlktNwEAAAARJYICAgAAAAYyNTAyNjYBCAAAAAUAAAABMQEAAAAKMjA3ODYwMDkzNwMAAAACMzICAAAAAjI4BAAAAAEwBwAAAAk0LzI4LzIwMjYIAAAACTMvMzEvMjAxOAkAAAABMCUbDsxKpd4I2INDzEql3ggdQ0lRLkJBQkEuSVFfVE9UQUxfUkVWLklRX0ZZLTgBAAAAESWCAgIAAAAGMTU4MjczAQgAAAAF</t>
  </si>
  <si>
    <t>AAAAATEBAAAACjE5Njc0NzQxNTMDAAAAAjMyAgAAAAIyOAQAAAABMAcAAAAJNC8yOC8yMDI2CAAAAAkzLzMxLzIwMTcJAAAAATAlGw7MSqXeCNiDQ8xKpd4IHUNJUS5CQUJBLklRX1RPVEFMX1JFVi5JUV9GWS05AQAAABElggICAAAABjEwMTE0MwEIAAAABQAAAAExAQAAAAoxODk3NDU0NjQwAwAAAAIzMgIAAAACMjgEAAAAATAHAAAACTQvMjgvMjAyNggAAAAJMy8zMS8yMDE2CQAAAAEwJRsOzEql3gjYg0PMSqXeCB5DSVEuQkFCQS5JUV9UT1RBTF9SRVYuSVFfRlktMTABAAAAESWCAgIAAAAFNzYyMDQBCAAAAAUAAAABMQEAAAAKMTg0NzExMzIwOQMAAAACMzICAAAAAjI4BAAAAAEwBwAAAAk0LzI4LzIwMjYIAAAACTMvMzEvMjAxNQkAAAABMCUbDsxKpd4I2INDzEql3ggYQ0lRLkJBQkEuSVFfRUJJVC5JUV9GWS0wAQAAABElggICAAAABjE1MTY4NwEIAAAABQAAAAExAQAAAAstMTkzMTczNTMxMAMAAAACMzICAAAAAzQwMAQAAAABMAcAAAAJNC8yOC8yMDI2CAAAAAkzLzMxLzIwMjUJAAAAATAlGw7MSqXeCNiDQ8xKpd4IGENJUS5CQUJBLklRX0VCSVQuSVFfRlktMQEAAAARJYICAgAAAAYxMzg3MTgBCAAAAAUAAAABMQEAAAALLTE5MzE3MzUyOTIDAAAAAjMyAgAAAAM0MDAEAAAAATAHAAAACTQvMjgvMjAyNggAAAAJMy8zMS8yMDI0CQAAAAEwJRsOzEql3gjYg0PMSqXeCBhDSVEuQkFCQS5JUV9FQklU</t>
  </si>
  <si>
    <t>LklRX0ZZLTIBAAAAESWCAgIAAAAGMTA2MTIwAQgAAAAFAAAAATEBAAAACy0xOTMxNzM1MjgzAwAAAAIzMgIAAAADNDAwBAAAAAEwBwAAAAk0LzI4LzIwMjYIAAAACTMvMzEvMjAyMwkAAAABMCUbDsxKpd4I2INDzEql3ggYQ0lRLkJBQkEuSVFfRUJJVC5JUV9GWS0zAQAAABElggICAAAABTk2NDk3AQgAAAAFAAAAATEBAAAACy0xOTkyNDc1NTc3AwAAAAIzMgIAAAADNDAwBAAAAAEwBwAAAAk0LzI4LzIwMjYIAAAACTMvMzEvMjAyMgkAAAABMCUbDsxKpd4I2INDzEql3ggYQ0lRLkJBQkEuSVFfRUJJVC5JUV9GWS00AQAAABElggICAAAABjEwOTU5NAEIAAAABQAAAAExAQAAAAstMjAzNzU0ODMyMQMAAAACMzICAAAAAzQwMAQAAAABMAcAAAAJNC8yOC8yMDI2CAAAAAkzLzMxLzIwMjEJAAAAATAlGw7MSqXeCNiDQ8xKpd4IGENJUS5CQUJBLklRX0VCSVQuSVFfRlktNQEAAAARJYICAgAAAAU5NTUzNAEIAAAABQAAAAExAQAAAAstMjA4ODEwNTEyMwMAAAACMzICAAAAAzQwMAQAAAABMAcAAAAJNC8yOC8yMDI2CAAAAAkzLzMxLzIwMjAJAAAAATAlGw7MSqXeCNiDQ8xKpd4IGENJUS5CQUJBLklRX0VCSVQuSVFfRlktNgEAAAARJYICAgAAAAU2MTYwNgEIAAAABQAAAAExAQAAAAstMjE0MTUyMDcyOAMAAAACMzICAAAAAzQwMAQAAAABMAcAAAAJNC8yOC8yMDI2CAAAAAkzLzMxLzIwMTkJAAAAATAlGw7MSqXe</t>
  </si>
  <si>
    <t>CNiDQ8xKpd4IGENJUS5CQUJBLklRX0VCSVQuSVFfRlktNwEAAAARJYICAgAAAAU3MDYwOQEIAAAABQAAAAExAQAAAAoyMDc4NjAwOTM3AwAAAAIzMgIAAAADNDAwBAAAAAEwBwAAAAk0LzI4LzIwMjYIAAAACTMvMzEvMjAxOAkAAAABMCUbDsxKpd4InlxDzEql3ggYQ0lRLkJBQkEuSVFfRUJJVC5JUV9GWS04AQAAABElggICAAAABTQ4OTEyAQgAAAAFAAAAATEBAAAACjE5Njc0NzQxNTMDAAAAAjMyAgAAAAM0MDAEAAAAATAHAAAACTQvMjgvMjAyNggAAAAJMy8zMS8yMDE3CQAAAAEwJRsOzEql3gieXEPMSqXeCBhDSVEuQkFCQS5JUV9FQklULklRX0ZZLTkBAAAAESWCAgIAAAAFMjk1NTcBCAAAAAUAAAABMQEAAAAKMTg5NzQ1NDY0MAMAAAACMzICAAAAAzQwMAQAAAABMAcAAAAJNC8yOC8yMDI2CAAAAAkzLzMxLzIwMTYJAAAAATAlGw7MSqXeCJ5cQ8xKpd4IGUNJUS5CQUJBLklRX0VCSVQuSVFfRlktMTABAAAAESWCAgIAAAAFMjMzMTABCAAAAAUAAAABMQEAAAAKMTg0NzExMzIwOQMAAAACMzICAAAAAzQwMAQAAAABMAcAAAAJNC8yOC8yMDI2CAAAAAkzLzMxLzIwMTUJAAAAATAlGw7MSqXeCJ5cQ8xKpd4IGkNJUS5CQUJBLklRX0VCSVREQS5JUV9GWS0wAQAAABElggICAAAABjE5NDE0NgEIAAAABQAAAAExAQAAAAstMTkzMTczNTMxMAMAAAACMzICAAAABDQwNTEEAAAAATAHAAAACTQvMjgvMjAyNggA</t>
  </si>
  <si>
    <t>AAAJMy8zMS8yMDI1CQAAAAEwJRsOzEql3gieXEPMSqXeCBpDSVEuQkFCQS5JUV9FQklUREEuSVFfRlktMQEAAAARJYICAgAAAAYxODMyMjIBCAAAAAUAAAABMQEAAAALLTE5MzE3MzUyOTIDAAAAAjMyAgAAAAQ0MDUxBAAAAAEwBwAAAAk0LzI4LzIwMjYIAAAACTMvMzEvMjAyNAkAAAABMCUbDsxKpd4InlxDzEql3ggaQ0lRLkJBQkEuSVFfRUJJVERBLklRX0ZZLTIBAAAAESWCAgIAAAAGMTUzMDU4AQgAAAAFAAAAATEBAAAACy0xOTMxNzM1MjgzAwAAAAIzMgIAAAAENDA1MQQAAAABMAcAAAAJNC8yOC8yMDI2CAAAAAkzLzMxLzIwMjMJAAAAATAlGw7MSqXeCJ5cQ8xKpd4IGkNJUS5CQUJBLklRX0VCSVREQS5JUV9GWS0zAQAAABElggICAAAABjE0NDU2MgEIAAAABQAAAAExAQAAAAstMTk5MjQ3NTU3NwMAAAACMzICAAAABDQwNTEEAAAAATAHAAAACTQvMjgvMjAyNggAAAAJMy8zMS8yMDIyCQAAAAEwJRsOzEql3gieXEPMSqXeCBpDSVEuQkFCQS5JUV9FQklUREEuSVFfRlktNAEAAAARJYICAgAAAAYxNTc1MDMBCAAAAAUAAAABMQEAAAALLTIwMzc1NDgzMjEDAAAAAjMyAgAAAAQ0MDUxBAAAAAEwBwAAAAk0LzI4LzIwMjYIAAAACTMvMzEvMjAyMQkAAAABMCUbDsxKpd4InlxDzEql3ggaQ0lRLkJBQkEuSVFfRUJJVERBLklRX0ZZLTUBAAAAESWCAgIAAAAGMTM3NzYzAQgAAAAFAAAAATEBAAAACy0yMDg4</t>
  </si>
  <si>
    <t>MTA1MTIzAwAAAAIzMgIAAAAENDA1MQQAAAABMAcAAAAJNC8yOC8yMDI2CAAAAAkzLzMxLzIwMjAJAAAAATAlGw7MSqXeCJ5cQ8xKpd4IGkNJUS5CQUJBLklRX0VCSVREQS5JUV9GWS02AQAAABElggICAAAABTk4NTQyAQgAAAAFAAAAATEBAAAACy0yMTQxNTIwNzI4AwAAAAIzMgIAAAAENDA1MQQAAAABMAcAAAAJNC8yOC8yMDI2CAAAAAkzLzMxLzIwMTkJAAAAATAlGw7MSqXeCJ5cQ8xKpd4IGkNJUS5CQUJBLklRX0VCSVREQS5JUV9GWS03AQAAABElggICAAAABTkyNDk0AQgAAAAFAAAAATEBAAAACjIwNzg2MDA5MzcDAAAAAjMyAgAAAAQ0MDUxBAAAAAEwBwAAAAk0LzI4LzIwMjYIAAAACTMvMzEvMjAxOAkAAAABMCUbDsxKpd4InlxDzEql3ggaQ0lRLkJBQkEuSVFfRUJJVERBLklRX0ZZLTgBAAAAESWCAgIAAAAFNjMwOTcBCAAAAAUAAAABMQEAAAAKMTk2NzQ3NDE1MwMAAAACMzICAAAABDQwNTEEAAAAATAHAAAACTQvMjgvMjAyNggAAAAJMy8zMS8yMDE3CQAAAAEwJRsOzEql3gjbSEPMSqXeCBpDSVEuQkFCQS5JUV9FQklUREEuSVFfRlktOQEAAAARJYICAgAAAAUzNjUzNAEIAAAABQAAAAExAQAAAAoxODk3NDU0NjQwAwAAAAIzMgIAAAAENDA1MQQAAAABMAcAAAAJNC8yOC8yMDI2CAAAAAkzLzMxLzIwMTYJAAAAATAlGw7MSqXeCNtIQ8xKpd4IG0NJUS5CQUJBLklRX0VCSVREQS5JUV9GWS0xMAEA</t>
  </si>
  <si>
    <t>AAARJYICAgAAAAUyNzc2NQEIAAAABQAAAAExAQAAAAoxODQ3MTEzMjA5AwAAAAIzMgIAAAAENDA1MQQAAAABMAcAAAAJNC8yOC8yMDI2CAAAAAkzLzMxLzIwMTUJAAAAATAlGw7MSqXeCNtIQ8xKpd4IFkNJUS5CQUJBLklRX05JLklRX0ZZLTABAAAAESWCAgIAAAAGMTMwMTA5AQgAAAAFAAAAATEBAAAACy0xOTMxNzM1MzEwAwAAAAIzMgIAAAACMTUEAAAAATAHAAAACTQvMjgvMjAyNggAAAAJMy8zMS8yMDI1CQAAAAEwJRsOzEql3gieXEPMSqXeCBZDSVEuQkFCQS5JUV9OSS5JUV9GWS0xAQAAABElggICAAAABTgwMDA5AQgAAAAFAAAAATEBAAAACy0xOTMxNzM1MjkyAwAAAAIzMgIAAAACMTUEAAAAATAHAAAACTQvMjgvMjAyNggAAAAJMy8zMS8yMDI0CQAAAAEwJRsOzEql3gieXEPMSqXeCBZDSVEuQkFCQS5JUV9OSS5JUV9GWS0yAQAAABElggICAAAABTcyNzgzAQgAAAAFAAAAATEBAAAACy0xOTMxNzM1MjgzAwAAAAIzMgIAAAACMTUEAAAAATAHAAAACTQvMjgvMjAyNggAAAAJMy8zMS8yMDIzCQAAAAEwJRsOzEql3gieXEPMSqXeCBZDSVEuQkFCQS5JUV9OSS5JUV9GWS0zAQAAABElggICAAAABTYyMjQ5AQgAAAAFAAAAATEBAAAACy0xOTkyNDc1NTc3AwAAAAIzMgIAAAACMTUEAAAAATAHAAAACTQvMjgvMjAyNggAAAAJMy8zMS8yMDIyCQAAAAEwJRsOzEql3ggeFkPMSqXeCBZDSVEuQkFCQS5JUV9O</t>
  </si>
  <si>
    <t>SS5JUV9GWS00AQAAABElggICAAAABjE1MDU3OAEIAAAABQAAAAExAQAAAAstMjAzNzU0ODMyMQMAAAACMzICAAAAAjE1BAAAAAEwBwAAAAk0LzI4LzIwMjYIAAAACTMvMzEvMjAyMQkAAAABMCUbDsxKpd4IHhZDzEql3ggWQ0lRLkJBQkEuSVFfTkkuSVFfRlktNQEAAAARJYICAgAAAAYxNDk0MzMBCAAAAAUAAAABMQEAAAALLTIwODgxMDUxMjMDAAAAAjMyAgAAAAIxNQQAAAABMAcAAAAJNC8yOC8yMDI2CAAAAAkzLzMxLzIwMjAJAAAAATAlGw7MSqXeCNtIQ8xKpd4IFkNJUS5CQUJBLklRX05JLklRX0ZZLTYBAAAAESWCAgIAAAAFODc4ODYBCAAAAAUAAAABMQEAAAALLTIxNDE1MjA3MjgDAAAAAjMyAgAAAAIxNQQAAAABMAcAAAAJNC8yOC8yMDI2CAAAAAkzLzMxLzIwMTkJAAAAATAlGw7MSqXeCNtIQ8xKpd4IFkNJUS5CQUJBLklRX05JLklRX0ZZLTcBAAAAESWCAgIAAAAFNjQwOTMBCAAAAAUAAAABMQEAAAAKMjA3ODYwMDkzNwMAAAACMzICAAAAAjE1BAAAAAEwBwAAAAk0LzI4LzIwMjYIAAAACTMvMzEvMjAxOAkAAAABMCUbDsxKpd4I20hDzEql3ggWQ0lRLkJBQkEuSVFfTkkuSVFfRlktOAEAAAARJYICAgAAAAU0MzY3NQEIAAAABQAAAAExAQAAAAoxOTY3NDc0MTUzAwAAAAIzMgIAAAACMTUEAAAAATAHAAAACTQvMjgvMjAyNggAAAAJMy8zMS8yMDE3CQAAAAEwJRsOzEql3gjbSEPMSqXeCBZDSVEu</t>
  </si>
  <si>
    <t>QkFCQS5JUV9OSS5JUV9GWS05AQAAABElggICAAAABTcxNDYwAQgAAAAFAAAAATEBAAAACjE4OTc0NTQ2NDADAAAAAjMyAgAAAAIxNQQAAAABMAcAAAAJNC8yOC8yMDI2CAAAAAkzLzMxLzIwMTYJAAAAATAlGw7MSqXeCB4WQ8xKpd4IF0NJUS5CQUJBLklRX05JLklRX0ZZLTEwAQAAABElggICAAAABTI0MjYxAQgAAAAFAAAAATEBAAAACjE4NDcxMTMyMDkDAAAAAjMyAgAAAAIxNQQAAAABMAcAAAAJNC8yOC8yMDI2CAAAAAkzLzMxLzIwMTUJAAAAATAlGw7MSqXeCB4WQ8xKpd4IIENJUS5CQUJBLklRX0lOVEVSRVNUX0VYUC5JUV9GWS0wAQAAABElggICAAAABS05NTk2AQgAAAAFAAAAATEBAAAACy0xOTMxNzM1MzEwAwAAAAIzMgIAAAACODIEAAAAATAHAAAACTQvMjgvMjAyNggAAAAJMy8zMS8yMDI1CQAAAAEwJRsOzEql3ggeFkPMSqXeCCBDSVEuQkFCQS5JUV9JTlRFUkVTVF9FWFAuSVFfRlktMQEAAAARJYICAgAAAAUtNzk0NwEIAAAABQAAAAExAQAAAAstMTkzMTczNTI5MgMAAAACMzICAAAAAjgyBAAAAAEwBwAAAAk0LzI4LzIwMjYIAAAACTMvMzEvMjAyNAkAAAABMCUbDsxKpd4IHhZDzEql3gggQ0lRLkJBQkEuSVFfSU5URVJFU1RfRVhQLklRX0ZZLTIBAAAAESWCAgIAAAAFLTU5MTgBCAAAAAUAAAABMQEAAAALLTE5MzE3MzUyODMDAAAAAjMyAgAAAAI4MgQAAAABMAcAAAAJNC8yOC8yMDI2CAAA</t>
  </si>
  <si>
    <t>AAkzLzMxLzIwMjMJAAAAATAlGw7MSqXeCB4WQ8xKpd4IIENJUS5CQUJBLklRX0lOVEVSRVNUX0VYUC5JUV9GWS0zAQAAABElggICAAAABS00OTA5AQgAAAAFAAAAATEBAAAACy0xOTkyNDc1NTc3AwAAAAIzMgIAAAACODIEAAAAATAHAAAACTQvMjgvMjAyNggAAAAJMy8zMS8yMDIyCQAAAAEwJRsOzEql3ggeFkPMSqXeCCBDSVEuQkFCQS5JUV9JTlRFUkVTVF9FWFAuSVFfRlktNAEAAAARJYICAgAAAAUtNDQ3NgEIAAAABQAAAAExAQAAAAstMjAzNzU0ODMyMQMAAAACMzICAAAAAjgyBAAAAAEwBwAAAAk0LzI4LzIwMjYIAAAACTMvMzEvMjAyMQkAAAABMCUbDsxKpd4IHhZDzEql3gggQ0lRLkJBQkEuSVFfSU5URVJFU1RfRVhQLklRX0ZZLTUBAAAAESWCAgIAAAAFLTUxODABCAAAAAUAAAABMQEAAAALLTIwODgxMDUxMjMDAAAAAjMyAgAAAAI4MgQAAAABMAcAAAAJNC8yOC8yMDI2CAAAAAkzLzMxLzIwMjAJAAAAATAlGw7MSqXeCB4WQ8xKpd4IIENJUS5CQUJBLklRX0lOVEVSRVNUX0VYUC5JUV9GWS02AQAAABElggICAAAABS01MTkwAQgAAAAFAAAAATEBAAAACy0yMTQxNTIwNzI4AwAAAAIzMgIAAAACODIEAAAAATAHAAAACTQvMjgvMjAyNggAAAAJMy8zMS8yMDE5CQAAAAEwJRsOzEql3ggeFkPMSqXeCCBDSVEuQkFCQS5JUV9JTlRFUkVTVF9FWFAuSVFfRlktNwEAAAARJYICAgAAAAUtMzU2NgEIAAAA</t>
  </si>
  <si>
    <t>BQAAAAExAQAAAAoyMDc4NjAwOTM3AwAAAAIzMgIAAAACODIEAAAAATAHAAAACTQvMjgvMjAyNggAAAAJMy8zMS8yMDE4CQAAAAEwJRsOzEql3ggeFkPMSqXeCCBDSVEuQkFCQS5JUV9JTlRFUkVTVF9FWFAuSVFfRlktOAEAAAARJYICAgAAAAUtMjY3MQEIAAAABQAAAAExAQAAAAoxOTY3NDc0MTUzAwAAAAIzMgIAAAACODIEAAAAATAHAAAACTQvMjgvMjAyNggAAAAJMy8zMS8yMDE3CQAAAAEwJRsOzEql3ggeFkPMSqXeCCBDSVEuQkFCQS5JUV9JTlRFUkVTVF9FWFAuSVFfRlktOQEAAAARJYICAgAAAAUtMTk0NgEIAAAABQAAAAExAQAAAAoxODk3NDU0NjQwAwAAAAIzMgIAAAACODIEAAAAATAHAAAACTQvMjgvMjAyNggAAAAJMy8zMS8yMDE2CQAAAAEwJRsOzEql3ggeFkPMSqXeCCFDSVEuQkFCQS5JUV9JTlRFUkVTVF9FWFAuSVFfRlktMTABAAAAESWCAgIAAAAFLTI3NTABCAAAAAUAAAABMQEAAAAKMTg0NzExMzIwOQMAAAACMzICAAAAAjgyBAAAAAEwBwAAAAk0LzI4LzIwMjYIAAAACTMvMzEvMjAxNQkAAAABMCUbDsxKpd4IHhZDzEql3ggZQ0lRLkJBQkEuSVFfREFfQ0YuSVFfRlktMAEAAAARJYICAgAAAAU0MjQ1OQEIAAAABQAAAAExAQAAAAstMTkzMTczNTMxMAMAAAACMzICAAAABDIxNjAEAAAAATAHAAAACTQvMjgvMjAyNggAAAAJMy8zMS8yMDI1CQAAAAEwJRsOzEql3ggeFkPMSqXeCBlDSVEu</t>
  </si>
  <si>
    <t>QkFCQS5JUV9EQV9DRi5JUV9GWS0xAQAAABElggICAAAABTQ0NTA0AQgAAAAFAAAAATEBAAAACy0xOTMxNzM1MjkyAwAAAAIzMgIAAAAEMjE2MAQAAAABMAcAAAAJNC8yOC8yMDI2CAAAAAkzLzMxLzIwMjQJAAAAATAlGw7MSqXeCB4WQ8xKpd4IGUNJUS5CQUJBLklRX0RBX0NGLklRX0ZZLTIBAAAAESWCAgIAAAAFNDY5MzgBCAAAAAUAAAABMQEAAAALLTE5MzE3MzUyODMDAAAAAjMyAgAAAAQyMTYwBAAAAAEwBwAAAAk0LzI4LzIwMjYIAAAACTMvMzEvMjAyMwkAAAABMCUbDsxKpd4IHhZDzEql3ggZQ0lRLkJBQkEuSVFfREFfQ0YuSVFfRlktMwEAAAARJYICAgAAAAU0ODA2NQEIAAAABQAAAAExAQAAAAstMTk5MjQ3NTU3NwMAAAACMzICAAAABDIxNjAEAAAAATAHAAAACTQvMjgvMjAyNggAAAAJMy8zMS8yMDIyCQAAAAEwJRsOzEql3ggeFkPMSqXeCBlDSVEuQkFCQS5JUV9EQV9DRi5JUV9GWS00AQAAABElggICAAAABTQ3OTA5AQgAAAAFAAAAATEBAAAACy0yMDM3NTQ4MzIxAwAAAAIzMgIAAAAEMjE2MAQAAAABMAcAAAAJNC8yOC8yMDI2CAAAAAkzLzMxLzIwMjEJAAAAATAlGw7MSqXeCB4WQ8xKpd4IGUNJUS5CQUJBLklRX0RBX0NGLklRX0ZZLTUBAAAAESWCAgIAAAAFNDI0MjcBCAAAAAUAAAABMQEAAAALLTIwODgxMDUxMjMDAAAAAjMyAgAAAAQyMTYwBAAAAAEwBwAAAAk0LzI4LzIwMjYIAAAACTMv</t>
  </si>
  <si>
    <t>MzEvMjAyMAkAAAABMCUbDsxKpd4IE+9CzEql3ggZQ0lRLkJBQkEuSVFfREFfQ0YuSVFfRlktNgEAAAARJYICAgAAAAUzNjkzNgEIAAAABQAAAAExAQAAAAstMjE0MTUyMDcyOAMAAAACMzICAAAABDIxNjAEAAAAATAHAAAACTQvMjgvMjAyNggAAAAJMy8zMS8yMDE5CQAAAAEwJRsOzEql3ggT70LMSqXeCBlDSVEuQkFCQS5JUV9EQV9DRi5JUV9GWS03AQAAABElggICAAAABTIxODg1AQgAAAAFAAAAATEBAAAACjIwNzg2MDA5MzcDAAAAAjMyAgAAAAQyMTYwBAAAAAEwBwAAAAk0LzI4LzIwMjYIAAAACTMvMzEvMjAxOAkAAAABMCUbDsxKpd4IE+9CzEql3ggZQ0lRLkJBQkEuSVFfREFfQ0YuSVFfRlktOAEAAAARJYICAgAAAAUxNDE4NQEIAAAABQAAAAExAQAAAAoxOTY3NDc0MTUzAwAAAAIzMgIAAAAEMjE2MAQAAAABMAcAAAAJNC8yOC8yMDI2CAAAAAkzLzMxLzIwMTcJAAAAATAlGw7MSqXeCBPvQsxKpd4IGUNJUS5CQUJBLklRX0RBX0NGLklRX0ZZLTkBAAAAESWCAgIAAAAENjk3NwEIAAAABQAAAAExAQAAAAoxODk3NDU0NjQwAwAAAAIzMgIAAAAEMjE2MAQAAAABMAcAAAAJNC8yOC8yMDI2CAAAAAkzLzMxLzIwMTYJAAAAATAlGw7MSqXeCBPvQsxKpd4IGkNJUS5CQUJBLklRX0RBX0NGLklRX0ZZLTEwAQAAABElggICAAAABDQ0NTUBCAAAAAUAAAABMQEAAAAKMTg0NzExMzIwOQMAAAACMzICAAAABDIx</t>
  </si>
  <si>
    <t>NjAEAAAAATAHAAAACTQvMjgvMjAyNggAAAAJMy8zMS8yMDE1CQAAAAEwJRsOzEql3ggeFkPMSqXeCBpDSVEuQkFCQS5JUV9SRF9FWFAuSVFfRlktMAEAAAARJYICAgAAAAU1NzE1MQEIAAAABQAAAAExAQAAAAstMTkzMTczNTMxMAMAAAACMzICAAAAAzEwMAQAAAABMAcAAAAJNC8yOC8yMDI2CAAAAAkzLzMxLzIwMjUJAAAAATAlGw7MSqXeCBPvQsxKpd4IGkNJUS5CQUJBLklRX1JEX0VYUC5JUV9GWS0xAQAAABElggICAAAABTUyMjU2AQgAAAAFAAAAATEBAAAACy0xOTMxNzM1MjkyAwAAAAIzMgIAAAADMTAwBAAAAAEwBwAAAAk0LzI4LzIwMjYIAAAACTMvMzEvMjAyNAkAAAABMCUbDsxKpd4IE+9CzEql3ggaQ0lRLkJBQkEuSVFfUkRfRVhQLklRX0ZZLTIBAAAAESWCAgIAAAAFNTY3NDQBCAAAAAUAAAABMQEAAAALLTE5MzE3MzUyODMDAAAAAjMyAgAAAAMxMDAEAAAAATAHAAAACTQvMjgvMjAyNggAAAAJMy8zMS8yMDIzCQAAAAEwJRsOzEql3ggT70LMSqXeCBpDSVEuQkFCQS5JUV9SRF9FWFAuSVFfRlktMwEAAAARJYICAgAAAAU1NTQ2NQEIAAAABQAAAAExAQAAAAstMTk5MjQ3NTU3NwMAAAACMzICAAAAAzEwMAQAAAABMAcAAAAJNC8yOC8yMDI2CAAAAAkzLzMxLzIwMjIJAAAAATAlGw7MSqXeCBPvQsxKpd4IGkNJUS5CQUJBLklRX1JEX0VYUC5JUV9GWS00AQAAABElggICAAAABTU3MjM2AQgAAAAF</t>
  </si>
  <si>
    <t>AAAAATEBAAAACy0yMDM3NTQ4MzIxAwAAAAIzMgIAAAADMTAwBAAAAAEwBwAAAAk0LzI4LzIwMjYIAAAACTMvMzEvMjAyMQkAAAABMCUbDsxKpd4IE+9CzEql3ggaQ0lRLkJBQkEuSVFfUkRfRVhQLklRX0ZZLTUBAAAAESWCAgIAAAAFNDMwODABCAAAAAUAAAABMQEAAAALLTIwODgxMDUxMjMDAAAAAjMyAgAAAAMxMDAEAAAAATAHAAAACTQvMjgvMjAyNggAAAAJMy8zMS8yMDIwCQAAAAEwJRsOzEql3ggT70LMSqXeCBpDSVEuQkFCQS5JUV9SRF9FWFAuSVFfRlktNgEAAAARJYICAgAAAAUzNzQzNQEIAAAABQAAAAExAQAAAAstMjE0MTUyMDcyOAMAAAACMzICAAAAAzEwMAQAAAABMAcAAAAJNC8yOC8yMDI2CAAAAAkzLzMxLzIwMTkJAAAAATAlGw7MSqXeCBPvQsxKpd4IGkNJUS5CQUJBLklRX1JEX0VYUC5JUV9GWS03AQAAABElggICAAAABTIyNzU0AQgAAAAFAAAAATEBAAAACjIwNzg2MDA5MzcDAAAAAjMyAgAAAAMxMDAEAAAAATAHAAAACTQvMjgvMjAyNggAAAAJMy8zMS8yMDE4CQAAAAEwJRsOzEql3ggT70LMSqXeCBpDSVEuQkFCQS5JUV9SRF9FWFAuSVFfRlktOAEAAAARJYICAgAAAAUxNzA2MAEIAAAABQAAAAExAQAAAAoxOTY3NDc0MTUzAwAAAAIzMgIAAAADMTAwBAAAAAEwBwAAAAk0LzI4LzIwMjYIAAAACTMvMzEvMjAxNwkAAAABMCUbDsxKpd4IE+9CzEql3ggaQ0lRLkJBQkEuSVFfUkRfRVhQ</t>
  </si>
  <si>
    <t>LklRX0ZZLTkBAAAAESWCAgIAAAAFMTM3ODgBCAAAAAUAAAABMQEAAAAKMTg5NzQ1NDY0MAMAAAACMzICAAAAAzEwMAQAAAABMAcAAAAJNC8yOC8yMDI2CAAAAAkzLzMxLzIwMTYJAAAAATAlGw7MSqXeCBPvQsxKpd4IG0NJUS5CQUJBLklRX1JEX0VYUC5JUV9GWS0xMAEAAAARJYICAgAAAAUxMDY1OAEIAAAABQAAAAExAQAAAAoxODQ3MTEzMjA5AwAAAAIzMgIAAAADMTAwBAAAAAEwBwAAAAk0LzI4LzIwMjYIAAAACTMvMzEvMjAxNQkAAAABMCUbDsxKpd4IE+9CzEql3ggZQ0lRLkJBQkEuSVFfQ0FQRVguSVFfRlktMAEAAAARJYICAgAAAAYtODU5NzIBCAAAAAUAAAABMQEAAAALLTE5MzE3MzUzMTADAAAAAjMyAgAAAAQyMDIxBAAAAAEwBwAAAAk0LzI4LzIwMjYIAAAACTMvMzEvMjAyNQkAAAABMCUbDsxKpd4IE+9CzEql3ggZQ0lRLkJBQkEuSVFfQ0FQRVguSVFfRlktMQEAAAARJYICAgAAAAYtMzIwODcBCAAAAAUAAAABMQEAAAALLTE5MzE3MzUyOTIDAAAAAjMyAgAAAAQyMDIxBAAAAAEwBwAAAAk0LzI4LzIwMjYIAAAACTMvMzEvMjAyNAkAAAABMCUbDsxKpd4IDMhCzEql3ggZQ0lRLkJBQkEuSVFfQ0FQRVguSVFfRlktMgEAAAARJYICAgAAAAYtMzQzMzABCAAAAAUAAAABMQEAAAALLTE5MzE3MzUyODMDAAAAAjMyAgAAAAQyMDIxBAAAAAEwBwAAAAk0LzI4LzIwMjYIAAAACTMvMzEvMjAyMwkAAAAB</t>
  </si>
  <si>
    <t>MCUbDsxKpd4IDMhCzEql3ggZQ0lRLkJBQkEuSVFfQ0FQRVguSVFfRlktMwEAAAARJYICAgAAAAYtNTMzMDkBCAAAAAUAAAABMQEAAAALLTE5OTI0NzU1NzcDAAAAAjMyAgAAAAQyMDIxBAAAAAEwBwAAAAk0LzI4LzIwMjYIAAAACTMvMzEvMjAyMgkAAAABMCUbDsxKpd4IDMhCzEql3ggZQ0lRLkJBQkEuSVFfQ0FQRVguSVFfRlktNAEAAAARJYICAgAAAAYtNDE0NTABCAAAAAUAAAABMQEAAAALLTIwMzc1NDgzMjEDAAAAAjMyAgAAAAQyMDIxBAAAAAEwBwAAAAk0LzI4LzIwMjYIAAAACTMvMzEvMjAyMQkAAAABMCUbDsxKpd4IDMhCzEql3ggZQ0lRLkJBQkEuSVFfQ0FQRVguSVFfRlktNQEAAAARJYICAgAAAAYtMzI1NTABCAAAAAUAAAABMQEAAAALLTIwODgxMDUxMjMDAAAAAjMyAgAAAAQyMDIxBAAAAAEwBwAAAAk0LzI4LzIwMjYIAAAACTMvMzEvMjAyMAkAAAABMCUbDsxKpd4IDMhCzEql3ggZQ0lRLkJBQkEuSVFfQ0FQRVguSVFfRlktNgEAAAARJYICAgAAAAYtMzU0ODIBCAAAAAUAAAABMQEAAAALLTIxNDE1MjA3MjgDAAAAAjMyAgAAAAQyMDIxBAAAAAEwBwAAAAk0LzI4LzIwMjYIAAAACTMvMzEvMjAxOQkAAAABMCUbDsxKpd4IE+9CzEql3ggZQ0lRLkJBQkEuSVFfQ0FQRVguSVFfRlktNwEAAAARJYICAgAAAAYtMTk2MjgBCAAAAAUAAAABMQEAAAAKMjA3ODYwMDkzNwMAAAACMzICAAAABDIwMjEE</t>
  </si>
  <si>
    <t>AAAAATAHAAAACTQvMjgvMjAyNggAAAAJMy8zMS8yMDE4CQAAAAEwJRsOzEql3ggMyELMSqXeCBlDSVEuQkFCQS5JUV9DQVBFWC5JUV9GWS04AQAAABElggICAAAABi0xMTAwNgEIAAAABQAAAAExAQAAAAoxOTY3NDc0MTUzAwAAAAIzMgIAAAAEMjAyMQQAAAABMAcAAAAJNC8yOC8yMDI2CAAAAAkzLzMxLzIwMTcJAAAAATAlGw7MSqXeCAzIQsxKpd4IGUNJUS5CQUJBLklRX0NBUEVYLklRX0ZZLTkBAAAAESWCAgIAAAAGLTEwODQ1AQgAAAAFAAAAATEBAAAACjE4OTc0NTQ2NDADAAAAAjMyAgAAAAQyMDIxBAAAAAEwBwAAAAk0LzI4LzIwMjYIAAAACTMvMzEvMjAxNgkAAAABMCUbDsxKpd4IDMhCzEql3ggaQ0lRLkJBQkEuSVFfQ0FQRVguSVFfRlktMTABAAAAESWCAgIAAAAFLTc3MDUBCAAAAAUAAAABMQEAAAAKMTg0NzExMzIwOQMAAAACMzICAAAABDIwMjEEAAAAATAHAAAACTQvMjgvMjAyNggAAAAJMy8zMS8yMDE1CQAAAAEwJRsOzEql3ggMyELMSqXeCCxDSVEuQkFCQS5JUV9PUEVSQVRJTkdfTEVBU0VfUEFZTUVOVFMuSVFfRlktMAEAAAARJYICAwAAAAAAJRsOzEql3ggMyELMSqXeCCxDSVEuQkFCQS5JUV9PUEVSQVRJTkdfTEVBU0VfUEFZTUVOVFMuSVFfRlktMQEAAAARJYICAwAAAAAAJRsOzEql3ggMyELMSqXeCCxDSVEuQkFCQS5JUV9PUEVSQVRJTkdfTEVBU0VfUEFZTUVOVFMuSVFfRlktMgEA</t>
  </si>
  <si>
    <t>AAARJYICAwAAAAAAJRsOzEql3ggMyELMSqXeCCxDSVEuQkFCQS5JUV9PUEVSQVRJTkdfTEVBU0VfUEFZTUVOVFMuSVFfRlktMwEAAAARJYICAwAAAAAAJRsOzEql3ggMyELMSqXeCCxDSVEuQkFCQS5JUV9PUEVSQVRJTkdfTEVBU0VfUEFZTUVOVFMuSVFfRlktNAEAAAARJYICAwAAAAAAJRsOzEql3ggMyELMSqXeCCxDSVEuQkFCQS5JUV9PUEVSQVRJTkdfTEVBU0VfUEFZTUVOVFMuSVFfRlktNQEAAAARJYICAwAAAAAAJRsOzEql3ggMyELMSqXeCCxDSVEuQkFCQS5JUV9PUEVSQVRJTkdfTEVBU0VfUEFZTUVOVFMuSVFfRlktNgEAAAARJYICAwAAAAAAJRsOzEql3ggMyELMSqXeCCxDSVEuQkFCQS5JUV9PUEVSQVRJTkdfTEVBU0VfUEFZTUVOVFMuSVFfRlktNwEAAAARJYICAwAAAAAAJRsOzEql3ggMyELMSqXeCCxDSVEuQkFCQS5JUV9PUEVSQVRJTkdfTEVBU0VfUEFZTUVOVFMuSVFfRlktOAEAAAARJYICAwAAAAAAJRsOzEql3gjzoELMSqXeCCxDSVEuQkFCQS5JUV9PUEVSQVRJTkdfTEVBU0VfUEFZTUVOVFMuSVFfRlktOQEAAAARJYICAwAAAAAAJRsOzEql3gjzoELMSqXeCC1DSVEuQkFCQS5JUV9PUEVSQVRJTkdfTEVBU0VfUEFZTUVOVFMuSVFfRlktMTABAAAAESWCAgMAAAAAACUbDsxKpd4I86BCzEql3ggcQ0lRLkJBQkEuSVFfRUJUX0VYQ0wuSVFfRlktMAEAAAARJYICAgAAAAYxNzIyMDMBCAAA</t>
  </si>
  <si>
    <t>AAUAAAABMQEAAAALLTE5MzE3MzUzMTADAAAAAjMyAgAAAAE0BAAAAAEwBwAAAAk0LzI4LzIwMjYIAAAACTMvMzEvMjAyNQkAAAABMCUbDsxKpd4I86BCzEql3ggcQ0lRLkJBQkEuSVFfRUJUX0VYQ0wuSVFfRlktMQEAAAARJYICAgAAAAYxMjkxOTMBCAAAAAUAAAABMQEAAAALLTE5MzE3MzUyOTIDAAAAAjMyAgAAAAE0BAAAAAEwBwAAAAk0LzI4LzIwMjYIAAAACTMvMzEvMjAyNAkAAAABMCUbDsxKpd4I86BCzEql3ggcQ0lRLkJBQkEuSVFfRUJUX0VYQ0wuSVFfRlktMgEAAAARJYICAgAAAAU5Nzk2MgEIAAAABQAAAAExAQAAAAstMTkzMTczNTI4MwMAAAACMzICAAAAATQEAAAAATAHAAAACTQvMjgvMjAyNggAAAAJMy8zMS8yMDIzCQAAAAEwJRsOzEql3gjzoELMSqXeCBxDSVEuQkFCQS5JUV9FQlRfRVhDTC5JUV9GWS0zAQAAABElggICAAAABjExNjQ1NQEIAAAABQAAAAExAQAAAAstMTk5MjQ3NTU3NwMAAAACMzICAAAAATQEAAAAATAHAAAACTQvMjgvMjAyNggAAAAJMy8zMS8yMDIyCQAAAAEwJRsOzEql3gjzoELMSqXeCBxDSVEuQkFCQS5JUV9FQlRfRVhDTC5JUV9GWS00AQAAABElggICAAAABjE5MjQ3OAEIAAAABQAAAAExAQAAAAstMjAzNzU0ODMyMQMAAAACMzICAAAAATQEAAAAATAHAAAACTQvMjgvMjAyNggAAAAJMy8zMS8yMDIxCQAAAAEwJRsOzEql3gjzoELMSqXeCBxDSVEuQkFCQS5JUV9F</t>
  </si>
  <si>
    <t>QlRfRVhDTC5JUV9GWS01AQAAABElggICAAAABjE2NTAxNgEIAAAABQAAAAExAQAAAAstMjA4ODEwNTEyMwMAAAACMzICAAAAATQEAAAAATAHAAAACTQvMjgvMjAyNggAAAAJMy8zMS8yMDIwCQAAAAEwJRsOzEql3gjzoELMSqXeCBxDSVEuQkFCQS5JUV9FQlRfRVhDTC5JUV9GWS02AQAAABElggICAAAABjEwMTMwOQEIAAAABQAAAAExAQAAAAstMjE0MTUyMDcyOAMAAAACMzICAAAAATQEAAAAATAHAAAACTQvMjgvMjAyNggAAAAJMy8zMS8yMDE5CQAAAAEwJRsOzEql3gjzoELMSqXeCBxDSVEuQkFCQS5JUV9FQlRfRVhDTC5JUV9GWS03AQAAABElggICAAAABTgwOTA2AQgAAAAFAAAAATEBAAAACjIwNzg2MDA5MzcDAAAAAjMyAgAAAAE0BAAAAAEwBwAAAAk0LzI4LzIwMjYIAAAACTMvMzEvMjAxOAkAAAABMCUbDsxKpd4I86BCzEql3ggcQ0lRLkJBQkEuSVFfRUJUX0VYQ0wuSVFfRlktOAEAAAARJYICAgAAAAU1NTg1OQEIAAAABQAAAAExAQAAAAoxOTY3NDc0MTUzAwAAAAIzMgIAAAABNAQAAAABMAcAAAAJNC8yOC8yMDI2CAAAAAkzLzMxLzIwMTcJAAAAATAlGw7MSqXeCPOgQsxKpd4IHENJUS5CQUJBLklRX0VCVF9FWENMLklRX0ZZLTkBAAAAESWCAgIAAAAFODAxOTMBCAAAAAUAAAABMQEAAAAKMTg5NzQ1NDY0MAMAAAACMzICAAAAATQEAAAAATAHAAAACTQvMjgvMjAyNggAAAAJMy8zMS8yMDE2CQAA</t>
  </si>
  <si>
    <t>AAEwJRsOzEql3gifeULMSqXeCB1DSVEuQkFCQS5JUV9FQlRfRVhDTC5JUV9GWS0xMAEAAAARJYICAgAAAAUzMDkxMQEIAAAABQAAAAExAQAAAAoxODQ3MTEzMjA5AwAAAAIzMgIAAAABNAQAAAABMAcAAAAJNC8yOC8yMDI2CAAAAAkzLzMxLzIwMTUJAAAAATAlGw7MSqXeCPOgQsxKpd4IG0NJUS5CQUJBLklRX0lOQ19UQVguSVFfRlktMAEAAAARJYICAgAAAAUzNTQ0NQEIAAAABQAAAAExAQAAAAstMTkzMTczNTMxMAMAAAACMzICAAAAAjc1BAAAAAEwBwAAAAk0LzI4LzIwMjYIAAAACTMvMzEvMjAyNQkAAAABMCUbDsxKpd4I86BCzEql3ggbQ0lRLkJBQkEuSVFfSU5DX1RBWC5JUV9GWS0xAQAAABElggICAAAABTIyNTI5AQgAAAAFAAAAATEBAAAACy0xOTMxNzM1MjkyAwAAAAIzMgIAAAACNzUEAAAAATAHAAAACTQvMjgvMjAyNggAAAAJMy8zMS8yMDI0CQAAAAEwJRsOzEql3gjzoELMSqXeCBtDSVEuQkFCQS5JUV9JTkNfVEFYLklRX0ZZLTIBAAAAESWCAgIAAAAFMTU1NDkBCAAAAAUAAAABMQEAAAALLTE5MzE3MzUyODMDAAAAAjMyAgAAAAI3NQQAAAABMAcAAAAJNC8yOC8yMDI2CAAAAAkzLzMxLzIwMjMJAAAAATAlGw7MSqXeCPOgQsxKpd4IG0NJUS5CQUJBLklRX0lOQ19UQVguSVFfRlktMwEAAAARJYICAgAAAAUyNjgxNQEIAAAABQAAAAExAQAAAAstMTk5MjQ3NTU3NwMAAAACMzICAAAAAjc1BAAA</t>
  </si>
  <si>
    <t>AAEwBwAAAAk0LzI4LzIwMjYIAAAACTMvMzEvMjAyMgkAAAABMCUbDsxKpd4I86BCzEql3ggbQ0lRLkJBQkEuSVFfSU5DX1RBWC5JUV9GWS00AQAAABElggICAAAABTI5Mjc4AQgAAAAFAAAAATEBAAAACy0yMDM3NTQ4MzIxAwAAAAIzMgIAAAACNzUEAAAAATAHAAAACTQvMjgvMjAyNggAAAAJMy8zMS8yMDIxCQAAAAEwJRsOzEql3gifeULMSqXeCBtDSVEuQkFCQS5JUV9JTkNfVEFYLklRX0ZZLTUBAAAAESWCAgIAAAAFMjA1NjIBCAAAAAUAAAABMQEAAAALLTIwODgxMDUxMjMDAAAAAjMyAgAAAAI3NQQAAAABMAcAAAAJNC8yOC8yMDI2CAAAAAkzLzMxLzIwMjAJAAAAATAlGw7MSqXeCJ95QsxKpd4IG0NJUS5CQUJBLklRX0lOQ19UQVguSVFfRlktNgEAAAARJYICAgAAAAUxNjU1MwEIAAAABQAAAAExAQAAAAstMjE0MTUyMDcyOAMAAAACMzICAAAAAjc1BAAAAAEwBwAAAAk0LzI4LzIwMjYIAAAACTMvMzEvMjAxOQkAAAABMCUbDsxKpd4In3lCzEql3ggbQ0lRLkJBQkEuSVFfSU5DX1RBWC5JUV9GWS03AQAAABElggICAAAABTE4MTk5AQgAAAAFAAAAATEBAAAACjIwNzg2MDA5MzcDAAAAAjMyAgAAAAI3NQQAAAABMAcAAAAJNC8yOC8yMDI2CAAAAAkzLzMxLzIwMTgJAAAAATAlGw7MSqXeCJ95QsxKpd4IG0NJUS5CQUJBLklRX0lOQ19UQVguSVFfRlktOAEAAAARJYICAgAAAAUxMzc3NgEIAAAABQAAAAEx</t>
  </si>
  <si>
    <t>AQAAAAoxOTY3NDc0MTUzAwAAAAIzMgIAAAACNzUEAAAAATAHAAAACTQvMjgvMjAyNggAAAAJMy8zMS8yMDE3CQAAAAEwJRsOzEql3gifeULMSqXeCBtDSVEuQkFCQS5JUV9JTkNfVEFYLklRX0ZZLTkBAAAAESWCAgIAAAAEODQ0OQEIAAAABQAAAAExAQAAAAoxODk3NDU0NjQwAwAAAAIzMgIAAAACNzUEAAAAATAHAAAACTQvMjgvMjAyNggAAAAJMy8zMS8yMDE2CQAAAAEwJRsOzEql3gifeULMSqXeCBxDSVEuQkFCQS5JUV9JTkNfVEFYLklRX0ZZLTEwAQAAABElggICAAAABDY0MTYBCAAAAAUAAAABMQEAAAAKMTg0NzExMzIwOQMAAAACMzICAAAAAjc1BAAAAAEwBwAAAAk0LzI4LzIwMjYIAAAACTMvMzEvMjAxNQkAAAABMCUbDsxKpd4In3lCzEql3ggdQ0lRLkJBQkEuSVFfVE9UQUxfUkVWLklRX0ZRLTABAAAAESWCAgIAAAAGMjg0ODQzAQgAAAAFAAAAATEBAAAACy0xOTAwOTgxMDEwAwAAAAIzMgIAAAACMjgEAAAAATAHAAAACTQvMjgvMjAyNggAAAAKMTIvMzEvMjAyNQkAAAABMCUbDsxKpd4In3lCzEql3ggdQ0lRLkJBQkEuSVFfVE9UQUxfUkVWLklRX0ZRLTEBAAAAESWCAgIAAAAGMjQ3Nzk1AQgAAAAFAAAAATEBAAAACy0xOTEyNzY2OTc4AwAAAAIzMgIAAAACMjgEAAAAATAHAAAACTQvMjgvMjAyNggAAAAJOS8zMC8yMDI1CQAAAAEwJRsOzEql3gifeULMSqXeCB1DSVEuQkFCQS5JUV9UT1RBTF9S</t>
  </si>
  <si>
    <t>RVYuSVFfRlEtMgEAAAARJYICAgAAAAYyNDc2NTIBCAAAAAUAAAABMQEAAAALLTE5MjYyNDA4MDQDAAAAAjMyAgAAAAIyOAQAAAABMAcAAAAJNC8yOC8yMDI2CAAAAAk2LzMwLzIwMjUJAAAAATAlGw7MSqXeCJ95QsxKpd4IHUNJUS5CQUJBLklRX1RPVEFMX1JFVi5JUV9GUS0zAQAAABElggICAAAABjIzNjQ1NAEIAAAABQAAAAExAQAAAAstMTkzMTczMjYyOQMAAAACMzICAAAAAjI4BAAAAAEwBwAAAAk0LzI4LzIwMjYIAAAACTMvMzEvMjAyNQkAAAABMCUbDsxKpd4In3lCzEql3ggdQ0lRLkJBQkEuSVFfVE9UQUxfUkVWLklRX0ZRLTQBAAAAESWCAgIAAAAGMjgwMTU0AQgAAAAFAAAAATEBAAAACy0xOTEyNzY1NjE0AwAAAAIzMgIAAAACMjgEAAAAATAHAAAACTQvMjgvMjAyNggAAAAKMTIvMzEvMjAyNAkAAAABMCUbDsxKpd4In3lCzEql3ggdQ0lRLkJBQkEuSVFfVE9UQUxfUkVWLklRX0ZRLTUBAAAAESWCAgIAAAAGMjM2NTAzAQgAAAAFAAAAATEBAAAACy0xOTEyNzY2Mjk0AwAAAAIzMgIAAAACMjgEAAAAATAHAAAACTQvMjgvMjAyNggAAAAJOS8zMC8yMDI0CQAAAAEwJRsOzEql3gibUkLMSqXeCB1DSVEuQkFCQS5JUV9UT1RBTF9SRVYuSVFfRlEtNgEAAAARJYICAgAAAAYyNDMyMzYBCAAAAAUAAAABMQEAAAALLTE5MjYyNDA4MTEDAAAAAjMyAgAAAAIyOAQAAAABMAcAAAAJNC8yOC8yMDI2CAAAAAk2</t>
  </si>
  <si>
    <t>LzMwLzIwMjQJAAAAATAlGw7MSqXeCJtSQsxKpd4IHUNJUS5CQUJBLklRX1RPVEFMX1JFVi5JUV9GUS03AQAAABElggICAAAABjIyMTg3NAEIAAAABQAAAAExAQAAAAstMTkzMTczMjY1NAMAAAACMzICAAAAAjI4BAAAAAEwBwAAAAk0LzI4LzIwMjYIAAAACTMvMzEvMjAyNAkAAAABMCUbDsxKpd4Im1JCzEql3ggYQ0lRLkJBQkEuSVFfRUJJVC5JUV9GUS0wAQAAABElggICAAAABTIwMTYwAQgAAAAFAAAAATEBAAAACy0xOTAwOTgxMDEwAwAAAAIzMgIAAAADNDAwBAAAAAEwBwAAAAk0LzI4LzIwMjYIAAAACjEyLzMxLzIwMjUJAAAAATAlGw7MSqXeCJ95QsxKpd4IGENJUS5CQUJBLklRX0VCSVQuSVFfRlEtMQEAAAARJYICAgAAAAQ1MzY1AQgAAAAFAAAAATEBAAAACy0xOTEyNzY2OTc4AwAAAAIzMgIAAAADNDAwBAAAAAEwBwAAAAk0LzI4LzIwMjYIAAAACTkvMzAvMjAyNQkAAAABMCUbDsxKpd4In3lCzEql3ggYQ0lRLkJBQkEuSVFfRUJJVC5JUV9GUS0yAQAAABElggICAAAABTM0OTg4AQgAAAAFAAAAATEBAAAACy0xOTI2MjQwODA0AwAAAAIzMgIAAAADNDAwBAAAAAEwBwAAAAk0LzI4LzIwMjYIAAAACTYvMzAvMjAyNQkAAAABMCUbDsxKpd4In3lCzEql3ggYQ0lRLkJBQkEuSVFfRUJJVC5JUV9GUS0zAQAAABElggICAAAABTMzMDc2AQgAAAAFAAAAATEBAAAACy0xOTMxNzMyNjI5AwAAAAIzMgIAAAAD</t>
  </si>
  <si>
    <t>NDAwBAAAAAEwBwAAAAk0LzI4LzIwMjYIAAAACTMvMzEvMjAyNQkAAAABMCUbDsxKpd4Im1JCzEql3ggYQ0lRLkJBQkEuSVFfRUJJVC5JUV9GUS00AQAAABElggICAAAABTQ4MDAyAQgAAAAFAAAAATEBAAAACy0xOTEyNzY1NjE0AwAAAAIzMgIAAAADNDAwBAAAAAEwBwAAAAk0LzI4LzIwMjYIAAAACjEyLzMxLzIwMjQJAAAAATAlGw7MSqXeCJtSQsxKpd4IGENJUS5CQUJBLklRX0VCSVQuSVFfRlEtNQEAAAARJYICAgAAAAUzNTI0NgEIAAAABQAAAAExAQAAAAstMTkxMjc2NjI5NAMAAAACMzICAAAAAzQwMAQAAAABMAcAAAAJNC8yOC8yMDI2CAAAAAk5LzMwLzIwMjQJAAAAATAlGw7MSqXeCJtSQsxKpd4IGENJUS5CQUJBLklRX0VCSVQuSVFfRlEtNgEAAAARJYICAgAAAAUzOTEzNAEIAAAABQAAAAExAQAAAAstMTkyNjI0MDgxMQMAAAACMzICAAAAAzQwMAQAAAABMAcAAAAJNC8yOC8yMDI2CAAAAAk2LzMwLzIwMjQJAAAAATAlGw7MSqXeCJtSQsxKpd4IGENJUS5CQUJBLklRX0VCSVQuSVFfRlEtNwEAAAARJYICAgAAAAUyOTYxMgEIAAAABQAAAAExAQAAAAstMTkzMTczMjY1NAMAAAACMzICAAAAAzQwMAQAAAABMAcAAAAJNC8yOC8yMDI2CAAAAAkzLzMxLzIwMjQJAAAAATAlGw7MSqXeCJtSQsxKpd4IGkNJUS5CQUJBLklRX0VCSVREQS5JUV9GUS0wAQAAABElggICAAAABTMxNjYxAQgAAAAFAAAAATEB</t>
  </si>
  <si>
    <t>AAAACy0xOTAwOTgxMDEwAwAAAAIzMgIAAAAENDA1MQQAAAABMAcAAAAJNC8yOC8yMDI2CAAAAAoxMi8zMS8yMDI1CQAAAAEwJRsOzEql3gibUkLMSqXeCBpDSVEuQkFCQS5JUV9FQklUREEuSVFfRlEtMQEAAAARJYICAgAAAAUxNzg1MgEIAAAABQAAAAExAQAAAAstMTkxMjc2Njk3OAMAAAACMzICAAAABDQwNTEEAAAAATAHAAAACTQvMjgvMjAyNggAAAAJOS8zMC8yMDI1CQAAAAEwJRsOzEql3gibUkLMSqXeCBpDSVEuQkFCQS5JUV9FQklUREEuSVFfRlEtMgEAAAARJYICAgAAAAU0MjY4NgEIAAAABQAAAAExAQAAAAstMTkyNjI0MDgwNAMAAAACMzICAAAABDQwNTEEAAAAATAHAAAACTQvMjgvMjAyNggAAAAJNi8zMC8yMDI1CQAAAAEwJRsOzEql3gibUkLMSqXeCBpDSVEuQkFCQS5JUV9FQklUREEuSVFfRlEtMwEAAAARJYICAgAAAAU1MDU2NQEIAAAABQAAAAExAQAAAAstMTkzMTczMjYyOQMAAAACMzICAAAABDQwNTEEAAAAATAHAAAACTQvMjgvMjAyNggAAAAJMy8zMS8yMDI1CQAAAAEwJRsOzEql3gibUkLMSqXeCBpDSVEuQkFCQS5JUV9FQklUREEuSVFfRlEtNAEAAAARJYICAgAAAAU1NjYzOQEIAAAABQAAAAExAQAAAAstMTkxMjc2NTYxNAMAAAACMzICAAAABDQwNTEEAAAAATAHAAAACTQvMjgvMjAyNggAAAAKMTIvMzEvMjAyNAkAAAABMCUbDsxKpd4Im1JCzEql3ggaQ0lRLkJBQkEuSVFfRUJJ</t>
  </si>
  <si>
    <t>VERBLklRX0ZRLTUBAAAAESWCAgIAAAAFNDczNDIBCAAAAAUAAAABMQEAAAALLTE5MTI3NjYyOTQDAAAAAjMyAgAAAAQ0MDUxBAAAAAEwBwAAAAk0LzI4LzIwMjYIAAAACTkvMzAvMjAyNAkAAAABMCUbDsxKpd4Im1JCzEql3ggaQ0lRLkJBQkEuSVFfRUJJVERBLklRX0ZRLTYBAAAAESWCAgIAAAAFNDcwNTIBCAAAAAUAAAABMQEAAAALLTE5MjYyNDA4MTEDAAAAAjMyAgAAAAQ0MDUxBAAAAAEwBwAAAAk0LzI4LzIwMjYIAAAACTYvMzAvMjAyNAkAAAABMCUbDsxKpd4Im1JCzEql3ggaQ0lRLkJBQkEuSVFfRUJJVERBLklRX0ZRLTcBAAAAESWCAgIAAAAFNDY4ODcBCAAAAAUAAAABMQEAAAALLTE5MzE3MzI2NTQDAAAAAjMyAgAAAAQ0MDUxBAAAAAEwBwAAAAk0LzI4LzIwMjYIAAAACTMvMzEvMjAyNAkAAAABMCUbDsxKpd4IcStCzEql3ggWQ0lRLkJBQkEuSVFfTkkuSVFfRlEtMAEAAAARJYICAgAAAAUxNjM4MwEIAAAABQAAAAExAQAAAAstMTkwMDk4MTAxMAMAAAACMzICAAAAAjE1BAAAAAEwBwAAAAk0LzI4LzIwMjYIAAAACjEyLzMxLzIwMjUJAAAAATAlGw7MSqXeCHErQsxKpd4IFkNJUS5CQUJBLklRX05JLklRX0ZRLTEBAAAAESWCAgIAAAAFMjEwMTkBCAAAAAUAAAABMQEAAAALLTE5MTI3NjY5NzgDAAAAAjMyAgAAAAIxNQQAAAABMAcAAAAJNC8yOC8yMDI2CAAAAAk5LzMwLzIwMjUJAAAAATAlGw7M</t>
  </si>
  <si>
    <t>SqXeCHErQsxKpd4IFkNJUS5CQUJBLklRX05JLklRX0ZRLTIBAAAAESWCAgIAAAAFNDA2NDkBCAAAAAUAAAABMQEAAAALLTE5MjYyNDA4MDQDAAAAAjMyAgAAAAIxNQQAAAABMAcAAAAJNC8yOC8yMDI2CAAAAAk2LzMwLzIwMjUJAAAAATAlGw7MSqXeCHErQsxKpd4IFkNJUS5CQUJBLklRX05JLklRX0ZRLTMBAAAAESWCAgIAAAAFMTI1NTkBCAAAAAUAAAABMQEAAAALLTE5MzE3MzI2MjkDAAAAAjMyAgAAAAIxNQQAAAABMAcAAAAJNC8yOC8yMDI2CAAAAAkzLzMxLzIwMjUJAAAAATAlGw7MSqXeCHErQsxKpd4IFkNJUS5CQUJBLklRX05JLklRX0ZRLTQBAAAAESWCAgIAAAAFNDkxMjcBCAAAAAUAAAABMQEAAAALLTE5MTI3NjU2MTQDAAAAAjMyAgAAAAIxNQQAAAABMAcAAAAJNC8yOC8yMDI2CAAAAAoxMi8zMS8yMDI0CQAAAAEwJRsOzEql3gibUkLMSqXeCBZDSVEuQkFCQS5JUV9OSS5JUV9GUS01AQAAABElggICAAAABTQ0MDMzAQgAAAAFAAAAATEBAAAACy0xOTEyNzY2Mjk0AwAAAAIzMgIAAAACMTUEAAAAATAHAAAACTQvMjgvMjAyNggAAAAJOS8zMC8yMDI0CQAAAAEwJRsOzEql3ghxK0LMSqXeCBZDSVEuQkFCQS5JUV9OSS5JUV9GUS02AQAAABElggICAAAABTI0MzkwAQgAAAAFAAAAATEBAAAACy0xOTI2MjQwODExAwAAAAIzMgIAAAACMTUEAAAAATAHAAAACTQvMjgvMjAyNggAAAAJNi8zMC8yMDI0</t>
  </si>
  <si>
    <t>CQAAAAEwJRsOzEql3ghxK0LMSqXeCBZDSVEuQkFCQS5JUV9OSS5JUV9GUS03AQAAABElggICAAAABDMzNjUBCAAAAAUAAAABMQEAAAALLTE5MzE3MzI2NTQDAAAAAjMyAgAAAAIxNQQAAAABMAcAAAAJNC8yOC8yMDI2CAAAAAkzLzMxLzIwMjQJAAAAATAlGw7MSqXeCHErQsxKpd4IIENJUS5CQUJBLklRX0lOVEVSRVNUX0VYUC5JUV9GUS0wAQAAABElggICAAAABS0yNTU3AQgAAAAFAAAAATEBAAAACy0xOTAwOTgxMDEwAwAAAAIzMgIAAAACODIEAAAAATAHAAAACTQvMjgvMjAyNggAAAAKMTIvMzEvMjAyNQkAAAABMCUbDsxKpd4IcStCzEql3gggQ0lRLkJBQkEuSVFfSU5URVJFU1RfRVhQLklRX0ZRLTEBAAAAESWCAgIAAAAFLTI1MTcBCAAAAAUAAAABMQEAAAALLTE5MTI3NjY5NzgDAAAAAjMyAgAAAAI4MgQAAAABMAcAAAAJNC8yOC8yMDI2CAAAAAk5LzMwLzIwMjUJAAAAATAlGw7MSqXeCHErQsxKpd4IIENJUS5CQUJBLklRX0lOVEVSRVNUX0VYUC5JUV9GUS0yAQAAABElggICAAAABS0yNDc4AQgAAAAFAAAAATEBAAAACy0xOTI2MjQwODA0AwAAAAIzMgIAAAACODIEAAAAATAHAAAACTQvMjgvMjAyNggAAAAJNi8zMC8yMDI1CQAAAAEwJRsOzEql3ghxK0LMSqXeCCBDSVEuQkFCQS5JUV9JTlRFUkVTVF9FWFAuSVFfRlEtMwEAAAARJYICAgAAAAYtMTAwMTIBCAAAAAUAAAABMQEAAAALLTE5MzE3MzI2</t>
  </si>
  <si>
    <t>MjkDAAAAAjMyAgAAAAI4MgQAAAABMAcAAAAJNC8yOC8yMDI2CAAAAAkzLzMxLzIwMjUJAAAAATAlGw7MSqXeCGkEQsxKpd4IIENJUS5CQUJBLklRX0lOVEVSRVNUX0VYUC5JUV9GUS00AQAAABElggICAAAABS0yNDg1AQgAAAAFAAAAATEBAAAACy0xOTEyNzY1NjE0AwAAAAIzMgIAAAACODIEAAAAATAHAAAACTQvMjgvMjAyNggAAAAKMTIvMzEvMjAyNAkAAAABMCUbDsxKpd4IcStCzEql3gggQ0lRLkJBQkEuSVFfSU5URVJFU1RfRVhQLklRX0ZRLTUBAAAAESWCAgIAAAAFLTI0MjcBCAAAAAUAAAABMQEAAAALLTE5MTI3NjYyOTQDAAAAAjMyAgAAAAI4MgQAAAABMAcAAAAJNC8yOC8yMDI2CAAAAAk5LzMwLzIwMjQJAAAAATAlGw7MSqXeCHErQsxKpd4IIENJUS5CQUJBLklRX0lOVEVSRVNUX0VYUC5JUV9GUS02AQAAABElggICAAAABS0yMTg4AQgAAAAFAAAAATEBAAAACy0xOTI2MjQwODExAwAAAAIzMgIAAAACODIEAAAAATAHAAAACTQvMjgvMjAyNggAAAAJNi8zMC8yMDI0CQAAAAEwJRsOzEql3ghxK0LMSqXeCCBDSVEuQkFCQS5JUV9JTlRFUkVTVF9FWFAuSVFfRlEtNwEAAAARJYICAgAAAAUtMjE3NwEIAAAABQAAAAExAQAAAAstMTkzMTczMjY1NAMAAAACMzICAAAAAjgyBAAAAAEwBwAAAAk0LzI4LzIwMjYIAAAACTMvMzEvMjAyNAkAAAABMCUbDsxKpd4IcStCzEql3ggZQ0lRLkJBQkEuSVFfREFf</t>
  </si>
  <si>
    <t>Q0YuSVFfRlEtMAEAAAARJYICAgAAAAUxMTUwMQEIAAAABQAAAAExAQAAAAstMTkwMDk4MTAxMAMAAAACMzICAAAABDIxNjAEAAAAATAHAAAACTQvMjgvMjAyNggAAAAKMTIvMzEvMjAyNQkAAAABMCUbDsxKpd4IcStCzEql3ggZQ0lRLkJBQkEuSVFfREFfQ0YuSVFfRlEtMQEAAAARJYICAgAAAAUxMjQ4NwEIAAAABQAAAAExAQAAAAstMTkxMjc2Njk3OAMAAAACMzICAAAABDIxNjAEAAAAATAHAAAACTQvMjgvMjAyNggAAAAJOS8zMC8yMDI1CQAAAAEwJRsOzEql3ghpBELMSqXeCBlDSVEuQkFCQS5JUV9EQV9DRi5JUV9GUS0yAQAAABElggICAAAABDc2OTgBCAAAAAUAAAABMQEAAAALLTE5MjYyNDA4MDQDAAAAAjMyAgAAAAQyMTYwBAAAAAEwBwAAAAk0LzI4LzIwMjYIAAAACTYvMzAvMjAyNQkAAAABMCUbDsxKpd4IaQRCzEql3ggZQ0lRLkJBQkEuSVFfREFfQ0YuSVFfRlEtMwEAAAARJYICAgAAAAUxNzQ4OQEIAAAABQAAAAExAQAAAAstMTkzMTczMjYyOQMAAAACMzICAAAABDIxNjAEAAAAATAHAAAACTQvMjgvMjAyNggAAAAJMy8zMS8yMDI1CQAAAAEwJRsOzEql3ghpBELMSqXeCBlDSVEuQkFCQS5JUV9EQV9DRi5JUV9GUS00AQAAABElggICAAAABDg2MzcBCAAAAAUAAAABMQEAAAALLTE5MTI3NjU2MTQDAAAAAjMyAgAAAAQyMTYwBAAAAAEwBwAAAAk0LzI4LzIwMjYIAAAACjEyLzMxLzIwMjQJAAAA</t>
  </si>
  <si>
    <t>ATAlGw7MSqXeCGkEQsxKpd4IGUNJUS5CQUJBLklRX0RBX0NGLklRX0ZRLTUBAAAAESWCAgIAAAAFMTIwOTYBCAAAAAUAAAABMQEAAAALLTE5MTI3NjYyOTQDAAAAAjMyAgAAAAQyMTYwBAAAAAEwBwAAAAk0LzI4LzIwMjYIAAAACTkvMzAvMjAyNAkAAAABMCUbDsxKpd4IaQRCzEql3ggZQ0lRLkJBQkEuSVFfREFfQ0YuSVFfRlEtNgEAAAARJYICAgAAAAQ3OTE4AQgAAAAFAAAAATEBAAAACy0xOTI2MjQwODExAwAAAAIzMgIAAAAEMjE2MAQAAAABMAcAAAAJNC8yOC8yMDI2CAAAAAk2LzMwLzIwMjQJAAAAATAlGw7MSqXeCGkEQsxKpd4IGUNJUS5CQUJBLklRX0RBX0NGLklRX0ZRLTcBAAAAESWCAgIAAAAFMTcyNzUBCAAAAAUAAAABMQEAAAALLTE5MzE3MzI2NTQDAAAAAjMyAgAAAAQyMTYwBAAAAAEwBwAAAAk0LzI4LzIwMjYIAAAACTMvMzEvMjAyNAkAAAABMCUbDsxKpd4IaQRCzEql3ggaQ0lRLkJBQkEuSVFfUkRfRVhQLklRX0ZRLTABAAAAESWCAgIAAAAFMTU0ODABCAAAAAUAAAABMQEAAAALLTE5MDA5ODEwMTADAAAAAjMyAgAAAAMxMDAEAAAAATAHAAAACTQvMjgvMjAyNggAAAAKMTIvMzEvMjAyNQkAAAABMCUbDsxKpd4IaQRCzEql3ggaQ0lRLkJBQkEuSVFfUkRfRVhQLklRX0ZRLTEBAAAAESWCAgIAAAAFMTcwOTUBCAAAAAUAAAABMQEAAAALLTE5MTI3NjY5NzgDAAAAAjMyAgAAAAMxMDAEAAAA</t>
  </si>
  <si>
    <t>ATAHAAAACTQvMjgvMjAyNggAAAAJOS8zMC8yMDI1CQAAAAEwJRsOzEql3ghpBELMSqXeCBpDSVEuQkFCQS5JUV9SRF9FWFAuSVFfRlEtMgEAAAARJYICAgAAAAUxNTAwMQEIAAAABQAAAAExAQAAAAstMTkyNjI0MDgwNAMAAAACMzICAAAAAzEwMAQAAAABMAcAAAAJNC8yOC8yMDI2CAAAAAk2LzMwLzIwMjUJAAAAATAlGw7MSqXeCGkEQsxKpd4IGkNJUS5CQUJBLklRX1JEX0VYUC5JUV9GUS0zAQAAABElggICAAAABTE0OTM0AQgAAAAFAAAAATEBAAAACy0xOTMxNzMyNjI5AwAAAAIzMgIAAAADMTAwBAAAAAEwBwAAAAk0LzI4LzIwMjYIAAAACTMvMzEvMjAyNQkAAAABMCUbDsxKpd4IaQRCzEql3ggaQ0lRLkJBQkEuSVFfUkRfRVhQLklRX0ZRLTQBAAAAESWCAgIAAAAFMTQ2NjIBCAAAAAUAAAABMQEAAAALLTE5MTI3NjU2MTQDAAAAAjMyAgAAAAMxMDAEAAAAATAHAAAACTQvMjgvMjAyNggAAAAKMTIvMzEvMjAyNAkAAAABMCUbDsxKpd4IaQRCzEql3ggaQ0lRLkJBQkEuSVFfUkRfRVhQLklRX0ZRLTUBAAAAESWCAgIAAAAFMTQxODIBCAAAAAUAAAABMQEAAAALLTE5MTI3NjYyOTQDAAAAAjMyAgAAAAMxMDAEAAAAATAHAAAACTQvMjgvMjAyNggAAAAJOS8zMC8yMDI0CQAAAAEwJRsOzEql3gg13UHMSqXeCBpDSVEuQkFCQS5JUV9SRF9FWFAuSVFfRlEtNgEAAAARJYICAgAAAAUxMzM3MwEIAAAABQAAAAEx</t>
  </si>
  <si>
    <t>AQAAAAstMTkyNjI0MDgxMQMAAAACMzICAAAAAzEwMAQAAAABMAcAAAAJNC8yOC8yMDI2CAAAAAk2LzMwLzIwMjQJAAAAATAlGw7MSqXeCDXdQcxKpd4IGkNJUS5CQUJBLklRX1JEX0VYUC5JUV9GUS03AQAAABElggICAAAABTE0MDg1AQgAAAAFAAAAATEBAAAACy0xOTMxNzMyNjU0AwAAAAIzMgIAAAADMTAwBAAAAAEwBwAAAAk0LzI4LzIwMjYIAAAACTMvMzEvMjAyNAkAAAABMCUbDsxKpd4IaQRCzEql3ggZQ0lRLkJBQkEuSVFfQ0FQRVguSVFfRlEtMAEAAAARJYICAgAAAAYtMjg5OTkBCAAAAAUAAAABMQEAAAALLTE5MDA5ODEwMTADAAAAAjMyAgAAAAQyMDIxBAAAAAEwBwAAAAk0LzI4LzIwMjYIAAAACjEyLzMxLzIwMjUJAAAAATAlGw7MSqXeCGkEQsxKpd4IGUNJUS5CQUJBLklRX0NBUEVYLklRX0ZRLTEBAAAAESWCAgIAAAAGLTMxNTAxAQgAAAAFAAAAATEBAAAACy0xOTEyNzY2OTc4AwAAAAIzMgIAAAAEMjAyMQQAAAABMAcAAAAJNC8yOC8yMDI2CAAAAAk5LzMwLzIwMjUJAAAAATAlGw7MSqXeCGkEQsxKpd4IGUNJUS5CQUJBLklRX0NBUEVYLklRX0ZRLTIBAAAAESWCAgIAAAAGLTM4Njc2AQgAAAAFAAAAATEBAAAACy0xOTI2MjQwODA0AwAAAAIzMgIAAAAEMjAyMQQAAAABMAcAAAAJNC8yOC8yMDI2CAAAAAk2LzMwLzIwMjUJAAAAATAlGw7MSqXeCGkEQsxKpd4IGUNJUS5CQUJBLklRX0NBUEVY</t>
  </si>
  <si>
    <t>LklRX0ZRLTMBAAAAESWCAgIAAAAGLTg1OTcyAQgAAAAFAAAAATEBAAAACy0xOTMxNzMyNjI5AwAAAAIzMgIAAAAEMjAyMQQAAAABMAcAAAAJNC8yOC8yMDI2CAAAAAkzLzMxLzIwMjUJAAAAATAlGw7MSqXeCDXdQcxKpd4IGUNJUS5CQUJBLklRX0NBUEVYLklRX0ZRLTQBAAAAESWCAgIAAAAGLTMxNzc1AQgAAAAFAAAAATEBAAAACy0xOTEyNzY1NjE0AwAAAAIzMgIAAAAEMjAyMQQAAAABMAcAAAAJNC8yOC8yMDI2CAAAAAoxMi8zMS8yMDI0CQAAAAEwJRsOzEql3gg13UHMSqXeCBlDSVEuQkFCQS5JUV9DQVBFWC5JUV9GUS01AQAAABElggICAAAABi0yOTU4NQEIAAAABQAAAAExAQAAAAstMTkxMjc2NjI5NAMAAAACMzICAAAABDIwMjEEAAAAATAHAAAACTQvMjgvMjAyNggAAAAJOS8zMC8yMDI0CQAAAAEwJRsOzEql3gg13UHMSqXeCBlDSVEuQkFCQS5JUV9DQVBFWC5JUV9GUS02AQAAABElggIDAAAAAAAlGw7MSqXeCDXdQcxKpd4IGUNJUS5CQUJBLklRX0NBUEVYLklRX0ZRLTcBAAAAESWCAgIAAAAGLTMyMDg3AQgAAAAFAAAAATEBAAAACy0xOTMxNzMyNjU0AwAAAAIzMgIAAAAEMjAyMQQAAAABMAcAAAAJNC8yOC8yMDI2CAAAAAkzLzMxLzIwMjQJAAAAATAlGw7MSqXeCDXdQcxKpd4ILENJUS5CQUJBLklRX09QRVJBVElOR19MRUFTRV9QQVlNRU5UUy5JUV9GUS0wAQAAABElggIDAAAAAAAlGw7MSqXe</t>
  </si>
  <si>
    <t>CDXdQcxKpd4ILENJUS5CQUJBLklRX09QRVJBVElOR19MRUFTRV9QQVlNRU5UUy5JUV9GUS0xAQAAABElggIDAAAAAAAlGw7MSqXeCDXdQcxKpd4ILENJUS5CQUJBLklRX09QRVJBVElOR19MRUFTRV9QQVlNRU5UUy5JUV9GUS0yAQAAABElggIDAAAAAAAlGw7MSqXeCDXdQcxKpd4ILENJUS5CQUJBLklRX09QRVJBVElOR19MRUFTRV9QQVlNRU5UUy5JUV9GUS0zAQAAABElggIDAAAAAAAlGw7MSqXeCDXdQcxKpd4ILENJUS5CQUJBLklRX09QRVJBVElOR19MRUFTRV9QQVlNRU5UUy5JUV9GUS00AQAAABElggIDAAAAAAAlGw7MSqXeCDXdQcxKpd4ILENJUS5CQUJBLklRX09QRVJBVElOR19MRUFTRV9QQVlNRU5UUy5JUV9GUS01AQAAABElggIDAAAAAAAlGw7MSqXeCDXdQcxKpd4ILENJUS5CQUJBLklRX09QRVJBVElOR19MRUFTRV9QQVlNRU5UUy5JUV9GUS02AQAAABElggIDAAAAAAAlGw7MSqXeCDXdQcxKpd4ILENJUS5CQUJBLklRX09QRVJBVElOR19MRUFTRV9QQVlNRU5UUy5JUV9GUS03AQAAABElggIDAAAAAAAlGw7MSqXeCHSiQcxKpd4IHENJUS5CQUJBLklRX0VCVF9FWENMLklRX0ZRLTABAAAAESWCAgIAAAAFMzM2MDYBCAAAAAUAAAABMQEAAAALLTE5MDA5ODEwMTADAAAAAjMyAgAAAAE0BAAAAAEwBwAAAAk0LzI4LzIwMjYIAAAACjEyLzMxLzIwMjUJAAAAATAlGw7MSqXeCHSiQcxKpd4IHENJ</t>
  </si>
  <si>
    <t>US5CQUJBLklRX0VCVF9FWENMLklRX0ZRLTEBAAAAESWCAgIAAAAFMjYxNjIBCAAAAAUAAAABMQEAAAALLTE5MTI3NjY5NzgDAAAAAjMyAgAAAAE0BAAAAAEwBwAAAAk0LzI4LzIwMjYIAAAACTkvMzAvMjAyNQkAAAABMCUbDsxKpd4IdKJBzEql3ggcQ0lRLkJBQkEuSVFfRUJUX0VYQ0wuSVFfRlEtMgEAAAARJYICAgAAAAU1MTI0NwEIAAAABQAAAAExAQAAAAstMTkyNjI0MDgwNAMAAAACMzICAAAAATQEAAAAATAHAAAACTQvMjgvMjAyNggAAAAJNi8zMC8yMDI1CQAAAAEwJRsOzEql3gh0okHMSqXeCBxDSVEuQkFCQS5JUV9FQlRfRVhDTC5JUV9GUS0zAQAAABElggICAAAABTIzNDM4AQgAAAAFAAAAATEBAAAACy0xOTMxNzMyNjI5AwAAAAIzMgIAAAABNAQAAAABMAcAAAAJNC8yOC8yMDI2CAAAAAkzLzMxLzIwMjUJAAAAATAlGw7MSqXeCHSiQcxKpd4IHENJUS5CQUJBLklRX0VCVF9FWENMLklRX0ZRLTQBAAAAESWCAgIAAAAFNjQzODABCAAAAAUAAAABMQEAAAALLTE5MTI3NjU2MTQDAAAAAjMyAgAAAAE0BAAAAAEwBwAAAAk0LzI4LzIwMjYIAAAACjEyLzMxLzIwMjQJAAAAATAlGw7MSqXeCHSiQcxKpd4IHENJUS5CQUJBLklRX0VCVF9FWENMLklRX0ZRLTUBAAAAESWCAgIAAAAFNDk0NDgBCAAAAAUAAAABMQEAAAALLTE5MTI3NjYyOTQDAAAAAjMyAgAAAAE0BAAAAAEwBwAAAAk0LzI4LzIwMjYIAAAA</t>
  </si>
  <si>
    <t>CTkvMzAvMjAyNAkAAAABMCUbDsxKpd4IdKJBzEql3ggcQ0lRLkJBQkEuSVFfRUJUX0VYQ0wuSVFfRlEtNgEAAAARJYICAgAAAAUzODcwOAEIAAAABQAAAAExAQAAAAstMTkyNjI0MDgxMQMAAAACMzICAAAAATQEAAAAATAHAAAACTQvMjgvMjAyNggAAAAJNi8zMC8yMDI0CQAAAAEwJRsOzEql3gh0okHMSqXeCBxDSVEuQkFCQS5JUV9FQlRfRVhDTC5JUV9GUS03AQAAABElggICAAAABTI3MTkwAQgAAAAFAAAAATEBAAAACy0xOTMxNzMyNjU0AwAAAAIzMgIAAAABNAQAAAABMAcAAAAJNC8yOC8yMDI2CAAAAAkzLzMxLzIwMjQJAAAAATAlGw7MSqXeCHSiQcxKpd4IG0NJUS5CQUJBLklRX0lOQ19UQVguSVFfRlEtMAEAAAARJYICAgAAAAQ4NDYwAQgAAAAFAAAAATEBAAAACy0xOTAwOTgxMDEwAwAAAAIzMgIAAAACNzUEAAAAATAHAAAACTQvMjgvMjAyNggAAAAKMTIvMzEvMjAyNQkAAAABMCUbDsxKpd4IdKJBzEql3ggbQ0lRLkJBQkEuSVFfSU5DX1RBWC5JUV9GUS0xAQAAABElggICAAAABDU1NTABCAAAAAUAAAABMQEAAAALLTE5MTI3NjY5NzgDAAAAAjMyAgAAAAI3NQQAAAABMAcAAAAJNC8yOC8yMDI2CAAAAAk5LzMwLzIwMjUJAAAAATAlGw7MSqXeCHSiQcxKpd4IG0NJUS5CQUJBLklRX0lOQ19UQVguSVFfRlEtMgEAAAARJYICAgAAAAQ4ODY1AQgAAAAFAAAAATEBAAAACy0xOTI2MjQwODA0AwAAAAIz</t>
  </si>
  <si>
    <t>MgIAAAACNzUEAAAAATAHAAAACTQvMjgvMjAyNggAAAAJNi8zMC8yMDI1CQAAAAEwJRsOzEql3gh0okHMSqXeCBtDSVEuQkFCQS5JUV9JTkNfVEFYLklRX0ZRLTMBAAAAESWCAgIAAAAENjg1NAEIAAAABQAAAAExAQAAAAstMTkzMTczMjYyOQMAAAACMzICAAAAAjc1BAAAAAEwBwAAAAk0LzI4LzIwMjYIAAAACTMvMzEvMjAyNQkAAAABMCUbDsxKpd4IdKJBzEql3ggbQ0lRLkJBQkEuSVFfSU5DX1RBWC5JUV9GUS00AQAAABElggICAAAABTExMTQ5AQgAAAAFAAAAATEBAAAACy0xOTEyNzY1NjE0AwAAAAIzMgIAAAACNzUEAAAAATAHAAAACTQvMjgvMjAyNggAAAAKMTIvMzEvMjAyNAkAAAABMCUbDsxKpd4IdKJBzEql3ggbQ0lRLkJBQkEuSVFfSU5DX1RBWC5JUV9GUS01AQAAABElggICAAAABDczNzkBCAAAAAUAAAABMQEAAAALLTE5MTI3NjYyOTQDAAAAAjMyAgAAAAI3NQQAAAABMAcAAAAJNC8yOC8yMDI2CAAAAAk5LzMwLzIwMjQJAAAAATAlGw7MSqXeCHSiQcxKpd4IG0NJUS5CQUJBLklRX0lOQ19UQVguSVFfRlEtNgEAAAARJYICAgAAAAUxMDA2MwEIAAAABQAAAAExAQAAAAstMTkyNjI0MDgxMQMAAAACMzICAAAAAjc1BAAAAAEwBwAAAAk0LzI4LzIwMjYIAAAACTYvMzAvMjAyNAkAAAABMCUbDsxKpd4IdKJBzEql3ggbQ0lRLkJBQkEuSVFfSU5DX1RBWC5JUV9GUS03AQAAABElggICAAAABDU3MjIB</t>
  </si>
  <si>
    <t>CAAAAAUAAAABMQEAAAALLTE5MzE3MzI2NTQDAAAAAjMyAgAAAAI3NQQAAAABMAcAAAAJNC8yOC8yMDI2CAAAAAkzLzMxLzIwMjQJAAAAATAlGw7MSqXeCHSiQcxKpd4IHkNJUS5CQUJBLklRX0NBU0hfRVFVSVYuSVFfRlktMAEAAAARJYICAgAAAAYxNDU0ODcBCAAAAAUAAAABMQEAAAALLTE5MzE3MzUzMTADAAAAAjMyAgAAAAQxMDk2BAAAAAEwBwAAAAk0LzI4LzIwMjYIAAAACTMvMzEvMjAyNQkAAAABMCUbDsxKpd4IdKJBzEql3ggeQ0lRLkJBQkEuSVFfQ0FTSF9FUVVJVi5JUV9GWS0xAQAAABElggICAAAABjI0ODEyNQEIAAAABQAAAAExAQAAAAstMTkzMTczNTI5MgMAAAACMzICAAAABDEwOTYEAAAAATAHAAAACTQvMjgvMjAyNggAAAAJMy8zMS8yMDI0CQAAAAEwJRsOzEql3ggGe0HMSqXeCB5DSVEuQkFCQS5JUV9DQVNIX0VRVUlWLklRX0ZZLTIBAAAAESWCAgIAAAAGMTkzMDg2AQgAAAAFAAAAATEBAAAACy0xOTMxNzM1MjgzAwAAAAIzMgIAAAAEMTA5NgQAAAABMAcAAAAJNC8yOC8yMDI2CAAAAAkzLzMxLzIwMjMJAAAAATAlGw7MSqXeCHSiQcxKpd4IHkNJUS5CQUJBLklRX0NBU0hfRVFVSVYuSVFfRlktMwEAAAARJYICAgAAAAYxODk4OTgBCAAAAAUAAAABMQEAAAALLTE5OTI0NzU1NzcDAAAAAjMyAgAAAAQxMDk2BAAAAAEwBwAAAAk0LzI4LzIwMjYIAAAACTMvMzEvMjAyMgkAAAABMCUbDsxK</t>
  </si>
  <si>
    <t>pd4IdKJBzEql3ggeQ0lRLkJBQkEuSVFfQ0FTSF9FUVVJVi5JUV9GWS00AQAAABElggICAAAABjMyMTI2MgEIAAAABQAAAAExAQAAAAstMjAzNzU0ODMyMQMAAAACMzICAAAABDEwOTYEAAAAATAHAAAACTQvMjgvMjAyNggAAAAJMy8zMS8yMDIxCQAAAAEwJRsOzEql3gh0okHMSqXeCB5DSVEuQkFCQS5JUV9DQVNIX0VRVUlWLklRX0ZZLTUBAAAAESWCAgIAAAAGMzMwNTAzAQgAAAAFAAAAATEBAAAACy0yMDg4MTA1MTIzAwAAAAIzMgIAAAAEMTA5NgQAAAABMAcAAAAJNC8yOC8yMDI2CAAAAAkzLzMxLzIwMjAJAAAAATAlGw7MSqXeCHSiQcxKpd4IHkNJUS5CQUJBLklRX0NBU0hfRVFVSVYuSVFfRlktNgEAAAARJYICAgAAAAYxODk5NzYBCAAAAAUAAAABMQEAAAALLTIxNDE1MjA3MjgDAAAAAjMyAgAAAAQxMDk2BAAAAAEwBwAAAAk0LzI4LzIwMjYIAAAACTMvMzEvMjAxOQkAAAABMCUbDsxKpd4IdKJBzEql3ggeQ0lRLkJBQkEuSVFfQ0FTSF9FUVVJVi5JUV9GWS03AQAAABElggICAAAABjE5OTMwOQEIAAAABQAAAAExAQAAAAoyMDc4NjAwOTM3AwAAAAIzMgIAAAAEMTA5NgQAAAABMAcAAAAJNC8yOC8yMDI2CAAAAAkzLzMxLzIwMTgJAAAAATAlGw7MSqXeCAZ7QcxKpd4IHkNJUS5CQUJBLklRX0NBU0hfRVFVSVYuSVFfRlktOAEAAAARJYICAgAAAAYxNDM3MzYBCAAAAAUAAAABMQEAAAAKMTk2NzQ3NDE1</t>
  </si>
  <si>
    <t>MwMAAAACMzICAAAABDEwOTYEAAAAATAHAAAACTQvMjgvMjAyNggAAAAJMy8zMS8yMDE3CQAAAAEwJRsOzEql3ggGe0HMSqXeCB5DSVEuQkFCQS5JUV9DQVNIX0VRVUlWLklRX0ZZLTkBAAAAESWCAgIAAAAGMTA2ODE4AQgAAAAFAAAAATEBAAAACjE4OTc0NTQ2NDADAAAAAjMyAgAAAAQxMDk2BAAAAAEwBwAAAAk0LzI4LzIwMjYIAAAACTMvMzEvMjAxNgkAAAABMCUbDsxKpd4IBntBzEql3ggfQ0lRLkJBQkEuSVFfQ0FTSF9FUVVJVi5JUV9GWS0xMAEAAAARJYICAgAAAAYxMDgxOTMBCAAAAAUAAAABMQEAAAAKMTg0NzExMzIwOQMAAAACMzICAAAABDEwOTYEAAAAATAHAAAACTQvMjgvMjAyNggAAAAJMy8zMS8yMDE1CQAAAAEwJRsOzEql3ggGe0HMSqXeCCBDSVEuQkFCQS5JUV9UT1RBTF9FUVVJVFkuSVFfRlktMAEAAAARJYICAgAAAAcxMDkwMTA2AQgAAAAFAAAAATEBAAAACy0xOTMxNzM1MzEwAwAAAAIzMgIAAAAEMTI3NQQAAAABMAcAAAAJNC8yOC8yMDI2CAAAAAkzLzMxLzIwMjUJAAAAATAlGw7MSqXeCAZ7QcxKpd4IIENJUS5CQUJBLklRX1RPVEFMX0VRVUlUWS5JUV9GWS0xAQAAABElggICAAAABzExMTI1OTkBCAAAAAUAAAABMQEAAAALLTE5MzE3MzUyOTIDAAAAAjMyAgAAAAQxMjc1BAAAAAEwBwAAAAk0LzI4LzIwMjYIAAAACTMvMzEvMjAyNAkAAAABMCUbDsxKpd4IBntBzEql3gggQ0lRLkJB</t>
  </si>
  <si>
    <t>QkEuSVFfVE9UQUxfRVFVSVRZLklRX0ZZLTIBAAAAESWCAgIAAAAHMTEyMjkyMQEIAAAABQAAAAExAQAAAAstMTkzMTczNTI4MwMAAAACMzICAAAABDEyNzUEAAAAATAHAAAACTQvMjgvMjAyNggAAAAJMy8zMS8yMDIzCQAAAAEwJRsOzEql3ggGe0HMSqXeCCBDSVEuQkFCQS5JUV9UT1RBTF9FUVVJVFkuSVFfRlktMwEAAAARJYICAgAAAAcxMDgyMTkzAQgAAAAFAAAAATEBAAAACy0xOTkyNDc1NTc3AwAAAAIzMgIAAAAEMTI3NQQAAAABMAcAAAAJNC8yOC8yMDI2CAAAAAkzLzMxLzIwMjIJAAAAATAlGw7MSqXeCAZ7QcxKpd4IIENJUS5CQUJBLklRX1RPVEFMX0VRVUlUWS5JUV9GWS00AQAAABElggICAAAABzEwODM2MzQBCAAAAAUAAAABMQEAAAALLTIwMzc1NDgzMjEDAAAAAjMyAgAAAAQxMjc1BAAAAAEwBwAAAAk0LzI4LzIwMjYIAAAACTMvMzEvMjAyMQkAAAABMCUbDsxKpd4IBntBzEql3gggQ0lRLkJBQkEuSVFfVE9UQUxfRVFVSVRZLklRX0ZZLTUBAAAAESWCAgIAAAAGODc5NjUxAQgAAAAFAAAAATEBAAAACy0yMDg4MTA1MTIzAwAAAAIzMgIAAAAEMTI3NQQAAAABMAcAAAAJNC8yOC8yMDI2CAAAAAkzLzMxLzIwMjAJAAAAATAlGw7MSqXeCAZ7QcxKpd4IIENJUS5CQUJBLklRX1RPVEFMX0VRVUlUWS5JUV9GWS02AQAAABElggICAAAABjYwODU4MwEIAAAABQAAAAExAQAAAAstMjE0MTUyMDcyOAMA</t>
  </si>
  <si>
    <t>AAACMzICAAAABDEyNzUEAAAAATAHAAAACTQvMjgvMjAyNggAAAAJMy8zMS8yMDE5CQAAAAEwJRsOzEql3ggGe0HMSqXeCCBDSVEuQkFCQS5JUV9UT1RBTF9FUVVJVFkuSVFfRlktNwEAAAARJYICAgAAAAY0MzY0MzgBCAAAAAUAAAABMQEAAAAKMjA3ODYwMDkzNwMAAAACMzICAAAABDEyNzUEAAAAATAHAAAACTQvMjgvMjAyNggAAAAJMy8zMS8yMDE4CQAAAAEwJRsOzEql3ggGe0HMSqXeCCBDSVEuQkFCQS5JUV9UT1RBTF9FUVVJVFkuSVFfRlktOAEAAAARJYICAgAAAAYzMjExMjkBCAAAAAUAAAABMQEAAAAKMTk2NzQ3NDE1MwMAAAACMzICAAAABDEyNzUEAAAAATAHAAAACTQvMjgvMjAyNggAAAAJMy8zMS8yMDE3CQAAAAEwJRsOzEql3gjzbEHMSqXeCCBDSVEuQkFCQS5JUV9UT1RBTF9FUVVJVFkuSVFfRlktOQEAAAARJYICAgAAAAYyNDk1MzkBCAAAAAUAAAABMQEAAAAKMTg5NzQ1NDY0MAMAAAACMzICAAAABDEyNzUEAAAAATAHAAAACTQvMjgvMjAyNggAAAAJMy8zMS8yMDE2CQAAAAEwJRsOzEql3gjzbEHMSqXeCCFDSVEuQkFCQS5JUV9UT1RBTF9FUVVJVFkuSVFfRlktMTABAAAAESWCAgIAAAAGMTU3NDEzAQgAAAAFAAAAATEBAAAACjE4NDcxMTMyMDkDAAAAAjMyAgAAAAQxMjc1BAAAAAEwBwAAAAk0LzI4LzIwMjYIAAAACTMvMzEvMjAxNQkAAAABMCUbDsxKpd4I82xBzEql3ggeQ0lRLkJBQkEu</t>
  </si>
  <si>
    <t>SVFfVE9UQUxfREVCVC5JUV9GWS0wAQAAABElggICAAAABjI0ODExMAEIAAAABQAAAAExAQAAAAstMTkzMTczNTMxMAMAAAACMzICAAAABDQxNzMEAAAAATAHAAAACTQvMjgvMjAyNggAAAAJMy8zMS8yMDI1CQAAAAEwJRsOzEql3gjzbEHMSqXeCB5DSVEuQkFCQS5JUV9UT1RBTF9ERUJULklRX0ZZLTEBAAAAESWCAgIAAAAGMjA1NjE0AQgAAAAFAAAAATEBAAAACy0xOTMxNzM1MjkyAwAAAAIzMgIAAAAENDE3MwQAAAABMAcAAAAJNC8yOC8yMDI2CAAAAAkzLzMxLzIwMjQJAAAAATAlGw7MSqXeCPNsQcxKpd4IHkNJUS5CQUJBLklRX1RPVEFMX0RFQlQuSVFfRlktMgEAAAARJYICAgAAAAYxOTU1NjkBCAAAAAUAAAABMQEAAAALLTE5MzE3MzUyODMDAAAAAjMyAgAAAAQ0MTczBAAAAAEwBwAAAAk0LzI4LzIwMjYIAAAACTMvMzEvMjAyMwkAAAABMCUbDsxKpd4IBntBzEql3ggeQ0lRLkJBQkEuSVFfVE9UQUxfREVCVC5JUV9GWS0zAQAAABElggICAAAABjE3NjU5NwEIAAAABQAAAAExAQAAAAstMTk5MjQ3NTU3NwMAAAACMzICAAAABDQxNzMEAAAAATAHAAAACTQvMjgvMjAyNggAAAAJMy8zMS8yMDIyCQAAAAEwJRsOzEql3gjVRUHMSqXeCB5DSVEuQkFCQS5JUV9UT1RBTF9ERUJULklRX0ZZLTQBAAAAESWCAgIAAAAGMTgxNDM5AQgAAAAFAAAAATEBAAAACy0yMDM3NTQ4MzIxAwAAAAIzMgIAAAAENDE3MwQA</t>
  </si>
  <si>
    <t>AAABMAcAAAAJNC8yOC8yMDI2CAAAAAkzLzMxLzIwMjEJAAAAATAlGw7MSqXeCNVFQcxKpd4IHkNJUS5CQUJBLklRX1RPVEFMX0RFQlQuSVFfRlktNQEAAAARJYICAgAAAAYxNDcyODcBCAAAAAUAAAABMQEAAAALLTIwODgxMDUxMjMDAAAAAjMyAgAAAAQ0MTczBAAAAAEwBwAAAAk0LzI4LzIwMjYIAAAACTMvMzEvMjAyMAkAAAABMCUbDsxKpd4I1UVBzEql3ggeQ0lRLkJBQkEuSVFfVE9UQUxfREVCVC5JUV9GWS02AQAAABElggICAAAABjEzNDMwMAEIAAAABQAAAAExAQAAAAstMjE0MTUyMDcyOAMAAAACMzICAAAABDQxNzMEAAAAATAHAAAACTQvMjgvMjAyNggAAAAJMy8zMS8yMDE5CQAAAAEwJRsOzEql3gjVRUHMSqXeCB5DSVEuQkFCQS5JUV9UT1RBTF9ERUJULklRX0ZZLTcBAAAAESWCAgIAAAAGMTI1NTUzAQgAAAAFAAAAATEBAAAACjIwNzg2MDA5MzcDAAAAAjMyAgAAAAQ0MTczBAAAAAEwBwAAAAk0LzI4LzIwMjYIAAAACTMvMzEvMjAxOAkAAAABMCUbDsxKpd4I1UVBzEql3ggeQ0lRLkJBQkEuSVFfVE9UQUxfREVCVC5JUV9GWS04AQAAABElggICAAAABTkxNzMyAQgAAAAFAAAAATEBAAAACjE5Njc0NzQxNTMDAAAAAjMyAgAAAAQ0MTczBAAAAAEwBwAAAAk0LzI4LzIwMjYIAAAACTMvMzEvMjAxNwkAAAABMCUbDsxKpd4I1UVBzEql3ggeQ0lRLkJBQkEuSVFfVE9UQUxfREVCVC5JUV9GWS05AQAA</t>
  </si>
  <si>
    <t>ABElggICAAAABTU3NTY2AQgAAAAFAAAAATEBAAAACjE4OTc0NTQ2NDADAAAAAjMyAgAAAAQ0MTczBAAAAAEwBwAAAAk0LzI4LzIwMjYIAAAACTMvMzEvMjAxNgkAAAABMCUbDsxKpd4I1UVBzEql3ggfQ0lRLkJBQkEuSVFfVE9UQUxfREVCVC5JUV9GWS0xMAEAAAARJYICAgAAAAU1MjU5MwEIAAAABQAAAAExAQAAAAoxODQ3MTEzMjA5AwAAAAIzMgIAAAAENDE3MwQAAAABMAcAAAAJNC8yOC8yMDI2CAAAAAkzLzMxLzIwMTUJAAAAATCdQg7MSqXeCNVFQcxKpd4IMUNJUS5CQUJBLklRX1RPVEFMX09VVFNUQU5ESU5HX0ZJTElOR19EQVRFLklRX0ZZLTABAAAAESWCAgIAAAALMjMxOS4xNTgwMTYBBAAAAAUAAAABNQEAAAALLTE5MzE3MzUzMTACAAAABTI0MTUzBgAAAAEwnUIOzEql3gjVRUHMSqXeCDFDSVEuQkFCQS5JUV9UT1RBTF9PVVRTVEFORElOR19GSUxJTkdfREFURS5JUV9GWS0xAQAAABElggICAAAACzI0MTguMTg1Njc1AQQAAAAFAAAAATUBAAAACy0xOTMxNzM1MjkyAgAAAAUyNDE1MwYAAAABMJ1CDsxKpd4I1UVBzEql3ggxQ0lRLkJBQkEuSVFfVE9UQUxfT1VUU1RBTkRJTkdfRklMSU5HX0RBVEUuSVFfRlktMgEAAAARJYICAgAAAAsyNTQ2Ljc3OTc1NQEEAAAABQAAAAE1AQAAAAstMTkzMTczNTI4MwIAAAAFMjQxNTMGAAAAATCdQg7MSqXeCNVFQcxKpd4IMUNJUS5CQUJBLklRX1RPVEFMX09V</t>
  </si>
  <si>
    <t>VFNUQU5ESU5HX0ZJTElOR19EQVRFLklRX0ZZLTMBAAAAESWCAgIAAAALMjY0OC4xMzg0NDMBBAAAAAUAAAABNQEAAAALLTE5OTI0NzU1NzcCAAAABTI0MTUzBgAAAAEwnUIOzEql3gjVRUHMSqXeCDFDSVEuQkFCQS5JUV9UT1RBTF9PVVRTVEFORElOR19GSUxJTkdfREFURS5JUV9GWS00AQAAABElggICAAAACzI3MTguMTc5MjQ4AQQAAAAFAAAAATUBAAAACy0yMDM3NTQ4MzIxAgAAAAUyNDE1MwYAAAABMJ1CDsxKpd4IzB5BzEql3ggxQ0lRLkJBQkEuSVFfVE9UQUxfT1VUU1RBTkRJTkdfRklMSU5HX0RBVEUuSVFfRlktNQEAAAARJYICAgAAAAsyNzA0LjY2MzE1MwEEAAAABQAAAAE1AQAAAAstMjA4ODEwNTEyMwIAAAAFMjQxNTMGAAAAATCdQg7MSqXeCNVFQcxKpd4IMUNJUS5CQUJBLklRX1RPVEFMX09VVFNUQU5ESU5HX0ZJTElOR19EQVRFLklRX0ZZLTYBAAAAESWCAgIAAAALMjYwMy41MzE2OTMBBAAAAAUAAAABNQEAAAALLTIxNDE1MjA3MjgCAAAABTI0MTUzBgAAAAEwnUIOzEql3gjVRUHMSqXeCDFDSVEuQkFCQS5JUV9UT1RBTF9PVVRTVEFORElOR19GSUxJTkdfREFURS5JUV9GWS03AQAAABElggICAAAACDI1NTMuMTI1AQQAAAAFAAAAATUBAAAACjIwNzg2MDA5MzcCAAAABTI0MTUzBgAAAAEwnUIOzEql3gjVRUHMSqXeCDFDSVEuQkFCQS5JUV9UT1RBTF9PVVRTVEFORElOR19GSUxJTkdfREFU</t>
  </si>
  <si>
    <t>RS5JUV9GWS04AQAAABElggICAAAABDI1MzABBAAAAAUAAAABNQEAAAAKMTk2NzQ3NDE1MwIAAAAFMjQxNTMGAAAAATCdQg7MSqXeCNVFQcxKpd4IMUNJUS5CQUJBLklRX1RPVEFMX09VVFNUQU5ESU5HX0ZJTElOR19EQVRFLklRX0ZZLTkBAAAAESWCAgIAAAALMjQ5NS4yNzY2ODIBBAAAAAUAAAABNQEAAAAKMTg5NzQ1NDY0MAIAAAAFMjQxNTMGAAAAATCdQg7MSqXeCNVFQcxKpd4IMkNJUS5CQUJBLklRX1RPVEFMX09VVFNUQU5ESU5HX0ZJTElOR19EQVRFLklRX0ZZLTEwAQAAABElggICAAAACzI1MTIuNDI3NTA0AQQAAAAFAAAAATUBAAAACjE4NDcxMTMyMDkCAAAABTI0MTUzBgAAAAEwnUIOzEql3gjMHkHMSqXeCB1DSVEuQkFCQS5JUV9MVF9JTlZFU1QuSVFfRlktMAEAAAARJYICAgAAAAY1NjY5ODcBCAAAAAUAAAABMQEAAAALLTE5MzE3MzUzMTADAAAAAjMyAgAAAAQxMDU0BAAAAAEwBwAAAAk0LzI4LzIwMjYIAAAACTMvMzEvMjAyNQkAAAABMJ1CDsxKpd4IzB5BzEql3ggdQ0lRLkJBQkEuSVFfTFRfSU5WRVNULklRX0ZZLTEBAAAAESWCAgIAAAAGNDI0MDczAQgAAAAFAAAAATEBAAAACy0xOTMxNzM1MjkyAwAAAAIzMgIAAAAEMTA1NAQAAAABMAcAAAAJNC8yOC8yMDI2CAAAAAkzLzMxLzIwMjQJAAAAATCdQg7MSqXeCMweQcxKpd4IHUNJUS5CQUJBLklRX0xUX0lOVkVTVC5JUV9GWS0yAQAAABEl</t>
  </si>
  <si>
    <t>ggICAAAABjQ1MzExNwEIAAAABQAAAAExAQAAAAstMTkzMTczNTI4MwMAAAACMzICAAAABDEwNTQEAAAAATAHAAAACTQvMjgvMjAyNggAAAAJMy8zMS8yMDIzCQAAAAEwnUIOzEql3gjMHkHMSqXeCB1DSVEuQkFCQS5JUV9MVF9JTlZFU1QuSVFfRlktMwEAAAARJYICAgAAAAY0NDMyNTMBCAAAAAUAAAABMQEAAAALLTE5OTI0NzU1NzcDAAAAAjMyAgAAAAQxMDU0BAAAAAEwBwAAAAk0LzI4LzIwMjYIAAAACTMvMzEvMjAyMgkAAAABMJ1CDsxKpd4IzB5BzEql3ggdQ0lRLkJBQkEuSVFfTFRfSU5WRVNULklRX0ZZLTQBAAAAESWCAgIAAAAGNDM3NDEwAQgAAAAFAAAAATEBAAAACy0yMDM3NTQ4MzIxAwAAAAIzMgIAAAAEMTA1NAQAAAABMAcAAAAJNC8yOC8yMDI2CAAAAAkzLzMxLzIwMjEJAAAAATCdQg7MSqXeCMweQcxKpd4IHUNJUS5CQUJBLklRX0xUX0lOVkVTVC5JUV9GWS01AQAAABElggICAAAABjM1MDk2MQEIAAAABQAAAAExAQAAAAstMjA4ODEwNTEyMwMAAAACMzICAAAABDEwNTQEAAAAATAHAAAACTQvMjgvMjAyNggAAAAJMy8zMS8yMDIwCQAAAAEwnUIOzEql3gjMHkHMSqXeCB1DSVEuQkFCQS5JUV9MVF9JTlZFU1QuSVFfRlktNgEAAAARJYICAgAAAAYyNDE1NDQBCAAAAAUAAAABMQEAAAALLTIxNDE1MjA3MjgDAAAAAjMyAgAAAAQxMDU0BAAAAAEwBwAAAAk0LzI4LzIwMjYIAAAACTMvMzEvMjAx</t>
  </si>
  <si>
    <t>OQkAAAABMJ1CDsxKpd4IzB5BzEql3ggdQ0lRLkJBQkEuSVFfTFRfSU5WRVNULklRX0ZZLTcBAAAAESWCAgIAAAAGMTc4NDM0AQgAAAAFAAAAATEBAAAACjIwNzg2MDA5MzcDAAAAAjMyAgAAAAQxMDU0BAAAAAEwBwAAAAk0LzI4LzIwMjYIAAAACTMvMzEvMjAxOAkAAAABMJ1CDsxKpd4IzB5BzEql3ggdQ0lRLkJBQkEuSVFfTFRfSU5WRVNULklRX0ZZLTgBAAAAESWCAgIAAAAGMTUyMjU2AQgAAAAFAAAAATEBAAAACjE5Njc0NzQxNTMDAAAAAjMyAgAAAAQxMDU0BAAAAAEwBwAAAAk0LzI4LzIwMjYIAAAACTMvMzEvMjAxNwkAAAABMJ1CDsxKpd4IzB5BzEql3ggdQ0lRLkJBQkEuSVFfTFRfSU5WRVNULklRX0ZZLTkBAAAAESWCAgIAAAAGMTIwODUzAQgAAAAFAAAAATEBAAAACjE4OTc0NTQ2NDADAAAAAjMyAgAAAAQxMDU0BAAAAAEwBwAAAAk0LzI4LzIwMjYIAAAACTMvMzEvMjAxNgkAAAABMJ1CDsxKpd4IzB5BzEql3ggeQ0lRLkJBQkEuSVFfTFRfSU5WRVNULklRX0ZZLTEwAQAAABElggICAAAABTQ4NDg4AQgAAAAFAAAAATEBAAAACjE4NDcxMTMyMDkDAAAAAjMyAgAAAAQxMDU0BAAAAAEwBwAAAAk0LzI4LzIwMjYIAAAACTMvMzEvMjAxNQkAAAABMJ1CDsxKpd4IzB5BzEql3gglQ0lRLkJBQkEuSVFfTUlOT1JJVFlfSU5URVJFU1QuSVFfRlktMAEAAAARJYICAgAAAAU4MDI0OAEIAAAABQAAAAExAQAA</t>
  </si>
  <si>
    <t>AAstMTkzMTczNTMxMAMAAAACMzICAAAABDEwNTIEAAAAATAHAAAACTQvMjgvMjAyNggAAAAJMy8zMS8yMDI1CQAAAAEwnUIOzEql3gjO90DMSqXeCCVDSVEuQkFCQS5JUV9NSU5PUklUWV9JTlRFUkVTVC5JUV9GWS0xAQAAABElggICAAAABjEyNjA1NQEIAAAABQAAAAExAQAAAAstMTkzMTczNTI5MgMAAAACMzICAAAABDEwNTIEAAAAATAHAAAACTQvMjgvMjAyNggAAAAJMy8zMS8yMDI0CQAAAAEwnUIOzEql3gjO90DMSqXeCCVDSVEuQkFCQS5JUV9NSU5PUklUWV9JTlRFUkVTVC5JUV9GWS0yAQAAABElggICAAAABjEzMzI2NAEIAAAABQAAAAExAQAAAAstMTkzMTczNTI4MwMAAAACMzICAAAABDEwNTIEAAAAATAHAAAACTQvMjgvMjAyNggAAAAJMy8zMS8yMDIzCQAAAAEwnUIOzEql3gjO90DMSqXeCCVDSVEuQkFCQS5JUV9NSU5PUklUWV9JTlRFUkVTVC5JUV9GWS0zAQAAABElggICAAAABjEzMzcxNAEIAAAABQAAAAExAQAAAAstMTk5MjQ3NTU3NwMAAAACMzICAAAABDEwNTIEAAAAATAHAAAACTQvMjgvMjAyNggAAAAJMy8zMS8yMDIyCQAAAAEwnUIOzEql3gjMHkHMSqXeCCVDSVEuQkFCQS5JUV9NSU5PUklUWV9JTlRFUkVTVC5JUV9GWS00AQAAABElggICAAAABjE0NjE2NAEIAAAABQAAAAExAQAAAAstMjAzNzU0ODMyMQMAAAACMzICAAAABDEwNTIEAAAAATAHAAAACTQvMjgvMjAyNggAAAAJMy8z</t>
  </si>
  <si>
    <t>MS8yMDIxCQAAAAEwnUIOzEql3gjMHkHMSqXeCCVDSVEuQkFCQS5JUV9NSU5PUklUWV9JTlRFUkVTVC5JUV9GWS01AQAAABElggICAAAABjEyNDI1MAEIAAAABQAAAAExAQAAAAstMjA4ODEwNTEyMwMAAAACMzICAAAABDEwNTIEAAAAATAHAAAACTQvMjgvMjAyNggAAAAJMy8zMS8yMDIwCQAAAAEwnUIOzEql3gjMHkHMSqXeCCVDSVEuQkFCQS5JUV9NSU5PUklUWV9JTlRFUkVTVC5JUV9GWS02AQAAABElggICAAAABjExNjMyNgEIAAAABQAAAAExAQAAAAstMjE0MTUyMDcyOAMAAAACMzICAAAABDEwNTIEAAAAATAHAAAACTQvMjgvMjAyNggAAAAJMy8zMS8yMDE5CQAAAAEwnUIOzEql3gjO90DMSqXeCCVDSVEuQkFCQS5JUV9NSU5PUklUWV9JTlRFUkVTVC5JUV9GWS03AQAAABElggICAAAABTcwNjE2AQgAAAAFAAAAATEBAAAACjIwNzg2MDA5MzcDAAAAAjMyAgAAAAQxMDUyBAAAAAEwBwAAAAk0LzI4LzIwMjYIAAAACTMvMzEvMjAxOAkAAAABMJ1CDsxKpd4IzvdAzEql3gglQ0lRLkJBQkEuSVFfTUlOT1JJVFlfSU5URVJFU1QuSVFfRlktOAEAAAARJYICAgAAAAU0MjMzMAEIAAAABQAAAAExAQAAAAoxOTY3NDc0MTUzAwAAAAIzMgIAAAAEMTA1MgQAAAABMAcAAAAJNC8yOC8yMDI2CAAAAAkzLzMxLzIwMTcJAAAAATCdQg7MSqXeCM73QMxKpd4IJUNJUS5CQUJBLklRX01JTk9SSVRZX0lOVEVSRVNULklR</t>
  </si>
  <si>
    <t>X0ZZLTkBAAAAESWCAgIAAAAFMzI1NTIBCAAAAAUAAAABMQEAAAAKMTg5NzQ1NDY0MAMAAAACMzICAAAABDEwNTIEAAAAATAHAAAACTQvMjgvMjAyNggAAAAJMy8zMS8yMDE2CQAAAAEwnUIOzEql3gjO90DMSqXeCCZDSVEuQkFCQS5JUV9NSU5PUklUWV9JTlRFUkVTVC5JUV9GWS0xMAEAAAARJYICAgAAAAUxMTk3NAEIAAAABQAAAAExAQAAAAoxODQ3MTEzMjA5AwAAAAIzMgIAAAAEMTA1MgQAAAABMAcAAAAJNC8yOC8yMDI2CAAAAAkzLzMxLzIwMTUJAAAAATCdQg7MSqXeCM73QMxKpd4IHkNJUS5CQUJBLklRX0NBU0hfRVFVSVYuSVFfRlEtMAEAAAARJYICAgAAAAYxMjgxNzQBCAAAAAUAAAABMQEAAAALLTE5MDA5ODEwMTADAAAAAjMyAgAAAAQxMDk2BAAAAAEwBwAAAAk0LzI4LzIwMjYIAAAACjEyLzMxLzIwMjUJAAAAATCdQg7MSqXeCM73QMxKpd4IIENJUS5CQUJBLklRX1RPVEFMX0VRVUlUWS5JUV9GUS0wAQAAABElggICAAAABzExMDU5MjgBCAAAAAUAAAABMQEAAAALLTE5MDA5ODEwMTADAAAAAjMyAgAAAAQxMjc1BAAAAAEwBwAAAAk0LzI4LzIwMjYIAAAACjEyLzMxLzIwMjUJAAAAATCdQg7MSqXeCM73QMxKpd4IHkNJUS5CQUJBLklRX1RPVEFMX0RFQlQuSVFfRlEtMAEAAAARJYICAgAAAAYyODY1MjkBCAAAAAUAAAABMQEAAAALLTE5MDA5ODEwMTADAAAAAjMyAgAAAAQ0MTczBAAAAAEwBwAA</t>
  </si>
  <si>
    <t>AAk0LzI4LzIwMjYIAAAACjEyLzMxLzIwMjUJAAAAATCdQg7MSqXeCM73QMxKpd4IMUNJUS5CQUJBLklRX1RPVEFMX09VVFNUQU5ESU5HX0ZJTElOR19EQVRFLklRX0ZRLTABAAAAESWCAgIAAAAEMjMyMQEEAAAABQAAAAE1AQAAAAstMTkwMDk4MTAxMAIAAAAFMjQxNTMGAAAAATCdQg7MSqXeCM73QMxKpd4IHUNJUS5CQUJBLklRX0xUX0lOVkVTVC5JUV9GUS0wAQAAABElggICAAAABjY0OTIxNgEIAAAABQAAAAExAQAAAAstMTkwMDk4MTAxMAMAAAACMzICAAAABDEwNTQEAAAAATAHAAAACTQvMjgvMjAyNggAAAAKMTIvMzEvMjAyNQkAAAABMJ1CDsxKpd4IzvdAzEql3gglQ0lRLkJBQkEuSVFfTUlOT1JJVFlfSU5URVJFU1QuSVFfRlEtMAEAAAARJYICAgAAAAU2NjI3MwEIAAAABQAAAAExAQAAAAstMTkwMDk4MTAxMAMAAAACMzICAAAABDEwNTIEAAAAATAHAAAACTQvMjgvMjAyNggAAAAKMTIvMzEvMjAyNQkAAAABMJ1CDsxKpd4IzvdAzEql3ggbQ0lRLkJBQkEuSVFfRklMSU5HX0NVUlJFTkNZAQAAABElggIDAAAAA0NOWQCdQg7MSqXeCLXQQMxKpd4IIUNJUS5CQUJBLklRX0VGRkVDVF9UQVhfUkFURS5JUV9GWQEAAAARJYICAgAAAAcyMS45NTgxAQgAAAAFAAAAATEBAAAACy0xOTMxNzM1MzEwAwAAAAIzMgIAAAAENDM3NgQAAAABMAcAAAAJNC8yOC8yMDI2CAAAAAkzLzMxLzIwMjUJAAAAATCdQg7M</t>
  </si>
  <si>
    <t>SqXeCLXQQMxKpd4IGkNJUS5CQUJBLklRX09QVElPTlNfRU5EX09TAQAAABElggIDAAAAAACdQg7MSqXeCLXQQMxKpd4II0NJUS5CQUJBLklRX09QVElPTlNfU1RSSUtFX1BSSUNFX09TAQAAABElggIDAAAAAACdQg7MSqXeCLXQQMxKpd4IFkNJUS5CQUJBLklRX09MX0NPTU1fQ1kBAAAAESWCAgMAAAAAAJ1CDsxKpd4ItdBAzEql3ggXQ0lRLkJBQkEuSVFfT0xfQ09NTV9DWTEBAAAAESWCAgMAAAAAAJ1CDsxKpd4ItdBAzEql3ggXQ0lRLkJBQkEuSVFfT0xfQ09NTV9DWTIBAAAAESWCAgMAAAAAAJ1CDsxKpd4ItdBAzEql3ggXQ0lRLkJBQkEuSVFfT0xfQ09NTV9DWTMBAAAAESWCAgMAAAAAAJ1CDsxKpd4ItdBAzEql3ggXQ0lRLkJBQkEuSVFfT0xfQ09NTV9DWTQBAAAAESWCAgMAAAAAAJ1CDsxKpd4ItdBAzEql3ggdQ0lRLkJBQkEuSVFfT0xfQ09NTV9ORVhUX0ZJVkUBAAAAESWCAgMAAAAAAJ1CDsxKpd4ItdBAzEql3ggeQ0lRLkJBQkEuSVFfUEVSSU9EREFURS5JUV9GWS0wAQAAABElggIFAAAACTIwMjUvMy8zMQCdQg7MSqXeCLXQQMxKpd4IHkNJUS5CQUJBLklRX1BFUklPRERBVEUuSVFfRlEtMAEAAAARJYICBQAAAAoyMDI1LzEyLzMxAJ1CDsxKpd4ItdBAzEql3gg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</si>
</sst>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i/>
      <sz val="11"/>
      <color rgb="FF666666"/>
      <name val="宋体"/>
      <charset val="134"/>
    </font>
    <font>
      <i/>
      <sz val="11"/>
      <color rgb="FF444444"/>
      <name val="宋体"/>
      <charset val="134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10"/>
      <color rgb="FF0000CC"/>
      <name val="宋体"/>
      <charset val="134"/>
    </font>
    <font>
      <sz val="9"/>
      <name val="宋体"/>
      <family val="3"/>
      <charset val="134"/>
      <scheme val="minor"/>
    </font>
    <font>
      <b/>
      <sz val="14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/>
    </xf>
    <xf numFmtId="0" fontId="0" fillId="0" borderId="1" xfId="0" applyBorder="1"/>
    <xf numFmtId="0" fontId="6" fillId="0" borderId="1" xfId="0" applyFont="1" applyBorder="1"/>
    <xf numFmtId="4" fontId="0" fillId="0" borderId="1" xfId="0" applyNumberFormat="1" applyBorder="1"/>
    <xf numFmtId="0" fontId="5" fillId="4" borderId="0" xfId="0" applyFont="1" applyFill="1"/>
    <xf numFmtId="0" fontId="0" fillId="0" borderId="0" xfId="0"/>
    <xf numFmtId="0" fontId="8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D5037-8AB0-4DFF-960D-B439BC22971C}">
  <dimension ref="A1:BW1"/>
  <sheetViews>
    <sheetView workbookViewId="0"/>
  </sheetViews>
  <sheetFormatPr defaultRowHeight="14.1" x14ac:dyDescent="0.4"/>
  <sheetData>
    <row r="1" spans="1:75" x14ac:dyDescent="0.4">
      <c r="A1">
        <v>75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170</v>
      </c>
      <c r="Z1" t="s">
        <v>171</v>
      </c>
      <c r="AA1" t="s">
        <v>172</v>
      </c>
      <c r="AB1" t="s">
        <v>173</v>
      </c>
      <c r="AC1" t="s">
        <v>174</v>
      </c>
      <c r="AD1" t="s">
        <v>175</v>
      </c>
      <c r="AE1" t="s">
        <v>176</v>
      </c>
      <c r="AF1" t="s">
        <v>177</v>
      </c>
      <c r="AG1" t="s">
        <v>178</v>
      </c>
      <c r="AH1" t="s">
        <v>179</v>
      </c>
      <c r="AI1" t="s">
        <v>180</v>
      </c>
      <c r="AJ1" t="s">
        <v>181</v>
      </c>
      <c r="AK1" t="s">
        <v>182</v>
      </c>
      <c r="AL1" t="s">
        <v>183</v>
      </c>
      <c r="AM1" t="s">
        <v>184</v>
      </c>
      <c r="AN1" t="s">
        <v>185</v>
      </c>
      <c r="AO1" t="s">
        <v>186</v>
      </c>
      <c r="AP1" t="s">
        <v>187</v>
      </c>
      <c r="AQ1" t="s">
        <v>188</v>
      </c>
      <c r="AR1" t="s">
        <v>189</v>
      </c>
      <c r="AS1" t="s">
        <v>190</v>
      </c>
      <c r="AT1" t="s">
        <v>191</v>
      </c>
      <c r="AU1" t="s">
        <v>192</v>
      </c>
      <c r="AV1" t="s">
        <v>193</v>
      </c>
      <c r="AW1" t="s">
        <v>194</v>
      </c>
      <c r="AX1" t="s">
        <v>195</v>
      </c>
      <c r="AY1" t="s">
        <v>196</v>
      </c>
      <c r="AZ1" t="s">
        <v>197</v>
      </c>
      <c r="BA1" t="s">
        <v>198</v>
      </c>
      <c r="BB1" t="s">
        <v>199</v>
      </c>
      <c r="BC1" t="s">
        <v>200</v>
      </c>
      <c r="BD1" t="s">
        <v>201</v>
      </c>
      <c r="BE1" t="s">
        <v>202</v>
      </c>
      <c r="BF1" t="s">
        <v>203</v>
      </c>
      <c r="BG1" t="s">
        <v>204</v>
      </c>
      <c r="BH1" t="s">
        <v>205</v>
      </c>
      <c r="BI1" t="s">
        <v>206</v>
      </c>
      <c r="BJ1" t="s">
        <v>207</v>
      </c>
      <c r="BK1" t="s">
        <v>208</v>
      </c>
      <c r="BL1" t="s">
        <v>209</v>
      </c>
      <c r="BM1" t="s">
        <v>210</v>
      </c>
      <c r="BN1" t="s">
        <v>211</v>
      </c>
      <c r="BO1" t="s">
        <v>212</v>
      </c>
      <c r="BP1" t="s">
        <v>213</v>
      </c>
      <c r="BQ1" t="s">
        <v>214</v>
      </c>
      <c r="BR1" t="s">
        <v>215</v>
      </c>
      <c r="BS1" t="s">
        <v>216</v>
      </c>
      <c r="BT1" t="s">
        <v>217</v>
      </c>
      <c r="BU1" t="s">
        <v>218</v>
      </c>
      <c r="BV1" t="s">
        <v>219</v>
      </c>
      <c r="BW1" t="s">
        <v>220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9"/>
  <sheetViews>
    <sheetView tabSelected="1" workbookViewId="0">
      <selection activeCell="B1" sqref="B1"/>
    </sheetView>
  </sheetViews>
  <sheetFormatPr defaultRowHeight="14.1" x14ac:dyDescent="0.4"/>
  <cols>
    <col min="1" max="1" width="30" customWidth="1"/>
    <col min="2" max="2" width="12" customWidth="1"/>
    <col min="3" max="3" width="55" customWidth="1"/>
    <col min="4" max="4" width="20" customWidth="1"/>
    <col min="5" max="5" width="40" customWidth="1"/>
  </cols>
  <sheetData>
    <row r="1" spans="1:5" ht="18.3" x14ac:dyDescent="0.55000000000000004">
      <c r="A1" s="1" t="s">
        <v>0</v>
      </c>
      <c r="B1" s="10" t="s">
        <v>146</v>
      </c>
      <c r="C1" s="2" t="s">
        <v>1</v>
      </c>
    </row>
    <row r="2" spans="1:5" x14ac:dyDescent="0.4">
      <c r="A2" t="s">
        <v>2</v>
      </c>
      <c r="B2" s="3" t="s">
        <v>3</v>
      </c>
    </row>
    <row r="4" spans="1:5" x14ac:dyDescent="0.4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</row>
    <row r="5" spans="1:5" x14ac:dyDescent="0.4">
      <c r="A5" s="8" t="s">
        <v>9</v>
      </c>
      <c r="B5" s="9"/>
      <c r="C5" s="9"/>
      <c r="D5" s="9"/>
      <c r="E5" s="9"/>
    </row>
    <row r="6" spans="1:5" x14ac:dyDescent="0.4">
      <c r="A6" s="5" t="s">
        <v>10</v>
      </c>
      <c r="B6" s="5" t="s">
        <v>11</v>
      </c>
      <c r="C6" s="6">
        <f>_xll.ciqfunctions.udf.CIQ($B$1,"IQ_TOTAL_REV","IQ_FY-0")</f>
        <v>996347</v>
      </c>
      <c r="D6" s="7">
        <f t="shared" ref="D6:D37" si="0">C6</f>
        <v>996347</v>
      </c>
      <c r="E6" s="5" t="s">
        <v>12</v>
      </c>
    </row>
    <row r="7" spans="1:5" x14ac:dyDescent="0.4">
      <c r="A7" s="5" t="s">
        <v>10</v>
      </c>
      <c r="B7" s="5" t="s">
        <v>13</v>
      </c>
      <c r="C7" s="6">
        <f>_xll.ciqfunctions.udf.CIQ($B$1,"IQ_TOTAL_REV","IQ_FY-1")</f>
        <v>941168</v>
      </c>
      <c r="D7" s="7">
        <f t="shared" si="0"/>
        <v>941168</v>
      </c>
      <c r="E7" s="5" t="s">
        <v>12</v>
      </c>
    </row>
    <row r="8" spans="1:5" x14ac:dyDescent="0.4">
      <c r="A8" s="5" t="s">
        <v>10</v>
      </c>
      <c r="B8" s="5" t="s">
        <v>14</v>
      </c>
      <c r="C8" s="6">
        <f>_xll.ciqfunctions.udf.CIQ($B$1,"IQ_TOTAL_REV","IQ_FY-2")</f>
        <v>868687</v>
      </c>
      <c r="D8" s="7">
        <f t="shared" si="0"/>
        <v>868687</v>
      </c>
      <c r="E8" s="5" t="s">
        <v>12</v>
      </c>
    </row>
    <row r="9" spans="1:5" x14ac:dyDescent="0.4">
      <c r="A9" s="5" t="s">
        <v>10</v>
      </c>
      <c r="B9" s="5" t="s">
        <v>15</v>
      </c>
      <c r="C9" s="6">
        <f>_xll.ciqfunctions.udf.CIQ($B$1,"IQ_TOTAL_REV","IQ_FY-3")</f>
        <v>853062</v>
      </c>
      <c r="D9" s="7">
        <f t="shared" si="0"/>
        <v>853062</v>
      </c>
      <c r="E9" s="5" t="s">
        <v>12</v>
      </c>
    </row>
    <row r="10" spans="1:5" x14ac:dyDescent="0.4">
      <c r="A10" s="5" t="s">
        <v>10</v>
      </c>
      <c r="B10" s="5" t="s">
        <v>16</v>
      </c>
      <c r="C10" s="6">
        <f>_xll.ciqfunctions.udf.CIQ($B$1,"IQ_TOTAL_REV","IQ_FY-4")</f>
        <v>717289</v>
      </c>
      <c r="D10" s="7">
        <f t="shared" si="0"/>
        <v>717289</v>
      </c>
      <c r="E10" s="5" t="s">
        <v>12</v>
      </c>
    </row>
    <row r="11" spans="1:5" x14ac:dyDescent="0.4">
      <c r="A11" s="5" t="s">
        <v>10</v>
      </c>
      <c r="B11" s="5" t="s">
        <v>17</v>
      </c>
      <c r="C11" s="6">
        <f>_xll.ciqfunctions.udf.CIQ($B$1,"IQ_TOTAL_REV","IQ_FY-5")</f>
        <v>509711</v>
      </c>
      <c r="D11" s="7">
        <f t="shared" si="0"/>
        <v>509711</v>
      </c>
      <c r="E11" s="5" t="s">
        <v>12</v>
      </c>
    </row>
    <row r="12" spans="1:5" x14ac:dyDescent="0.4">
      <c r="A12" s="5" t="s">
        <v>10</v>
      </c>
      <c r="B12" s="5" t="s">
        <v>18</v>
      </c>
      <c r="C12" s="6">
        <f>_xll.ciqfunctions.udf.CIQ($B$1,"IQ_TOTAL_REV","IQ_FY-6")</f>
        <v>376844</v>
      </c>
      <c r="D12" s="7">
        <f t="shared" si="0"/>
        <v>376844</v>
      </c>
      <c r="E12" s="5" t="s">
        <v>12</v>
      </c>
    </row>
    <row r="13" spans="1:5" x14ac:dyDescent="0.4">
      <c r="A13" s="5" t="s">
        <v>10</v>
      </c>
      <c r="B13" s="5" t="s">
        <v>19</v>
      </c>
      <c r="C13" s="6">
        <f>_xll.ciqfunctions.udf.CIQ($B$1,"IQ_TOTAL_REV","IQ_FY-7")</f>
        <v>250266</v>
      </c>
      <c r="D13" s="7">
        <f t="shared" si="0"/>
        <v>250266</v>
      </c>
      <c r="E13" s="5" t="s">
        <v>12</v>
      </c>
    </row>
    <row r="14" spans="1:5" x14ac:dyDescent="0.4">
      <c r="A14" s="5" t="s">
        <v>10</v>
      </c>
      <c r="B14" s="5" t="s">
        <v>20</v>
      </c>
      <c r="C14" s="6">
        <f>_xll.ciqfunctions.udf.CIQ($B$1,"IQ_TOTAL_REV","IQ_FY-8")</f>
        <v>158273</v>
      </c>
      <c r="D14" s="7">
        <f t="shared" si="0"/>
        <v>158273</v>
      </c>
      <c r="E14" s="5" t="s">
        <v>12</v>
      </c>
    </row>
    <row r="15" spans="1:5" x14ac:dyDescent="0.4">
      <c r="A15" s="5" t="s">
        <v>10</v>
      </c>
      <c r="B15" s="5" t="s">
        <v>21</v>
      </c>
      <c r="C15" s="6">
        <f>_xll.ciqfunctions.udf.CIQ($B$1,"IQ_TOTAL_REV","IQ_FY-9")</f>
        <v>101143</v>
      </c>
      <c r="D15" s="7">
        <f t="shared" si="0"/>
        <v>101143</v>
      </c>
      <c r="E15" s="5" t="s">
        <v>12</v>
      </c>
    </row>
    <row r="16" spans="1:5" x14ac:dyDescent="0.4">
      <c r="A16" s="5" t="s">
        <v>10</v>
      </c>
      <c r="B16" s="5" t="s">
        <v>22</v>
      </c>
      <c r="C16" s="6">
        <f>_xll.ciqfunctions.udf.CIQ($B$1,"IQ_TOTAL_REV","IQ_FY-10")</f>
        <v>76204</v>
      </c>
      <c r="D16" s="7">
        <f t="shared" si="0"/>
        <v>76204</v>
      </c>
      <c r="E16" s="5" t="s">
        <v>12</v>
      </c>
    </row>
    <row r="17" spans="1:5" x14ac:dyDescent="0.4">
      <c r="A17" s="5" t="s">
        <v>23</v>
      </c>
      <c r="B17" s="5" t="s">
        <v>11</v>
      </c>
      <c r="C17" s="6">
        <f>_xll.ciqfunctions.udf.CIQ($B$1,"IQ_EBIT","IQ_FY-0")</f>
        <v>151687</v>
      </c>
      <c r="D17" s="7">
        <f t="shared" si="0"/>
        <v>151687</v>
      </c>
      <c r="E17" s="5" t="s">
        <v>24</v>
      </c>
    </row>
    <row r="18" spans="1:5" x14ac:dyDescent="0.4">
      <c r="A18" s="5" t="s">
        <v>23</v>
      </c>
      <c r="B18" s="5" t="s">
        <v>13</v>
      </c>
      <c r="C18" s="6">
        <f>_xll.ciqfunctions.udf.CIQ($B$1,"IQ_EBIT","IQ_FY-1")</f>
        <v>138718</v>
      </c>
      <c r="D18" s="7">
        <f t="shared" si="0"/>
        <v>138718</v>
      </c>
      <c r="E18" s="5" t="s">
        <v>24</v>
      </c>
    </row>
    <row r="19" spans="1:5" x14ac:dyDescent="0.4">
      <c r="A19" s="5" t="s">
        <v>23</v>
      </c>
      <c r="B19" s="5" t="s">
        <v>14</v>
      </c>
      <c r="C19" s="6">
        <f>_xll.ciqfunctions.udf.CIQ($B$1,"IQ_EBIT","IQ_FY-2")</f>
        <v>106120</v>
      </c>
      <c r="D19" s="7">
        <f t="shared" si="0"/>
        <v>106120</v>
      </c>
      <c r="E19" s="5" t="s">
        <v>24</v>
      </c>
    </row>
    <row r="20" spans="1:5" x14ac:dyDescent="0.4">
      <c r="A20" s="5" t="s">
        <v>23</v>
      </c>
      <c r="B20" s="5" t="s">
        <v>15</v>
      </c>
      <c r="C20" s="6">
        <f>_xll.ciqfunctions.udf.CIQ($B$1,"IQ_EBIT","IQ_FY-3")</f>
        <v>96497</v>
      </c>
      <c r="D20" s="7">
        <f t="shared" si="0"/>
        <v>96497</v>
      </c>
      <c r="E20" s="5" t="s">
        <v>24</v>
      </c>
    </row>
    <row r="21" spans="1:5" x14ac:dyDescent="0.4">
      <c r="A21" s="5" t="s">
        <v>23</v>
      </c>
      <c r="B21" s="5" t="s">
        <v>16</v>
      </c>
      <c r="C21" s="6">
        <f>_xll.ciqfunctions.udf.CIQ($B$1,"IQ_EBIT","IQ_FY-4")</f>
        <v>109594</v>
      </c>
      <c r="D21" s="7">
        <f t="shared" si="0"/>
        <v>109594</v>
      </c>
      <c r="E21" s="5" t="s">
        <v>24</v>
      </c>
    </row>
    <row r="22" spans="1:5" x14ac:dyDescent="0.4">
      <c r="A22" s="5" t="s">
        <v>23</v>
      </c>
      <c r="B22" s="5" t="s">
        <v>17</v>
      </c>
      <c r="C22" s="6">
        <f>_xll.ciqfunctions.udf.CIQ($B$1,"IQ_EBIT","IQ_FY-5")</f>
        <v>95534</v>
      </c>
      <c r="D22" s="7">
        <f t="shared" si="0"/>
        <v>95534</v>
      </c>
      <c r="E22" s="5" t="s">
        <v>24</v>
      </c>
    </row>
    <row r="23" spans="1:5" x14ac:dyDescent="0.4">
      <c r="A23" s="5" t="s">
        <v>23</v>
      </c>
      <c r="B23" s="5" t="s">
        <v>18</v>
      </c>
      <c r="C23" s="6">
        <f>_xll.ciqfunctions.udf.CIQ($B$1,"IQ_EBIT","IQ_FY-6")</f>
        <v>61606</v>
      </c>
      <c r="D23" s="7">
        <f t="shared" si="0"/>
        <v>61606</v>
      </c>
      <c r="E23" s="5" t="s">
        <v>24</v>
      </c>
    </row>
    <row r="24" spans="1:5" x14ac:dyDescent="0.4">
      <c r="A24" s="5" t="s">
        <v>23</v>
      </c>
      <c r="B24" s="5" t="s">
        <v>19</v>
      </c>
      <c r="C24" s="6">
        <f>_xll.ciqfunctions.udf.CIQ($B$1,"IQ_EBIT","IQ_FY-7")</f>
        <v>70609</v>
      </c>
      <c r="D24" s="7">
        <f t="shared" si="0"/>
        <v>70609</v>
      </c>
      <c r="E24" s="5" t="s">
        <v>24</v>
      </c>
    </row>
    <row r="25" spans="1:5" x14ac:dyDescent="0.4">
      <c r="A25" s="5" t="s">
        <v>23</v>
      </c>
      <c r="B25" s="5" t="s">
        <v>20</v>
      </c>
      <c r="C25" s="6">
        <f>_xll.ciqfunctions.udf.CIQ($B$1,"IQ_EBIT","IQ_FY-8")</f>
        <v>48912</v>
      </c>
      <c r="D25" s="7">
        <f t="shared" si="0"/>
        <v>48912</v>
      </c>
      <c r="E25" s="5" t="s">
        <v>24</v>
      </c>
    </row>
    <row r="26" spans="1:5" x14ac:dyDescent="0.4">
      <c r="A26" s="5" t="s">
        <v>23</v>
      </c>
      <c r="B26" s="5" t="s">
        <v>21</v>
      </c>
      <c r="C26" s="6">
        <f>_xll.ciqfunctions.udf.CIQ($B$1,"IQ_EBIT","IQ_FY-9")</f>
        <v>29557</v>
      </c>
      <c r="D26" s="7">
        <f t="shared" si="0"/>
        <v>29557</v>
      </c>
      <c r="E26" s="5" t="s">
        <v>24</v>
      </c>
    </row>
    <row r="27" spans="1:5" x14ac:dyDescent="0.4">
      <c r="A27" s="5" t="s">
        <v>23</v>
      </c>
      <c r="B27" s="5" t="s">
        <v>22</v>
      </c>
      <c r="C27" s="6">
        <f>_xll.ciqfunctions.udf.CIQ($B$1,"IQ_EBIT","IQ_FY-10")</f>
        <v>23310</v>
      </c>
      <c r="D27" s="7">
        <f t="shared" si="0"/>
        <v>23310</v>
      </c>
      <c r="E27" s="5" t="s">
        <v>24</v>
      </c>
    </row>
    <row r="28" spans="1:5" x14ac:dyDescent="0.4">
      <c r="A28" s="5" t="s">
        <v>25</v>
      </c>
      <c r="B28" s="5" t="s">
        <v>11</v>
      </c>
      <c r="C28" s="6">
        <f>_xll.ciqfunctions.udf.CIQ($B$1,"IQ_EBITDA","IQ_FY-0")</f>
        <v>194146</v>
      </c>
      <c r="D28" s="7">
        <f t="shared" si="0"/>
        <v>194146</v>
      </c>
      <c r="E28" s="5" t="s">
        <v>26</v>
      </c>
    </row>
    <row r="29" spans="1:5" x14ac:dyDescent="0.4">
      <c r="A29" s="5" t="s">
        <v>25</v>
      </c>
      <c r="B29" s="5" t="s">
        <v>13</v>
      </c>
      <c r="C29" s="6">
        <f>_xll.ciqfunctions.udf.CIQ($B$1,"IQ_EBITDA","IQ_FY-1")</f>
        <v>183222</v>
      </c>
      <c r="D29" s="7">
        <f t="shared" si="0"/>
        <v>183222</v>
      </c>
      <c r="E29" s="5" t="s">
        <v>26</v>
      </c>
    </row>
    <row r="30" spans="1:5" x14ac:dyDescent="0.4">
      <c r="A30" s="5" t="s">
        <v>25</v>
      </c>
      <c r="B30" s="5" t="s">
        <v>14</v>
      </c>
      <c r="C30" s="6">
        <f>_xll.ciqfunctions.udf.CIQ($B$1,"IQ_EBITDA","IQ_FY-2")</f>
        <v>153058</v>
      </c>
      <c r="D30" s="7">
        <f t="shared" si="0"/>
        <v>153058</v>
      </c>
      <c r="E30" s="5" t="s">
        <v>26</v>
      </c>
    </row>
    <row r="31" spans="1:5" x14ac:dyDescent="0.4">
      <c r="A31" s="5" t="s">
        <v>25</v>
      </c>
      <c r="B31" s="5" t="s">
        <v>15</v>
      </c>
      <c r="C31" s="6">
        <f>_xll.ciqfunctions.udf.CIQ($B$1,"IQ_EBITDA","IQ_FY-3")</f>
        <v>144562</v>
      </c>
      <c r="D31" s="7">
        <f t="shared" si="0"/>
        <v>144562</v>
      </c>
      <c r="E31" s="5" t="s">
        <v>26</v>
      </c>
    </row>
    <row r="32" spans="1:5" x14ac:dyDescent="0.4">
      <c r="A32" s="5" t="s">
        <v>25</v>
      </c>
      <c r="B32" s="5" t="s">
        <v>16</v>
      </c>
      <c r="C32" s="6">
        <f>_xll.ciqfunctions.udf.CIQ($B$1,"IQ_EBITDA","IQ_FY-4")</f>
        <v>157503</v>
      </c>
      <c r="D32" s="7">
        <f t="shared" si="0"/>
        <v>157503</v>
      </c>
      <c r="E32" s="5" t="s">
        <v>26</v>
      </c>
    </row>
    <row r="33" spans="1:5" x14ac:dyDescent="0.4">
      <c r="A33" s="5" t="s">
        <v>25</v>
      </c>
      <c r="B33" s="5" t="s">
        <v>17</v>
      </c>
      <c r="C33" s="6">
        <f>_xll.ciqfunctions.udf.CIQ($B$1,"IQ_EBITDA","IQ_FY-5")</f>
        <v>137763</v>
      </c>
      <c r="D33" s="7">
        <f t="shared" si="0"/>
        <v>137763</v>
      </c>
      <c r="E33" s="5" t="s">
        <v>26</v>
      </c>
    </row>
    <row r="34" spans="1:5" x14ac:dyDescent="0.4">
      <c r="A34" s="5" t="s">
        <v>25</v>
      </c>
      <c r="B34" s="5" t="s">
        <v>18</v>
      </c>
      <c r="C34" s="6">
        <f>_xll.ciqfunctions.udf.CIQ($B$1,"IQ_EBITDA","IQ_FY-6")</f>
        <v>98542</v>
      </c>
      <c r="D34" s="7">
        <f t="shared" si="0"/>
        <v>98542</v>
      </c>
      <c r="E34" s="5" t="s">
        <v>26</v>
      </c>
    </row>
    <row r="35" spans="1:5" x14ac:dyDescent="0.4">
      <c r="A35" s="5" t="s">
        <v>25</v>
      </c>
      <c r="B35" s="5" t="s">
        <v>19</v>
      </c>
      <c r="C35" s="6">
        <f>_xll.ciqfunctions.udf.CIQ($B$1,"IQ_EBITDA","IQ_FY-7")</f>
        <v>92494</v>
      </c>
      <c r="D35" s="7">
        <f t="shared" si="0"/>
        <v>92494</v>
      </c>
      <c r="E35" s="5" t="s">
        <v>26</v>
      </c>
    </row>
    <row r="36" spans="1:5" x14ac:dyDescent="0.4">
      <c r="A36" s="5" t="s">
        <v>25</v>
      </c>
      <c r="B36" s="5" t="s">
        <v>20</v>
      </c>
      <c r="C36" s="6">
        <f>_xll.ciqfunctions.udf.CIQ($B$1,"IQ_EBITDA","IQ_FY-8")</f>
        <v>63097</v>
      </c>
      <c r="D36" s="7">
        <f t="shared" si="0"/>
        <v>63097</v>
      </c>
      <c r="E36" s="5" t="s">
        <v>26</v>
      </c>
    </row>
    <row r="37" spans="1:5" x14ac:dyDescent="0.4">
      <c r="A37" s="5" t="s">
        <v>25</v>
      </c>
      <c r="B37" s="5" t="s">
        <v>21</v>
      </c>
      <c r="C37" s="6">
        <f>_xll.ciqfunctions.udf.CIQ($B$1,"IQ_EBITDA","IQ_FY-9")</f>
        <v>36534</v>
      </c>
      <c r="D37" s="7">
        <f t="shared" si="0"/>
        <v>36534</v>
      </c>
      <c r="E37" s="5" t="s">
        <v>26</v>
      </c>
    </row>
    <row r="38" spans="1:5" x14ac:dyDescent="0.4">
      <c r="A38" s="5" t="s">
        <v>25</v>
      </c>
      <c r="B38" s="5" t="s">
        <v>22</v>
      </c>
      <c r="C38" s="6">
        <f>_xll.ciqfunctions.udf.CIQ($B$1,"IQ_EBITDA","IQ_FY-10")</f>
        <v>27765</v>
      </c>
      <c r="D38" s="7">
        <f t="shared" ref="D38:D69" si="1">C38</f>
        <v>27765</v>
      </c>
      <c r="E38" s="5" t="s">
        <v>26</v>
      </c>
    </row>
    <row r="39" spans="1:5" x14ac:dyDescent="0.4">
      <c r="A39" s="5" t="s">
        <v>27</v>
      </c>
      <c r="B39" s="5" t="s">
        <v>11</v>
      </c>
      <c r="C39" s="6">
        <f>_xll.ciqfunctions.udf.CIQ($B$1,"IQ_NI","IQ_FY-0")</f>
        <v>130109</v>
      </c>
      <c r="D39" s="7">
        <f t="shared" si="1"/>
        <v>130109</v>
      </c>
      <c r="E39" s="5" t="s">
        <v>28</v>
      </c>
    </row>
    <row r="40" spans="1:5" x14ac:dyDescent="0.4">
      <c r="A40" s="5" t="s">
        <v>27</v>
      </c>
      <c r="B40" s="5" t="s">
        <v>13</v>
      </c>
      <c r="C40" s="6">
        <f>_xll.ciqfunctions.udf.CIQ($B$1,"IQ_NI","IQ_FY-1")</f>
        <v>80009</v>
      </c>
      <c r="D40" s="7">
        <f t="shared" si="1"/>
        <v>80009</v>
      </c>
      <c r="E40" s="5" t="s">
        <v>28</v>
      </c>
    </row>
    <row r="41" spans="1:5" x14ac:dyDescent="0.4">
      <c r="A41" s="5" t="s">
        <v>27</v>
      </c>
      <c r="B41" s="5" t="s">
        <v>14</v>
      </c>
      <c r="C41" s="6">
        <f>_xll.ciqfunctions.udf.CIQ($B$1,"IQ_NI","IQ_FY-2")</f>
        <v>72783</v>
      </c>
      <c r="D41" s="7">
        <f t="shared" si="1"/>
        <v>72783</v>
      </c>
      <c r="E41" s="5" t="s">
        <v>28</v>
      </c>
    </row>
    <row r="42" spans="1:5" x14ac:dyDescent="0.4">
      <c r="A42" s="5" t="s">
        <v>27</v>
      </c>
      <c r="B42" s="5" t="s">
        <v>15</v>
      </c>
      <c r="C42" s="6">
        <f>_xll.ciqfunctions.udf.CIQ($B$1,"IQ_NI","IQ_FY-3")</f>
        <v>62249</v>
      </c>
      <c r="D42" s="7">
        <f t="shared" si="1"/>
        <v>62249</v>
      </c>
      <c r="E42" s="5" t="s">
        <v>28</v>
      </c>
    </row>
    <row r="43" spans="1:5" x14ac:dyDescent="0.4">
      <c r="A43" s="5" t="s">
        <v>27</v>
      </c>
      <c r="B43" s="5" t="s">
        <v>16</v>
      </c>
      <c r="C43" s="6">
        <f>_xll.ciqfunctions.udf.CIQ($B$1,"IQ_NI","IQ_FY-4")</f>
        <v>150578</v>
      </c>
      <c r="D43" s="7">
        <f t="shared" si="1"/>
        <v>150578</v>
      </c>
      <c r="E43" s="5" t="s">
        <v>28</v>
      </c>
    </row>
    <row r="44" spans="1:5" x14ac:dyDescent="0.4">
      <c r="A44" s="5" t="s">
        <v>27</v>
      </c>
      <c r="B44" s="5" t="s">
        <v>17</v>
      </c>
      <c r="C44" s="6">
        <f>_xll.ciqfunctions.udf.CIQ($B$1,"IQ_NI","IQ_FY-5")</f>
        <v>149433</v>
      </c>
      <c r="D44" s="7">
        <f t="shared" si="1"/>
        <v>149433</v>
      </c>
      <c r="E44" s="5" t="s">
        <v>28</v>
      </c>
    </row>
    <row r="45" spans="1:5" x14ac:dyDescent="0.4">
      <c r="A45" s="5" t="s">
        <v>27</v>
      </c>
      <c r="B45" s="5" t="s">
        <v>18</v>
      </c>
      <c r="C45" s="6">
        <f>_xll.ciqfunctions.udf.CIQ($B$1,"IQ_NI","IQ_FY-6")</f>
        <v>87886</v>
      </c>
      <c r="D45" s="7">
        <f t="shared" si="1"/>
        <v>87886</v>
      </c>
      <c r="E45" s="5" t="s">
        <v>28</v>
      </c>
    </row>
    <row r="46" spans="1:5" x14ac:dyDescent="0.4">
      <c r="A46" s="5" t="s">
        <v>27</v>
      </c>
      <c r="B46" s="5" t="s">
        <v>19</v>
      </c>
      <c r="C46" s="6">
        <f>_xll.ciqfunctions.udf.CIQ($B$1,"IQ_NI","IQ_FY-7")</f>
        <v>64093</v>
      </c>
      <c r="D46" s="7">
        <f t="shared" si="1"/>
        <v>64093</v>
      </c>
      <c r="E46" s="5" t="s">
        <v>28</v>
      </c>
    </row>
    <row r="47" spans="1:5" x14ac:dyDescent="0.4">
      <c r="A47" s="5" t="s">
        <v>27</v>
      </c>
      <c r="B47" s="5" t="s">
        <v>20</v>
      </c>
      <c r="C47" s="6">
        <f>_xll.ciqfunctions.udf.CIQ($B$1,"IQ_NI","IQ_FY-8")</f>
        <v>43675</v>
      </c>
      <c r="D47" s="7">
        <f t="shared" si="1"/>
        <v>43675</v>
      </c>
      <c r="E47" s="5" t="s">
        <v>28</v>
      </c>
    </row>
    <row r="48" spans="1:5" x14ac:dyDescent="0.4">
      <c r="A48" s="5" t="s">
        <v>27</v>
      </c>
      <c r="B48" s="5" t="s">
        <v>21</v>
      </c>
      <c r="C48" s="6">
        <f>_xll.ciqfunctions.udf.CIQ($B$1,"IQ_NI","IQ_FY-9")</f>
        <v>71460</v>
      </c>
      <c r="D48" s="7">
        <f t="shared" si="1"/>
        <v>71460</v>
      </c>
      <c r="E48" s="5" t="s">
        <v>28</v>
      </c>
    </row>
    <row r="49" spans="1:5" x14ac:dyDescent="0.4">
      <c r="A49" s="5" t="s">
        <v>27</v>
      </c>
      <c r="B49" s="5" t="s">
        <v>22</v>
      </c>
      <c r="C49" s="6">
        <f>_xll.ciqfunctions.udf.CIQ($B$1,"IQ_NI","IQ_FY-10")</f>
        <v>24261</v>
      </c>
      <c r="D49" s="7">
        <f t="shared" si="1"/>
        <v>24261</v>
      </c>
      <c r="E49" s="5" t="s">
        <v>28</v>
      </c>
    </row>
    <row r="50" spans="1:5" x14ac:dyDescent="0.4">
      <c r="A50" s="5" t="s">
        <v>29</v>
      </c>
      <c r="B50" s="5" t="s">
        <v>11</v>
      </c>
      <c r="C50" s="6">
        <f>ABS(_xll.ciqfunctions.udf.CIQ($B$1,"IQ_INTEREST_EXP","IQ_FY-0"))</f>
        <v>9596</v>
      </c>
      <c r="D50" s="7">
        <f t="shared" si="1"/>
        <v>9596</v>
      </c>
      <c r="E50" s="5" t="s">
        <v>30</v>
      </c>
    </row>
    <row r="51" spans="1:5" x14ac:dyDescent="0.4">
      <c r="A51" s="5" t="s">
        <v>29</v>
      </c>
      <c r="B51" s="5" t="s">
        <v>13</v>
      </c>
      <c r="C51" s="6">
        <f>ABS(_xll.ciqfunctions.udf.CIQ($B$1,"IQ_INTEREST_EXP","IQ_FY-1"))</f>
        <v>7947</v>
      </c>
      <c r="D51" s="7">
        <f t="shared" si="1"/>
        <v>7947</v>
      </c>
      <c r="E51" s="5" t="s">
        <v>30</v>
      </c>
    </row>
    <row r="52" spans="1:5" x14ac:dyDescent="0.4">
      <c r="A52" s="5" t="s">
        <v>29</v>
      </c>
      <c r="B52" s="5" t="s">
        <v>14</v>
      </c>
      <c r="C52" s="6">
        <f>ABS(_xll.ciqfunctions.udf.CIQ($B$1,"IQ_INTEREST_EXP","IQ_FY-2"))</f>
        <v>5918</v>
      </c>
      <c r="D52" s="7">
        <f t="shared" si="1"/>
        <v>5918</v>
      </c>
      <c r="E52" s="5" t="s">
        <v>30</v>
      </c>
    </row>
    <row r="53" spans="1:5" x14ac:dyDescent="0.4">
      <c r="A53" s="5" t="s">
        <v>29</v>
      </c>
      <c r="B53" s="5" t="s">
        <v>15</v>
      </c>
      <c r="C53" s="6">
        <f>ABS(_xll.ciqfunctions.udf.CIQ($B$1,"IQ_INTEREST_EXP","IQ_FY-3"))</f>
        <v>4909</v>
      </c>
      <c r="D53" s="7">
        <f t="shared" si="1"/>
        <v>4909</v>
      </c>
      <c r="E53" s="5" t="s">
        <v>30</v>
      </c>
    </row>
    <row r="54" spans="1:5" x14ac:dyDescent="0.4">
      <c r="A54" s="5" t="s">
        <v>29</v>
      </c>
      <c r="B54" s="5" t="s">
        <v>16</v>
      </c>
      <c r="C54" s="6">
        <f>ABS(_xll.ciqfunctions.udf.CIQ($B$1,"IQ_INTEREST_EXP","IQ_FY-4"))</f>
        <v>4476</v>
      </c>
      <c r="D54" s="7">
        <f t="shared" si="1"/>
        <v>4476</v>
      </c>
      <c r="E54" s="5" t="s">
        <v>30</v>
      </c>
    </row>
    <row r="55" spans="1:5" x14ac:dyDescent="0.4">
      <c r="A55" s="5" t="s">
        <v>29</v>
      </c>
      <c r="B55" s="5" t="s">
        <v>17</v>
      </c>
      <c r="C55" s="6">
        <f>ABS(_xll.ciqfunctions.udf.CIQ($B$1,"IQ_INTEREST_EXP","IQ_FY-5"))</f>
        <v>5180</v>
      </c>
      <c r="D55" s="7">
        <f t="shared" si="1"/>
        <v>5180</v>
      </c>
      <c r="E55" s="5" t="s">
        <v>30</v>
      </c>
    </row>
    <row r="56" spans="1:5" x14ac:dyDescent="0.4">
      <c r="A56" s="5" t="s">
        <v>29</v>
      </c>
      <c r="B56" s="5" t="s">
        <v>18</v>
      </c>
      <c r="C56" s="6">
        <f>ABS(_xll.ciqfunctions.udf.CIQ($B$1,"IQ_INTEREST_EXP","IQ_FY-6"))</f>
        <v>5190</v>
      </c>
      <c r="D56" s="7">
        <f t="shared" si="1"/>
        <v>5190</v>
      </c>
      <c r="E56" s="5" t="s">
        <v>30</v>
      </c>
    </row>
    <row r="57" spans="1:5" x14ac:dyDescent="0.4">
      <c r="A57" s="5" t="s">
        <v>29</v>
      </c>
      <c r="B57" s="5" t="s">
        <v>19</v>
      </c>
      <c r="C57" s="6">
        <f>ABS(_xll.ciqfunctions.udf.CIQ($B$1,"IQ_INTEREST_EXP","IQ_FY-7"))</f>
        <v>3566</v>
      </c>
      <c r="D57" s="7">
        <f t="shared" si="1"/>
        <v>3566</v>
      </c>
      <c r="E57" s="5" t="s">
        <v>30</v>
      </c>
    </row>
    <row r="58" spans="1:5" x14ac:dyDescent="0.4">
      <c r="A58" s="5" t="s">
        <v>29</v>
      </c>
      <c r="B58" s="5" t="s">
        <v>20</v>
      </c>
      <c r="C58" s="6">
        <f>ABS(_xll.ciqfunctions.udf.CIQ($B$1,"IQ_INTEREST_EXP","IQ_FY-8"))</f>
        <v>2671</v>
      </c>
      <c r="D58" s="7">
        <f t="shared" si="1"/>
        <v>2671</v>
      </c>
      <c r="E58" s="5" t="s">
        <v>30</v>
      </c>
    </row>
    <row r="59" spans="1:5" x14ac:dyDescent="0.4">
      <c r="A59" s="5" t="s">
        <v>29</v>
      </c>
      <c r="B59" s="5" t="s">
        <v>21</v>
      </c>
      <c r="C59" s="6">
        <f>ABS(_xll.ciqfunctions.udf.CIQ($B$1,"IQ_INTEREST_EXP","IQ_FY-9"))</f>
        <v>1946</v>
      </c>
      <c r="D59" s="7">
        <f t="shared" si="1"/>
        <v>1946</v>
      </c>
      <c r="E59" s="5" t="s">
        <v>30</v>
      </c>
    </row>
    <row r="60" spans="1:5" x14ac:dyDescent="0.4">
      <c r="A60" s="5" t="s">
        <v>29</v>
      </c>
      <c r="B60" s="5" t="s">
        <v>22</v>
      </c>
      <c r="C60" s="6">
        <f>ABS(_xll.ciqfunctions.udf.CIQ($B$1,"IQ_INTEREST_EXP","IQ_FY-10"))</f>
        <v>2750</v>
      </c>
      <c r="D60" s="7">
        <f t="shared" si="1"/>
        <v>2750</v>
      </c>
      <c r="E60" s="5" t="s">
        <v>30</v>
      </c>
    </row>
    <row r="61" spans="1:5" x14ac:dyDescent="0.4">
      <c r="A61" s="5" t="s">
        <v>31</v>
      </c>
      <c r="B61" s="5" t="s">
        <v>11</v>
      </c>
      <c r="C61" s="6">
        <f>ABS(_xll.ciqfunctions.udf.CIQ($B$1,"IQ_DA_CF","IQ_FY-0"))</f>
        <v>42459</v>
      </c>
      <c r="D61" s="7">
        <f t="shared" si="1"/>
        <v>42459</v>
      </c>
      <c r="E61" s="5" t="s">
        <v>32</v>
      </c>
    </row>
    <row r="62" spans="1:5" x14ac:dyDescent="0.4">
      <c r="A62" s="5" t="s">
        <v>31</v>
      </c>
      <c r="B62" s="5" t="s">
        <v>13</v>
      </c>
      <c r="C62" s="6">
        <f>ABS(_xll.ciqfunctions.udf.CIQ($B$1,"IQ_DA_CF","IQ_FY-1"))</f>
        <v>44504</v>
      </c>
      <c r="D62" s="7">
        <f t="shared" si="1"/>
        <v>44504</v>
      </c>
      <c r="E62" s="5" t="s">
        <v>32</v>
      </c>
    </row>
    <row r="63" spans="1:5" x14ac:dyDescent="0.4">
      <c r="A63" s="5" t="s">
        <v>31</v>
      </c>
      <c r="B63" s="5" t="s">
        <v>14</v>
      </c>
      <c r="C63" s="6">
        <f>ABS(_xll.ciqfunctions.udf.CIQ($B$1,"IQ_DA_CF","IQ_FY-2"))</f>
        <v>46938</v>
      </c>
      <c r="D63" s="7">
        <f t="shared" si="1"/>
        <v>46938</v>
      </c>
      <c r="E63" s="5" t="s">
        <v>32</v>
      </c>
    </row>
    <row r="64" spans="1:5" x14ac:dyDescent="0.4">
      <c r="A64" s="5" t="s">
        <v>31</v>
      </c>
      <c r="B64" s="5" t="s">
        <v>15</v>
      </c>
      <c r="C64" s="6">
        <f>ABS(_xll.ciqfunctions.udf.CIQ($B$1,"IQ_DA_CF","IQ_FY-3"))</f>
        <v>48065</v>
      </c>
      <c r="D64" s="7">
        <f t="shared" si="1"/>
        <v>48065</v>
      </c>
      <c r="E64" s="5" t="s">
        <v>32</v>
      </c>
    </row>
    <row r="65" spans="1:5" x14ac:dyDescent="0.4">
      <c r="A65" s="5" t="s">
        <v>31</v>
      </c>
      <c r="B65" s="5" t="s">
        <v>16</v>
      </c>
      <c r="C65" s="6">
        <f>ABS(_xll.ciqfunctions.udf.CIQ($B$1,"IQ_DA_CF","IQ_FY-4"))</f>
        <v>47909</v>
      </c>
      <c r="D65" s="7">
        <f t="shared" si="1"/>
        <v>47909</v>
      </c>
      <c r="E65" s="5" t="s">
        <v>32</v>
      </c>
    </row>
    <row r="66" spans="1:5" x14ac:dyDescent="0.4">
      <c r="A66" s="5" t="s">
        <v>31</v>
      </c>
      <c r="B66" s="5" t="s">
        <v>17</v>
      </c>
      <c r="C66" s="6">
        <f>ABS(_xll.ciqfunctions.udf.CIQ($B$1,"IQ_DA_CF","IQ_FY-5"))</f>
        <v>42427</v>
      </c>
      <c r="D66" s="7">
        <f t="shared" si="1"/>
        <v>42427</v>
      </c>
      <c r="E66" s="5" t="s">
        <v>32</v>
      </c>
    </row>
    <row r="67" spans="1:5" x14ac:dyDescent="0.4">
      <c r="A67" s="5" t="s">
        <v>31</v>
      </c>
      <c r="B67" s="5" t="s">
        <v>18</v>
      </c>
      <c r="C67" s="6">
        <f>ABS(_xll.ciqfunctions.udf.CIQ($B$1,"IQ_DA_CF","IQ_FY-6"))</f>
        <v>36936</v>
      </c>
      <c r="D67" s="7">
        <f t="shared" si="1"/>
        <v>36936</v>
      </c>
      <c r="E67" s="5" t="s">
        <v>32</v>
      </c>
    </row>
    <row r="68" spans="1:5" x14ac:dyDescent="0.4">
      <c r="A68" s="5" t="s">
        <v>31</v>
      </c>
      <c r="B68" s="5" t="s">
        <v>19</v>
      </c>
      <c r="C68" s="6">
        <f>ABS(_xll.ciqfunctions.udf.CIQ($B$1,"IQ_DA_CF","IQ_FY-7"))</f>
        <v>21885</v>
      </c>
      <c r="D68" s="7">
        <f t="shared" si="1"/>
        <v>21885</v>
      </c>
      <c r="E68" s="5" t="s">
        <v>32</v>
      </c>
    </row>
    <row r="69" spans="1:5" x14ac:dyDescent="0.4">
      <c r="A69" s="5" t="s">
        <v>31</v>
      </c>
      <c r="B69" s="5" t="s">
        <v>20</v>
      </c>
      <c r="C69" s="6">
        <f>ABS(_xll.ciqfunctions.udf.CIQ($B$1,"IQ_DA_CF","IQ_FY-8"))</f>
        <v>14185</v>
      </c>
      <c r="D69" s="7">
        <f t="shared" si="1"/>
        <v>14185</v>
      </c>
      <c r="E69" s="5" t="s">
        <v>32</v>
      </c>
    </row>
    <row r="70" spans="1:5" x14ac:dyDescent="0.4">
      <c r="A70" s="5" t="s">
        <v>31</v>
      </c>
      <c r="B70" s="5" t="s">
        <v>21</v>
      </c>
      <c r="C70" s="6">
        <f>ABS(_xll.ciqfunctions.udf.CIQ($B$1,"IQ_DA_CF","IQ_FY-9"))</f>
        <v>6977</v>
      </c>
      <c r="D70" s="7">
        <f t="shared" ref="D70:D101" si="2">C70</f>
        <v>6977</v>
      </c>
      <c r="E70" s="5" t="s">
        <v>32</v>
      </c>
    </row>
    <row r="71" spans="1:5" x14ac:dyDescent="0.4">
      <c r="A71" s="5" t="s">
        <v>31</v>
      </c>
      <c r="B71" s="5" t="s">
        <v>22</v>
      </c>
      <c r="C71" s="6">
        <f>ABS(_xll.ciqfunctions.udf.CIQ($B$1,"IQ_DA_CF","IQ_FY-10"))</f>
        <v>4455</v>
      </c>
      <c r="D71" s="7">
        <f t="shared" si="2"/>
        <v>4455</v>
      </c>
      <c r="E71" s="5" t="s">
        <v>32</v>
      </c>
    </row>
    <row r="72" spans="1:5" x14ac:dyDescent="0.4">
      <c r="A72" s="5" t="s">
        <v>33</v>
      </c>
      <c r="B72" s="5" t="s">
        <v>11</v>
      </c>
      <c r="C72" s="6">
        <f>_xll.ciqfunctions.udf.CIQ($B$1,"IQ_RD_EXP","IQ_FY-0")</f>
        <v>57151</v>
      </c>
      <c r="D72" s="7">
        <f t="shared" si="2"/>
        <v>57151</v>
      </c>
      <c r="E72" s="5" t="s">
        <v>34</v>
      </c>
    </row>
    <row r="73" spans="1:5" x14ac:dyDescent="0.4">
      <c r="A73" s="5" t="s">
        <v>33</v>
      </c>
      <c r="B73" s="5" t="s">
        <v>13</v>
      </c>
      <c r="C73" s="6">
        <f>_xll.ciqfunctions.udf.CIQ($B$1,"IQ_RD_EXP","IQ_FY-1")</f>
        <v>52256</v>
      </c>
      <c r="D73" s="7">
        <f t="shared" si="2"/>
        <v>52256</v>
      </c>
      <c r="E73" s="5" t="s">
        <v>34</v>
      </c>
    </row>
    <row r="74" spans="1:5" x14ac:dyDescent="0.4">
      <c r="A74" s="5" t="s">
        <v>33</v>
      </c>
      <c r="B74" s="5" t="s">
        <v>14</v>
      </c>
      <c r="C74" s="6">
        <f>_xll.ciqfunctions.udf.CIQ($B$1,"IQ_RD_EXP","IQ_FY-2")</f>
        <v>56744</v>
      </c>
      <c r="D74" s="7">
        <f t="shared" si="2"/>
        <v>56744</v>
      </c>
      <c r="E74" s="5" t="s">
        <v>34</v>
      </c>
    </row>
    <row r="75" spans="1:5" x14ac:dyDescent="0.4">
      <c r="A75" s="5" t="s">
        <v>33</v>
      </c>
      <c r="B75" s="5" t="s">
        <v>15</v>
      </c>
      <c r="C75" s="6">
        <f>_xll.ciqfunctions.udf.CIQ($B$1,"IQ_RD_EXP","IQ_FY-3")</f>
        <v>55465</v>
      </c>
      <c r="D75" s="7">
        <f t="shared" si="2"/>
        <v>55465</v>
      </c>
      <c r="E75" s="5" t="s">
        <v>34</v>
      </c>
    </row>
    <row r="76" spans="1:5" x14ac:dyDescent="0.4">
      <c r="A76" s="5" t="s">
        <v>33</v>
      </c>
      <c r="B76" s="5" t="s">
        <v>16</v>
      </c>
      <c r="C76" s="6">
        <f>_xll.ciqfunctions.udf.CIQ($B$1,"IQ_RD_EXP","IQ_FY-4")</f>
        <v>57236</v>
      </c>
      <c r="D76" s="7">
        <f t="shared" si="2"/>
        <v>57236</v>
      </c>
      <c r="E76" s="5" t="s">
        <v>34</v>
      </c>
    </row>
    <row r="77" spans="1:5" x14ac:dyDescent="0.4">
      <c r="A77" s="5" t="s">
        <v>33</v>
      </c>
      <c r="B77" s="5" t="s">
        <v>17</v>
      </c>
      <c r="C77" s="6">
        <f>_xll.ciqfunctions.udf.CIQ($B$1,"IQ_RD_EXP","IQ_FY-5")</f>
        <v>43080</v>
      </c>
      <c r="D77" s="7">
        <f t="shared" si="2"/>
        <v>43080</v>
      </c>
      <c r="E77" s="5" t="s">
        <v>34</v>
      </c>
    </row>
    <row r="78" spans="1:5" x14ac:dyDescent="0.4">
      <c r="A78" s="5" t="s">
        <v>33</v>
      </c>
      <c r="B78" s="5" t="s">
        <v>18</v>
      </c>
      <c r="C78" s="6">
        <f>_xll.ciqfunctions.udf.CIQ($B$1,"IQ_RD_EXP","IQ_FY-6")</f>
        <v>37435</v>
      </c>
      <c r="D78" s="7">
        <f t="shared" si="2"/>
        <v>37435</v>
      </c>
      <c r="E78" s="5" t="s">
        <v>34</v>
      </c>
    </row>
    <row r="79" spans="1:5" x14ac:dyDescent="0.4">
      <c r="A79" s="5" t="s">
        <v>33</v>
      </c>
      <c r="B79" s="5" t="s">
        <v>19</v>
      </c>
      <c r="C79" s="6">
        <f>_xll.ciqfunctions.udf.CIQ($B$1,"IQ_RD_EXP","IQ_FY-7")</f>
        <v>22754</v>
      </c>
      <c r="D79" s="7">
        <f t="shared" si="2"/>
        <v>22754</v>
      </c>
      <c r="E79" s="5" t="s">
        <v>34</v>
      </c>
    </row>
    <row r="80" spans="1:5" x14ac:dyDescent="0.4">
      <c r="A80" s="5" t="s">
        <v>33</v>
      </c>
      <c r="B80" s="5" t="s">
        <v>20</v>
      </c>
      <c r="C80" s="6">
        <f>_xll.ciqfunctions.udf.CIQ($B$1,"IQ_RD_EXP","IQ_FY-8")</f>
        <v>17060</v>
      </c>
      <c r="D80" s="7">
        <f t="shared" si="2"/>
        <v>17060</v>
      </c>
      <c r="E80" s="5" t="s">
        <v>34</v>
      </c>
    </row>
    <row r="81" spans="1:5" x14ac:dyDescent="0.4">
      <c r="A81" s="5" t="s">
        <v>33</v>
      </c>
      <c r="B81" s="5" t="s">
        <v>21</v>
      </c>
      <c r="C81" s="6">
        <f>_xll.ciqfunctions.udf.CIQ($B$1,"IQ_RD_EXP","IQ_FY-9")</f>
        <v>13788</v>
      </c>
      <c r="D81" s="7">
        <f t="shared" si="2"/>
        <v>13788</v>
      </c>
      <c r="E81" s="5" t="s">
        <v>34</v>
      </c>
    </row>
    <row r="82" spans="1:5" x14ac:dyDescent="0.4">
      <c r="A82" s="5" t="s">
        <v>33</v>
      </c>
      <c r="B82" s="5" t="s">
        <v>22</v>
      </c>
      <c r="C82" s="6">
        <f>_xll.ciqfunctions.udf.CIQ($B$1,"IQ_RD_EXP","IQ_FY-10")</f>
        <v>10658</v>
      </c>
      <c r="D82" s="7">
        <f t="shared" si="2"/>
        <v>10658</v>
      </c>
      <c r="E82" s="5" t="s">
        <v>34</v>
      </c>
    </row>
    <row r="83" spans="1:5" x14ac:dyDescent="0.4">
      <c r="A83" s="5" t="s">
        <v>35</v>
      </c>
      <c r="B83" s="5" t="s">
        <v>11</v>
      </c>
      <c r="C83" s="6">
        <f>ABS(_xll.ciqfunctions.udf.CIQ($B$1,"IQ_CAPEX","IQ_FY-0"))</f>
        <v>85972</v>
      </c>
      <c r="D83" s="7">
        <f t="shared" si="2"/>
        <v>85972</v>
      </c>
      <c r="E83" s="5" t="s">
        <v>36</v>
      </c>
    </row>
    <row r="84" spans="1:5" x14ac:dyDescent="0.4">
      <c r="A84" s="5" t="s">
        <v>35</v>
      </c>
      <c r="B84" s="5" t="s">
        <v>13</v>
      </c>
      <c r="C84" s="6">
        <f>ABS(_xll.ciqfunctions.udf.CIQ($B$1,"IQ_CAPEX","IQ_FY-1"))</f>
        <v>32087</v>
      </c>
      <c r="D84" s="7">
        <f t="shared" si="2"/>
        <v>32087</v>
      </c>
      <c r="E84" s="5" t="s">
        <v>36</v>
      </c>
    </row>
    <row r="85" spans="1:5" x14ac:dyDescent="0.4">
      <c r="A85" s="5" t="s">
        <v>35</v>
      </c>
      <c r="B85" s="5" t="s">
        <v>14</v>
      </c>
      <c r="C85" s="6">
        <f>ABS(_xll.ciqfunctions.udf.CIQ($B$1,"IQ_CAPEX","IQ_FY-2"))</f>
        <v>34330</v>
      </c>
      <c r="D85" s="7">
        <f t="shared" si="2"/>
        <v>34330</v>
      </c>
      <c r="E85" s="5" t="s">
        <v>36</v>
      </c>
    </row>
    <row r="86" spans="1:5" x14ac:dyDescent="0.4">
      <c r="A86" s="5" t="s">
        <v>35</v>
      </c>
      <c r="B86" s="5" t="s">
        <v>15</v>
      </c>
      <c r="C86" s="6">
        <f>ABS(_xll.ciqfunctions.udf.CIQ($B$1,"IQ_CAPEX","IQ_FY-3"))</f>
        <v>53309</v>
      </c>
      <c r="D86" s="7">
        <f t="shared" si="2"/>
        <v>53309</v>
      </c>
      <c r="E86" s="5" t="s">
        <v>36</v>
      </c>
    </row>
    <row r="87" spans="1:5" x14ac:dyDescent="0.4">
      <c r="A87" s="5" t="s">
        <v>35</v>
      </c>
      <c r="B87" s="5" t="s">
        <v>16</v>
      </c>
      <c r="C87" s="6">
        <f>ABS(_xll.ciqfunctions.udf.CIQ($B$1,"IQ_CAPEX","IQ_FY-4"))</f>
        <v>41450</v>
      </c>
      <c r="D87" s="7">
        <f t="shared" si="2"/>
        <v>41450</v>
      </c>
      <c r="E87" s="5" t="s">
        <v>36</v>
      </c>
    </row>
    <row r="88" spans="1:5" x14ac:dyDescent="0.4">
      <c r="A88" s="5" t="s">
        <v>35</v>
      </c>
      <c r="B88" s="5" t="s">
        <v>17</v>
      </c>
      <c r="C88" s="6">
        <f>ABS(_xll.ciqfunctions.udf.CIQ($B$1,"IQ_CAPEX","IQ_FY-5"))</f>
        <v>32550</v>
      </c>
      <c r="D88" s="7">
        <f t="shared" si="2"/>
        <v>32550</v>
      </c>
      <c r="E88" s="5" t="s">
        <v>36</v>
      </c>
    </row>
    <row r="89" spans="1:5" x14ac:dyDescent="0.4">
      <c r="A89" s="5" t="s">
        <v>35</v>
      </c>
      <c r="B89" s="5" t="s">
        <v>18</v>
      </c>
      <c r="C89" s="6">
        <f>ABS(_xll.ciqfunctions.udf.CIQ($B$1,"IQ_CAPEX","IQ_FY-6"))</f>
        <v>35482</v>
      </c>
      <c r="D89" s="7">
        <f t="shared" si="2"/>
        <v>35482</v>
      </c>
      <c r="E89" s="5" t="s">
        <v>36</v>
      </c>
    </row>
    <row r="90" spans="1:5" x14ac:dyDescent="0.4">
      <c r="A90" s="5" t="s">
        <v>35</v>
      </c>
      <c r="B90" s="5" t="s">
        <v>19</v>
      </c>
      <c r="C90" s="6">
        <f>ABS(_xll.ciqfunctions.udf.CIQ($B$1,"IQ_CAPEX","IQ_FY-7"))</f>
        <v>19628</v>
      </c>
      <c r="D90" s="7">
        <f t="shared" si="2"/>
        <v>19628</v>
      </c>
      <c r="E90" s="5" t="s">
        <v>36</v>
      </c>
    </row>
    <row r="91" spans="1:5" x14ac:dyDescent="0.4">
      <c r="A91" s="5" t="s">
        <v>35</v>
      </c>
      <c r="B91" s="5" t="s">
        <v>20</v>
      </c>
      <c r="C91" s="6">
        <f>ABS(_xll.ciqfunctions.udf.CIQ($B$1,"IQ_CAPEX","IQ_FY-8"))</f>
        <v>11006</v>
      </c>
      <c r="D91" s="7">
        <f t="shared" si="2"/>
        <v>11006</v>
      </c>
      <c r="E91" s="5" t="s">
        <v>36</v>
      </c>
    </row>
    <row r="92" spans="1:5" x14ac:dyDescent="0.4">
      <c r="A92" s="5" t="s">
        <v>35</v>
      </c>
      <c r="B92" s="5" t="s">
        <v>21</v>
      </c>
      <c r="C92" s="6">
        <f>ABS(_xll.ciqfunctions.udf.CIQ($B$1,"IQ_CAPEX","IQ_FY-9"))</f>
        <v>10845</v>
      </c>
      <c r="D92" s="7">
        <f t="shared" si="2"/>
        <v>10845</v>
      </c>
      <c r="E92" s="5" t="s">
        <v>36</v>
      </c>
    </row>
    <row r="93" spans="1:5" x14ac:dyDescent="0.4">
      <c r="A93" s="5" t="s">
        <v>35</v>
      </c>
      <c r="B93" s="5" t="s">
        <v>22</v>
      </c>
      <c r="C93" s="6">
        <f>ABS(_xll.ciqfunctions.udf.CIQ($B$1,"IQ_CAPEX","IQ_FY-10"))</f>
        <v>7705</v>
      </c>
      <c r="D93" s="7">
        <f t="shared" si="2"/>
        <v>7705</v>
      </c>
      <c r="E93" s="5" t="s">
        <v>36</v>
      </c>
    </row>
    <row r="94" spans="1:5" x14ac:dyDescent="0.4">
      <c r="A94" s="5" t="s">
        <v>37</v>
      </c>
      <c r="B94" s="5" t="s">
        <v>11</v>
      </c>
      <c r="C94" s="6">
        <f>ABS(_xll.ciqfunctions.udf.CIQ($B$1,"IQ_OPERATING_LEASE_PAYMENTS","IQ_FY-0"))</f>
        <v>0</v>
      </c>
      <c r="D94" s="7">
        <f t="shared" si="2"/>
        <v>0</v>
      </c>
      <c r="E94" s="5" t="s">
        <v>38</v>
      </c>
    </row>
    <row r="95" spans="1:5" x14ac:dyDescent="0.4">
      <c r="A95" s="5" t="s">
        <v>37</v>
      </c>
      <c r="B95" s="5" t="s">
        <v>13</v>
      </c>
      <c r="C95" s="6">
        <f>ABS(_xll.ciqfunctions.udf.CIQ($B$1,"IQ_OPERATING_LEASE_PAYMENTS","IQ_FY-1"))</f>
        <v>0</v>
      </c>
      <c r="D95" s="7">
        <f t="shared" si="2"/>
        <v>0</v>
      </c>
      <c r="E95" s="5" t="s">
        <v>38</v>
      </c>
    </row>
    <row r="96" spans="1:5" x14ac:dyDescent="0.4">
      <c r="A96" s="5" t="s">
        <v>37</v>
      </c>
      <c r="B96" s="5" t="s">
        <v>14</v>
      </c>
      <c r="C96" s="6">
        <f>ABS(_xll.ciqfunctions.udf.CIQ($B$1,"IQ_OPERATING_LEASE_PAYMENTS","IQ_FY-2"))</f>
        <v>0</v>
      </c>
      <c r="D96" s="7">
        <f t="shared" si="2"/>
        <v>0</v>
      </c>
      <c r="E96" s="5" t="s">
        <v>38</v>
      </c>
    </row>
    <row r="97" spans="1:5" x14ac:dyDescent="0.4">
      <c r="A97" s="5" t="s">
        <v>37</v>
      </c>
      <c r="B97" s="5" t="s">
        <v>15</v>
      </c>
      <c r="C97" s="6">
        <f>ABS(_xll.ciqfunctions.udf.CIQ($B$1,"IQ_OPERATING_LEASE_PAYMENTS","IQ_FY-3"))</f>
        <v>0</v>
      </c>
      <c r="D97" s="7">
        <f t="shared" si="2"/>
        <v>0</v>
      </c>
      <c r="E97" s="5" t="s">
        <v>38</v>
      </c>
    </row>
    <row r="98" spans="1:5" x14ac:dyDescent="0.4">
      <c r="A98" s="5" t="s">
        <v>37</v>
      </c>
      <c r="B98" s="5" t="s">
        <v>16</v>
      </c>
      <c r="C98" s="6">
        <f>ABS(_xll.ciqfunctions.udf.CIQ($B$1,"IQ_OPERATING_LEASE_PAYMENTS","IQ_FY-4"))</f>
        <v>0</v>
      </c>
      <c r="D98" s="7">
        <f t="shared" si="2"/>
        <v>0</v>
      </c>
      <c r="E98" s="5" t="s">
        <v>38</v>
      </c>
    </row>
    <row r="99" spans="1:5" x14ac:dyDescent="0.4">
      <c r="A99" s="5" t="s">
        <v>37</v>
      </c>
      <c r="B99" s="5" t="s">
        <v>17</v>
      </c>
      <c r="C99" s="6">
        <f>ABS(_xll.ciqfunctions.udf.CIQ($B$1,"IQ_OPERATING_LEASE_PAYMENTS","IQ_FY-5"))</f>
        <v>0</v>
      </c>
      <c r="D99" s="7">
        <f t="shared" si="2"/>
        <v>0</v>
      </c>
      <c r="E99" s="5" t="s">
        <v>38</v>
      </c>
    </row>
    <row r="100" spans="1:5" x14ac:dyDescent="0.4">
      <c r="A100" s="5" t="s">
        <v>37</v>
      </c>
      <c r="B100" s="5" t="s">
        <v>18</v>
      </c>
      <c r="C100" s="6">
        <f>ABS(_xll.ciqfunctions.udf.CIQ($B$1,"IQ_OPERATING_LEASE_PAYMENTS","IQ_FY-6"))</f>
        <v>0</v>
      </c>
      <c r="D100" s="7">
        <f t="shared" si="2"/>
        <v>0</v>
      </c>
      <c r="E100" s="5" t="s">
        <v>38</v>
      </c>
    </row>
    <row r="101" spans="1:5" x14ac:dyDescent="0.4">
      <c r="A101" s="5" t="s">
        <v>37</v>
      </c>
      <c r="B101" s="5" t="s">
        <v>19</v>
      </c>
      <c r="C101" s="6">
        <f>ABS(_xll.ciqfunctions.udf.CIQ($B$1,"IQ_OPERATING_LEASE_PAYMENTS","IQ_FY-7"))</f>
        <v>0</v>
      </c>
      <c r="D101" s="7">
        <f t="shared" si="2"/>
        <v>0</v>
      </c>
      <c r="E101" s="5" t="s">
        <v>38</v>
      </c>
    </row>
    <row r="102" spans="1:5" x14ac:dyDescent="0.4">
      <c r="A102" s="5" t="s">
        <v>37</v>
      </c>
      <c r="B102" s="5" t="s">
        <v>20</v>
      </c>
      <c r="C102" s="6">
        <f>ABS(_xll.ciqfunctions.udf.CIQ($B$1,"IQ_OPERATING_LEASE_PAYMENTS","IQ_FY-8"))</f>
        <v>0</v>
      </c>
      <c r="D102" s="7">
        <f t="shared" ref="D102:D133" si="3">C102</f>
        <v>0</v>
      </c>
      <c r="E102" s="5" t="s">
        <v>38</v>
      </c>
    </row>
    <row r="103" spans="1:5" x14ac:dyDescent="0.4">
      <c r="A103" s="5" t="s">
        <v>37</v>
      </c>
      <c r="B103" s="5" t="s">
        <v>21</v>
      </c>
      <c r="C103" s="6">
        <f>ABS(_xll.ciqfunctions.udf.CIQ($B$1,"IQ_OPERATING_LEASE_PAYMENTS","IQ_FY-9"))</f>
        <v>0</v>
      </c>
      <c r="D103" s="7">
        <f t="shared" si="3"/>
        <v>0</v>
      </c>
      <c r="E103" s="5" t="s">
        <v>38</v>
      </c>
    </row>
    <row r="104" spans="1:5" x14ac:dyDescent="0.4">
      <c r="A104" s="5" t="s">
        <v>37</v>
      </c>
      <c r="B104" s="5" t="s">
        <v>22</v>
      </c>
      <c r="C104" s="6">
        <f>ABS(_xll.ciqfunctions.udf.CIQ($B$1,"IQ_OPERATING_LEASE_PAYMENTS","IQ_FY-10"))</f>
        <v>0</v>
      </c>
      <c r="D104" s="7">
        <f t="shared" si="3"/>
        <v>0</v>
      </c>
      <c r="E104" s="5" t="s">
        <v>38</v>
      </c>
    </row>
    <row r="105" spans="1:5" x14ac:dyDescent="0.4">
      <c r="A105" s="5" t="s">
        <v>39</v>
      </c>
      <c r="B105" s="5" t="s">
        <v>11</v>
      </c>
      <c r="C105" s="6">
        <f>_xll.ciqfunctions.udf.CIQ($B$1,"IQ_EBT_EXCL","IQ_FY-0")</f>
        <v>172203</v>
      </c>
      <c r="D105" s="7">
        <f t="shared" si="3"/>
        <v>172203</v>
      </c>
      <c r="E105" s="5" t="s">
        <v>40</v>
      </c>
    </row>
    <row r="106" spans="1:5" x14ac:dyDescent="0.4">
      <c r="A106" s="5" t="s">
        <v>39</v>
      </c>
      <c r="B106" s="5" t="s">
        <v>13</v>
      </c>
      <c r="C106" s="6">
        <f>_xll.ciqfunctions.udf.CIQ($B$1,"IQ_EBT_EXCL","IQ_FY-1")</f>
        <v>129193</v>
      </c>
      <c r="D106" s="7">
        <f t="shared" si="3"/>
        <v>129193</v>
      </c>
      <c r="E106" s="5" t="s">
        <v>40</v>
      </c>
    </row>
    <row r="107" spans="1:5" x14ac:dyDescent="0.4">
      <c r="A107" s="5" t="s">
        <v>39</v>
      </c>
      <c r="B107" s="5" t="s">
        <v>14</v>
      </c>
      <c r="C107" s="6">
        <f>_xll.ciqfunctions.udf.CIQ($B$1,"IQ_EBT_EXCL","IQ_FY-2")</f>
        <v>97962</v>
      </c>
      <c r="D107" s="7">
        <f t="shared" si="3"/>
        <v>97962</v>
      </c>
      <c r="E107" s="5" t="s">
        <v>40</v>
      </c>
    </row>
    <row r="108" spans="1:5" x14ac:dyDescent="0.4">
      <c r="A108" s="5" t="s">
        <v>39</v>
      </c>
      <c r="B108" s="5" t="s">
        <v>15</v>
      </c>
      <c r="C108" s="6">
        <f>_xll.ciqfunctions.udf.CIQ($B$1,"IQ_EBT_EXCL","IQ_FY-3")</f>
        <v>116455</v>
      </c>
      <c r="D108" s="7">
        <f t="shared" si="3"/>
        <v>116455</v>
      </c>
      <c r="E108" s="5" t="s">
        <v>40</v>
      </c>
    </row>
    <row r="109" spans="1:5" x14ac:dyDescent="0.4">
      <c r="A109" s="5" t="s">
        <v>39</v>
      </c>
      <c r="B109" s="5" t="s">
        <v>16</v>
      </c>
      <c r="C109" s="6">
        <f>_xll.ciqfunctions.udf.CIQ($B$1,"IQ_EBT_EXCL","IQ_FY-4")</f>
        <v>192478</v>
      </c>
      <c r="D109" s="7">
        <f t="shared" si="3"/>
        <v>192478</v>
      </c>
      <c r="E109" s="5" t="s">
        <v>40</v>
      </c>
    </row>
    <row r="110" spans="1:5" x14ac:dyDescent="0.4">
      <c r="A110" s="5" t="s">
        <v>39</v>
      </c>
      <c r="B110" s="5" t="s">
        <v>17</v>
      </c>
      <c r="C110" s="6">
        <f>_xll.ciqfunctions.udf.CIQ($B$1,"IQ_EBT_EXCL","IQ_FY-5")</f>
        <v>165016</v>
      </c>
      <c r="D110" s="7">
        <f t="shared" si="3"/>
        <v>165016</v>
      </c>
      <c r="E110" s="5" t="s">
        <v>40</v>
      </c>
    </row>
    <row r="111" spans="1:5" x14ac:dyDescent="0.4">
      <c r="A111" s="5" t="s">
        <v>39</v>
      </c>
      <c r="B111" s="5" t="s">
        <v>18</v>
      </c>
      <c r="C111" s="6">
        <f>_xll.ciqfunctions.udf.CIQ($B$1,"IQ_EBT_EXCL","IQ_FY-6")</f>
        <v>101309</v>
      </c>
      <c r="D111" s="7">
        <f t="shared" si="3"/>
        <v>101309</v>
      </c>
      <c r="E111" s="5" t="s">
        <v>40</v>
      </c>
    </row>
    <row r="112" spans="1:5" x14ac:dyDescent="0.4">
      <c r="A112" s="5" t="s">
        <v>39</v>
      </c>
      <c r="B112" s="5" t="s">
        <v>19</v>
      </c>
      <c r="C112" s="6">
        <f>_xll.ciqfunctions.udf.CIQ($B$1,"IQ_EBT_EXCL","IQ_FY-7")</f>
        <v>80906</v>
      </c>
      <c r="D112" s="7">
        <f t="shared" si="3"/>
        <v>80906</v>
      </c>
      <c r="E112" s="5" t="s">
        <v>40</v>
      </c>
    </row>
    <row r="113" spans="1:5" x14ac:dyDescent="0.4">
      <c r="A113" s="5" t="s">
        <v>39</v>
      </c>
      <c r="B113" s="5" t="s">
        <v>20</v>
      </c>
      <c r="C113" s="6">
        <f>_xll.ciqfunctions.udf.CIQ($B$1,"IQ_EBT_EXCL","IQ_FY-8")</f>
        <v>55859</v>
      </c>
      <c r="D113" s="7">
        <f t="shared" si="3"/>
        <v>55859</v>
      </c>
      <c r="E113" s="5" t="s">
        <v>40</v>
      </c>
    </row>
    <row r="114" spans="1:5" x14ac:dyDescent="0.4">
      <c r="A114" s="5" t="s">
        <v>39</v>
      </c>
      <c r="B114" s="5" t="s">
        <v>21</v>
      </c>
      <c r="C114" s="6">
        <f>_xll.ciqfunctions.udf.CIQ($B$1,"IQ_EBT_EXCL","IQ_FY-9")</f>
        <v>80193</v>
      </c>
      <c r="D114" s="7">
        <f t="shared" si="3"/>
        <v>80193</v>
      </c>
      <c r="E114" s="5" t="s">
        <v>40</v>
      </c>
    </row>
    <row r="115" spans="1:5" x14ac:dyDescent="0.4">
      <c r="A115" s="5" t="s">
        <v>39</v>
      </c>
      <c r="B115" s="5" t="s">
        <v>22</v>
      </c>
      <c r="C115" s="6">
        <f>_xll.ciqfunctions.udf.CIQ($B$1,"IQ_EBT_EXCL","IQ_FY-10")</f>
        <v>30911</v>
      </c>
      <c r="D115" s="7">
        <f t="shared" si="3"/>
        <v>30911</v>
      </c>
      <c r="E115" s="5" t="s">
        <v>40</v>
      </c>
    </row>
    <row r="116" spans="1:5" x14ac:dyDescent="0.4">
      <c r="A116" s="5" t="s">
        <v>41</v>
      </c>
      <c r="B116" s="5" t="s">
        <v>11</v>
      </c>
      <c r="C116" s="6">
        <f>_xll.ciqfunctions.udf.CIQ($B$1,"IQ_INC_TAX","IQ_FY-0")</f>
        <v>35445</v>
      </c>
      <c r="D116" s="7">
        <f t="shared" si="3"/>
        <v>35445</v>
      </c>
      <c r="E116" s="5" t="s">
        <v>42</v>
      </c>
    </row>
    <row r="117" spans="1:5" x14ac:dyDescent="0.4">
      <c r="A117" s="5" t="s">
        <v>41</v>
      </c>
      <c r="B117" s="5" t="s">
        <v>13</v>
      </c>
      <c r="C117" s="6">
        <f>_xll.ciqfunctions.udf.CIQ($B$1,"IQ_INC_TAX","IQ_FY-1")</f>
        <v>22529</v>
      </c>
      <c r="D117" s="7">
        <f t="shared" si="3"/>
        <v>22529</v>
      </c>
      <c r="E117" s="5" t="s">
        <v>42</v>
      </c>
    </row>
    <row r="118" spans="1:5" x14ac:dyDescent="0.4">
      <c r="A118" s="5" t="s">
        <v>41</v>
      </c>
      <c r="B118" s="5" t="s">
        <v>14</v>
      </c>
      <c r="C118" s="6">
        <f>_xll.ciqfunctions.udf.CIQ($B$1,"IQ_INC_TAX","IQ_FY-2")</f>
        <v>15549</v>
      </c>
      <c r="D118" s="7">
        <f t="shared" si="3"/>
        <v>15549</v>
      </c>
      <c r="E118" s="5" t="s">
        <v>42</v>
      </c>
    </row>
    <row r="119" spans="1:5" x14ac:dyDescent="0.4">
      <c r="A119" s="5" t="s">
        <v>41</v>
      </c>
      <c r="B119" s="5" t="s">
        <v>15</v>
      </c>
      <c r="C119" s="6">
        <f>_xll.ciqfunctions.udf.CIQ($B$1,"IQ_INC_TAX","IQ_FY-3")</f>
        <v>26815</v>
      </c>
      <c r="D119" s="7">
        <f t="shared" si="3"/>
        <v>26815</v>
      </c>
      <c r="E119" s="5" t="s">
        <v>42</v>
      </c>
    </row>
    <row r="120" spans="1:5" x14ac:dyDescent="0.4">
      <c r="A120" s="5" t="s">
        <v>41</v>
      </c>
      <c r="B120" s="5" t="s">
        <v>16</v>
      </c>
      <c r="C120" s="6">
        <f>_xll.ciqfunctions.udf.CIQ($B$1,"IQ_INC_TAX","IQ_FY-4")</f>
        <v>29278</v>
      </c>
      <c r="D120" s="7">
        <f t="shared" si="3"/>
        <v>29278</v>
      </c>
      <c r="E120" s="5" t="s">
        <v>42</v>
      </c>
    </row>
    <row r="121" spans="1:5" x14ac:dyDescent="0.4">
      <c r="A121" s="5" t="s">
        <v>41</v>
      </c>
      <c r="B121" s="5" t="s">
        <v>17</v>
      </c>
      <c r="C121" s="6">
        <f>_xll.ciqfunctions.udf.CIQ($B$1,"IQ_INC_TAX","IQ_FY-5")</f>
        <v>20562</v>
      </c>
      <c r="D121" s="7">
        <f t="shared" si="3"/>
        <v>20562</v>
      </c>
      <c r="E121" s="5" t="s">
        <v>42</v>
      </c>
    </row>
    <row r="122" spans="1:5" x14ac:dyDescent="0.4">
      <c r="A122" s="5" t="s">
        <v>41</v>
      </c>
      <c r="B122" s="5" t="s">
        <v>18</v>
      </c>
      <c r="C122" s="6">
        <f>_xll.ciqfunctions.udf.CIQ($B$1,"IQ_INC_TAX","IQ_FY-6")</f>
        <v>16553</v>
      </c>
      <c r="D122" s="7">
        <f t="shared" si="3"/>
        <v>16553</v>
      </c>
      <c r="E122" s="5" t="s">
        <v>42</v>
      </c>
    </row>
    <row r="123" spans="1:5" x14ac:dyDescent="0.4">
      <c r="A123" s="5" t="s">
        <v>41</v>
      </c>
      <c r="B123" s="5" t="s">
        <v>19</v>
      </c>
      <c r="C123" s="6">
        <f>_xll.ciqfunctions.udf.CIQ($B$1,"IQ_INC_TAX","IQ_FY-7")</f>
        <v>18199</v>
      </c>
      <c r="D123" s="7">
        <f t="shared" si="3"/>
        <v>18199</v>
      </c>
      <c r="E123" s="5" t="s">
        <v>42</v>
      </c>
    </row>
    <row r="124" spans="1:5" x14ac:dyDescent="0.4">
      <c r="A124" s="5" t="s">
        <v>41</v>
      </c>
      <c r="B124" s="5" t="s">
        <v>20</v>
      </c>
      <c r="C124" s="6">
        <f>_xll.ciqfunctions.udf.CIQ($B$1,"IQ_INC_TAX","IQ_FY-8")</f>
        <v>13776</v>
      </c>
      <c r="D124" s="7">
        <f t="shared" si="3"/>
        <v>13776</v>
      </c>
      <c r="E124" s="5" t="s">
        <v>42</v>
      </c>
    </row>
    <row r="125" spans="1:5" x14ac:dyDescent="0.4">
      <c r="A125" s="5" t="s">
        <v>41</v>
      </c>
      <c r="B125" s="5" t="s">
        <v>21</v>
      </c>
      <c r="C125" s="6">
        <f>_xll.ciqfunctions.udf.CIQ($B$1,"IQ_INC_TAX","IQ_FY-9")</f>
        <v>8449</v>
      </c>
      <c r="D125" s="7">
        <f t="shared" si="3"/>
        <v>8449</v>
      </c>
      <c r="E125" s="5" t="s">
        <v>42</v>
      </c>
    </row>
    <row r="126" spans="1:5" x14ac:dyDescent="0.4">
      <c r="A126" s="5" t="s">
        <v>41</v>
      </c>
      <c r="B126" s="5" t="s">
        <v>22</v>
      </c>
      <c r="C126" s="6">
        <f>_xll.ciqfunctions.udf.CIQ($B$1,"IQ_INC_TAX","IQ_FY-10")</f>
        <v>6416</v>
      </c>
      <c r="D126" s="7">
        <f t="shared" si="3"/>
        <v>6416</v>
      </c>
      <c r="E126" s="5" t="s">
        <v>42</v>
      </c>
    </row>
    <row r="127" spans="1:5" x14ac:dyDescent="0.4">
      <c r="A127" s="8" t="s">
        <v>43</v>
      </c>
      <c r="B127" s="9"/>
      <c r="C127" s="9"/>
      <c r="D127" s="9"/>
      <c r="E127" s="9"/>
    </row>
    <row r="128" spans="1:5" x14ac:dyDescent="0.4">
      <c r="A128" s="5" t="s">
        <v>10</v>
      </c>
      <c r="B128" s="5" t="s">
        <v>44</v>
      </c>
      <c r="C128" s="6">
        <f>_xll.ciqfunctions.udf.CIQ($B$1,"IQ_TOTAL_REV","IQ_FQ-0")</f>
        <v>284843</v>
      </c>
      <c r="D128" s="7">
        <f t="shared" ref="D128:D159" si="4">C128</f>
        <v>284843</v>
      </c>
      <c r="E128" s="5" t="s">
        <v>12</v>
      </c>
    </row>
    <row r="129" spans="1:5" x14ac:dyDescent="0.4">
      <c r="A129" s="5" t="s">
        <v>10</v>
      </c>
      <c r="B129" s="5" t="s">
        <v>45</v>
      </c>
      <c r="C129" s="6">
        <f>_xll.ciqfunctions.udf.CIQ($B$1,"IQ_TOTAL_REV","IQ_FQ-1")</f>
        <v>247795</v>
      </c>
      <c r="D129" s="7">
        <f t="shared" si="4"/>
        <v>247795</v>
      </c>
      <c r="E129" s="5" t="s">
        <v>12</v>
      </c>
    </row>
    <row r="130" spans="1:5" x14ac:dyDescent="0.4">
      <c r="A130" s="5" t="s">
        <v>10</v>
      </c>
      <c r="B130" s="5" t="s">
        <v>46</v>
      </c>
      <c r="C130" s="6">
        <f>_xll.ciqfunctions.udf.CIQ($B$1,"IQ_TOTAL_REV","IQ_FQ-2")</f>
        <v>247652</v>
      </c>
      <c r="D130" s="7">
        <f t="shared" si="4"/>
        <v>247652</v>
      </c>
      <c r="E130" s="5" t="s">
        <v>12</v>
      </c>
    </row>
    <row r="131" spans="1:5" x14ac:dyDescent="0.4">
      <c r="A131" s="5" t="s">
        <v>10</v>
      </c>
      <c r="B131" s="5" t="s">
        <v>47</v>
      </c>
      <c r="C131" s="6">
        <f>_xll.ciqfunctions.udf.CIQ($B$1,"IQ_TOTAL_REV","IQ_FQ-3")</f>
        <v>236454</v>
      </c>
      <c r="D131" s="7">
        <f t="shared" si="4"/>
        <v>236454</v>
      </c>
      <c r="E131" s="5" t="s">
        <v>12</v>
      </c>
    </row>
    <row r="132" spans="1:5" x14ac:dyDescent="0.4">
      <c r="A132" s="5" t="s">
        <v>10</v>
      </c>
      <c r="B132" s="5" t="s">
        <v>48</v>
      </c>
      <c r="C132" s="6">
        <f>_xll.ciqfunctions.udf.CIQ($B$1,"IQ_TOTAL_REV","IQ_FQ-4")</f>
        <v>280154</v>
      </c>
      <c r="D132" s="7">
        <f t="shared" si="4"/>
        <v>280154</v>
      </c>
      <c r="E132" s="5" t="s">
        <v>12</v>
      </c>
    </row>
    <row r="133" spans="1:5" x14ac:dyDescent="0.4">
      <c r="A133" s="5" t="s">
        <v>10</v>
      </c>
      <c r="B133" s="5" t="s">
        <v>49</v>
      </c>
      <c r="C133" s="6">
        <f>_xll.ciqfunctions.udf.CIQ($B$1,"IQ_TOTAL_REV","IQ_FQ-5")</f>
        <v>236503</v>
      </c>
      <c r="D133" s="7">
        <f t="shared" si="4"/>
        <v>236503</v>
      </c>
      <c r="E133" s="5" t="s">
        <v>12</v>
      </c>
    </row>
    <row r="134" spans="1:5" x14ac:dyDescent="0.4">
      <c r="A134" s="5" t="s">
        <v>10</v>
      </c>
      <c r="B134" s="5" t="s">
        <v>50</v>
      </c>
      <c r="C134" s="6">
        <f>_xll.ciqfunctions.udf.CIQ($B$1,"IQ_TOTAL_REV","IQ_FQ-6")</f>
        <v>243236</v>
      </c>
      <c r="D134" s="7">
        <f t="shared" si="4"/>
        <v>243236</v>
      </c>
      <c r="E134" s="5" t="s">
        <v>12</v>
      </c>
    </row>
    <row r="135" spans="1:5" x14ac:dyDescent="0.4">
      <c r="A135" s="5" t="s">
        <v>10</v>
      </c>
      <c r="B135" s="5" t="s">
        <v>51</v>
      </c>
      <c r="C135" s="6">
        <f>_xll.ciqfunctions.udf.CIQ($B$1,"IQ_TOTAL_REV","IQ_FQ-7")</f>
        <v>221874</v>
      </c>
      <c r="D135" s="7">
        <f t="shared" si="4"/>
        <v>221874</v>
      </c>
      <c r="E135" s="5" t="s">
        <v>12</v>
      </c>
    </row>
    <row r="136" spans="1:5" x14ac:dyDescent="0.4">
      <c r="A136" s="5" t="s">
        <v>23</v>
      </c>
      <c r="B136" s="5" t="s">
        <v>44</v>
      </c>
      <c r="C136" s="6">
        <f>_xll.ciqfunctions.udf.CIQ($B$1,"IQ_EBIT","IQ_FQ-0")</f>
        <v>20160</v>
      </c>
      <c r="D136" s="7">
        <f t="shared" si="4"/>
        <v>20160</v>
      </c>
      <c r="E136" s="5" t="s">
        <v>24</v>
      </c>
    </row>
    <row r="137" spans="1:5" x14ac:dyDescent="0.4">
      <c r="A137" s="5" t="s">
        <v>23</v>
      </c>
      <c r="B137" s="5" t="s">
        <v>45</v>
      </c>
      <c r="C137" s="6">
        <f>_xll.ciqfunctions.udf.CIQ($B$1,"IQ_EBIT","IQ_FQ-1")</f>
        <v>5365</v>
      </c>
      <c r="D137" s="7">
        <f t="shared" si="4"/>
        <v>5365</v>
      </c>
      <c r="E137" s="5" t="s">
        <v>24</v>
      </c>
    </row>
    <row r="138" spans="1:5" x14ac:dyDescent="0.4">
      <c r="A138" s="5" t="s">
        <v>23</v>
      </c>
      <c r="B138" s="5" t="s">
        <v>46</v>
      </c>
      <c r="C138" s="6">
        <f>_xll.ciqfunctions.udf.CIQ($B$1,"IQ_EBIT","IQ_FQ-2")</f>
        <v>34988</v>
      </c>
      <c r="D138" s="7">
        <f t="shared" si="4"/>
        <v>34988</v>
      </c>
      <c r="E138" s="5" t="s">
        <v>24</v>
      </c>
    </row>
    <row r="139" spans="1:5" x14ac:dyDescent="0.4">
      <c r="A139" s="5" t="s">
        <v>23</v>
      </c>
      <c r="B139" s="5" t="s">
        <v>47</v>
      </c>
      <c r="C139" s="6">
        <f>_xll.ciqfunctions.udf.CIQ($B$1,"IQ_EBIT","IQ_FQ-3")</f>
        <v>33076</v>
      </c>
      <c r="D139" s="7">
        <f t="shared" si="4"/>
        <v>33076</v>
      </c>
      <c r="E139" s="5" t="s">
        <v>24</v>
      </c>
    </row>
    <row r="140" spans="1:5" x14ac:dyDescent="0.4">
      <c r="A140" s="5" t="s">
        <v>23</v>
      </c>
      <c r="B140" s="5" t="s">
        <v>48</v>
      </c>
      <c r="C140" s="6">
        <f>_xll.ciqfunctions.udf.CIQ($B$1,"IQ_EBIT","IQ_FQ-4")</f>
        <v>48002</v>
      </c>
      <c r="D140" s="7">
        <f t="shared" si="4"/>
        <v>48002</v>
      </c>
      <c r="E140" s="5" t="s">
        <v>24</v>
      </c>
    </row>
    <row r="141" spans="1:5" x14ac:dyDescent="0.4">
      <c r="A141" s="5" t="s">
        <v>23</v>
      </c>
      <c r="B141" s="5" t="s">
        <v>49</v>
      </c>
      <c r="C141" s="6">
        <f>_xll.ciqfunctions.udf.CIQ($B$1,"IQ_EBIT","IQ_FQ-5")</f>
        <v>35246</v>
      </c>
      <c r="D141" s="7">
        <f t="shared" si="4"/>
        <v>35246</v>
      </c>
      <c r="E141" s="5" t="s">
        <v>24</v>
      </c>
    </row>
    <row r="142" spans="1:5" x14ac:dyDescent="0.4">
      <c r="A142" s="5" t="s">
        <v>23</v>
      </c>
      <c r="B142" s="5" t="s">
        <v>50</v>
      </c>
      <c r="C142" s="6">
        <f>_xll.ciqfunctions.udf.CIQ($B$1,"IQ_EBIT","IQ_FQ-6")</f>
        <v>39134</v>
      </c>
      <c r="D142" s="7">
        <f t="shared" si="4"/>
        <v>39134</v>
      </c>
      <c r="E142" s="5" t="s">
        <v>24</v>
      </c>
    </row>
    <row r="143" spans="1:5" x14ac:dyDescent="0.4">
      <c r="A143" s="5" t="s">
        <v>23</v>
      </c>
      <c r="B143" s="5" t="s">
        <v>51</v>
      </c>
      <c r="C143" s="6">
        <f>_xll.ciqfunctions.udf.CIQ($B$1,"IQ_EBIT","IQ_FQ-7")</f>
        <v>29612</v>
      </c>
      <c r="D143" s="7">
        <f t="shared" si="4"/>
        <v>29612</v>
      </c>
      <c r="E143" s="5" t="s">
        <v>24</v>
      </c>
    </row>
    <row r="144" spans="1:5" x14ac:dyDescent="0.4">
      <c r="A144" s="5" t="s">
        <v>25</v>
      </c>
      <c r="B144" s="5" t="s">
        <v>44</v>
      </c>
      <c r="C144" s="6">
        <f>_xll.ciqfunctions.udf.CIQ($B$1,"IQ_EBITDA","IQ_FQ-0")</f>
        <v>31661</v>
      </c>
      <c r="D144" s="7">
        <f t="shared" si="4"/>
        <v>31661</v>
      </c>
      <c r="E144" s="5" t="s">
        <v>26</v>
      </c>
    </row>
    <row r="145" spans="1:5" x14ac:dyDescent="0.4">
      <c r="A145" s="5" t="s">
        <v>25</v>
      </c>
      <c r="B145" s="5" t="s">
        <v>45</v>
      </c>
      <c r="C145" s="6">
        <f>_xll.ciqfunctions.udf.CIQ($B$1,"IQ_EBITDA","IQ_FQ-1")</f>
        <v>17852</v>
      </c>
      <c r="D145" s="7">
        <f t="shared" si="4"/>
        <v>17852</v>
      </c>
      <c r="E145" s="5" t="s">
        <v>26</v>
      </c>
    </row>
    <row r="146" spans="1:5" x14ac:dyDescent="0.4">
      <c r="A146" s="5" t="s">
        <v>25</v>
      </c>
      <c r="B146" s="5" t="s">
        <v>46</v>
      </c>
      <c r="C146" s="6">
        <f>_xll.ciqfunctions.udf.CIQ($B$1,"IQ_EBITDA","IQ_FQ-2")</f>
        <v>42686</v>
      </c>
      <c r="D146" s="7">
        <f t="shared" si="4"/>
        <v>42686</v>
      </c>
      <c r="E146" s="5" t="s">
        <v>26</v>
      </c>
    </row>
    <row r="147" spans="1:5" x14ac:dyDescent="0.4">
      <c r="A147" s="5" t="s">
        <v>25</v>
      </c>
      <c r="B147" s="5" t="s">
        <v>47</v>
      </c>
      <c r="C147" s="6">
        <f>_xll.ciqfunctions.udf.CIQ($B$1,"IQ_EBITDA","IQ_FQ-3")</f>
        <v>50565</v>
      </c>
      <c r="D147" s="7">
        <f t="shared" si="4"/>
        <v>50565</v>
      </c>
      <c r="E147" s="5" t="s">
        <v>26</v>
      </c>
    </row>
    <row r="148" spans="1:5" x14ac:dyDescent="0.4">
      <c r="A148" s="5" t="s">
        <v>25</v>
      </c>
      <c r="B148" s="5" t="s">
        <v>48</v>
      </c>
      <c r="C148" s="6">
        <f>_xll.ciqfunctions.udf.CIQ($B$1,"IQ_EBITDA","IQ_FQ-4")</f>
        <v>56639</v>
      </c>
      <c r="D148" s="7">
        <f t="shared" si="4"/>
        <v>56639</v>
      </c>
      <c r="E148" s="5" t="s">
        <v>26</v>
      </c>
    </row>
    <row r="149" spans="1:5" x14ac:dyDescent="0.4">
      <c r="A149" s="5" t="s">
        <v>25</v>
      </c>
      <c r="B149" s="5" t="s">
        <v>49</v>
      </c>
      <c r="C149" s="6">
        <f>_xll.ciqfunctions.udf.CIQ($B$1,"IQ_EBITDA","IQ_FQ-5")</f>
        <v>47342</v>
      </c>
      <c r="D149" s="7">
        <f t="shared" si="4"/>
        <v>47342</v>
      </c>
      <c r="E149" s="5" t="s">
        <v>26</v>
      </c>
    </row>
    <row r="150" spans="1:5" x14ac:dyDescent="0.4">
      <c r="A150" s="5" t="s">
        <v>25</v>
      </c>
      <c r="B150" s="5" t="s">
        <v>50</v>
      </c>
      <c r="C150" s="6">
        <f>_xll.ciqfunctions.udf.CIQ($B$1,"IQ_EBITDA","IQ_FQ-6")</f>
        <v>47052</v>
      </c>
      <c r="D150" s="7">
        <f t="shared" si="4"/>
        <v>47052</v>
      </c>
      <c r="E150" s="5" t="s">
        <v>26</v>
      </c>
    </row>
    <row r="151" spans="1:5" x14ac:dyDescent="0.4">
      <c r="A151" s="5" t="s">
        <v>25</v>
      </c>
      <c r="B151" s="5" t="s">
        <v>51</v>
      </c>
      <c r="C151" s="6">
        <f>_xll.ciqfunctions.udf.CIQ($B$1,"IQ_EBITDA","IQ_FQ-7")</f>
        <v>46887</v>
      </c>
      <c r="D151" s="7">
        <f t="shared" si="4"/>
        <v>46887</v>
      </c>
      <c r="E151" s="5" t="s">
        <v>26</v>
      </c>
    </row>
    <row r="152" spans="1:5" x14ac:dyDescent="0.4">
      <c r="A152" s="5" t="s">
        <v>27</v>
      </c>
      <c r="B152" s="5" t="s">
        <v>44</v>
      </c>
      <c r="C152" s="6">
        <f>_xll.ciqfunctions.udf.CIQ($B$1,"IQ_NI","IQ_FQ-0")</f>
        <v>16383</v>
      </c>
      <c r="D152" s="7">
        <f t="shared" si="4"/>
        <v>16383</v>
      </c>
      <c r="E152" s="5" t="s">
        <v>28</v>
      </c>
    </row>
    <row r="153" spans="1:5" x14ac:dyDescent="0.4">
      <c r="A153" s="5" t="s">
        <v>27</v>
      </c>
      <c r="B153" s="5" t="s">
        <v>45</v>
      </c>
      <c r="C153" s="6">
        <f>_xll.ciqfunctions.udf.CIQ($B$1,"IQ_NI","IQ_FQ-1")</f>
        <v>21019</v>
      </c>
      <c r="D153" s="7">
        <f t="shared" si="4"/>
        <v>21019</v>
      </c>
      <c r="E153" s="5" t="s">
        <v>28</v>
      </c>
    </row>
    <row r="154" spans="1:5" x14ac:dyDescent="0.4">
      <c r="A154" s="5" t="s">
        <v>27</v>
      </c>
      <c r="B154" s="5" t="s">
        <v>46</v>
      </c>
      <c r="C154" s="6">
        <f>_xll.ciqfunctions.udf.CIQ($B$1,"IQ_NI","IQ_FQ-2")</f>
        <v>40649</v>
      </c>
      <c r="D154" s="7">
        <f t="shared" si="4"/>
        <v>40649</v>
      </c>
      <c r="E154" s="5" t="s">
        <v>28</v>
      </c>
    </row>
    <row r="155" spans="1:5" x14ac:dyDescent="0.4">
      <c r="A155" s="5" t="s">
        <v>27</v>
      </c>
      <c r="B155" s="5" t="s">
        <v>47</v>
      </c>
      <c r="C155" s="6">
        <f>_xll.ciqfunctions.udf.CIQ($B$1,"IQ_NI","IQ_FQ-3")</f>
        <v>12559</v>
      </c>
      <c r="D155" s="7">
        <f t="shared" si="4"/>
        <v>12559</v>
      </c>
      <c r="E155" s="5" t="s">
        <v>28</v>
      </c>
    </row>
    <row r="156" spans="1:5" x14ac:dyDescent="0.4">
      <c r="A156" s="5" t="s">
        <v>27</v>
      </c>
      <c r="B156" s="5" t="s">
        <v>48</v>
      </c>
      <c r="C156" s="6">
        <f>_xll.ciqfunctions.udf.CIQ($B$1,"IQ_NI","IQ_FQ-4")</f>
        <v>49127</v>
      </c>
      <c r="D156" s="7">
        <f t="shared" si="4"/>
        <v>49127</v>
      </c>
      <c r="E156" s="5" t="s">
        <v>28</v>
      </c>
    </row>
    <row r="157" spans="1:5" x14ac:dyDescent="0.4">
      <c r="A157" s="5" t="s">
        <v>27</v>
      </c>
      <c r="B157" s="5" t="s">
        <v>49</v>
      </c>
      <c r="C157" s="6">
        <f>_xll.ciqfunctions.udf.CIQ($B$1,"IQ_NI","IQ_FQ-5")</f>
        <v>44033</v>
      </c>
      <c r="D157" s="7">
        <f t="shared" si="4"/>
        <v>44033</v>
      </c>
      <c r="E157" s="5" t="s">
        <v>28</v>
      </c>
    </row>
    <row r="158" spans="1:5" x14ac:dyDescent="0.4">
      <c r="A158" s="5" t="s">
        <v>27</v>
      </c>
      <c r="B158" s="5" t="s">
        <v>50</v>
      </c>
      <c r="C158" s="6">
        <f>_xll.ciqfunctions.udf.CIQ($B$1,"IQ_NI","IQ_FQ-6")</f>
        <v>24390</v>
      </c>
      <c r="D158" s="7">
        <f t="shared" si="4"/>
        <v>24390</v>
      </c>
      <c r="E158" s="5" t="s">
        <v>28</v>
      </c>
    </row>
    <row r="159" spans="1:5" x14ac:dyDescent="0.4">
      <c r="A159" s="5" t="s">
        <v>27</v>
      </c>
      <c r="B159" s="5" t="s">
        <v>51</v>
      </c>
      <c r="C159" s="6">
        <f>_xll.ciqfunctions.udf.CIQ($B$1,"IQ_NI","IQ_FQ-7")</f>
        <v>3365</v>
      </c>
      <c r="D159" s="7">
        <f t="shared" si="4"/>
        <v>3365</v>
      </c>
      <c r="E159" s="5" t="s">
        <v>28</v>
      </c>
    </row>
    <row r="160" spans="1:5" x14ac:dyDescent="0.4">
      <c r="A160" s="5" t="s">
        <v>29</v>
      </c>
      <c r="B160" s="5" t="s">
        <v>44</v>
      </c>
      <c r="C160" s="6">
        <f>ABS(_xll.ciqfunctions.udf.CIQ($B$1,"IQ_INTEREST_EXP","IQ_FQ-0"))</f>
        <v>2557</v>
      </c>
      <c r="D160" s="7">
        <f t="shared" ref="D160:D191" si="5">C160</f>
        <v>2557</v>
      </c>
      <c r="E160" s="5" t="s">
        <v>30</v>
      </c>
    </row>
    <row r="161" spans="1:5" x14ac:dyDescent="0.4">
      <c r="A161" s="5" t="s">
        <v>29</v>
      </c>
      <c r="B161" s="5" t="s">
        <v>45</v>
      </c>
      <c r="C161" s="6">
        <f>ABS(_xll.ciqfunctions.udf.CIQ($B$1,"IQ_INTEREST_EXP","IQ_FQ-1"))</f>
        <v>2517</v>
      </c>
      <c r="D161" s="7">
        <f t="shared" si="5"/>
        <v>2517</v>
      </c>
      <c r="E161" s="5" t="s">
        <v>30</v>
      </c>
    </row>
    <row r="162" spans="1:5" x14ac:dyDescent="0.4">
      <c r="A162" s="5" t="s">
        <v>29</v>
      </c>
      <c r="B162" s="5" t="s">
        <v>46</v>
      </c>
      <c r="C162" s="6">
        <f>ABS(_xll.ciqfunctions.udf.CIQ($B$1,"IQ_INTEREST_EXP","IQ_FQ-2"))</f>
        <v>2478</v>
      </c>
      <c r="D162" s="7">
        <f t="shared" si="5"/>
        <v>2478</v>
      </c>
      <c r="E162" s="5" t="s">
        <v>30</v>
      </c>
    </row>
    <row r="163" spans="1:5" x14ac:dyDescent="0.4">
      <c r="A163" s="5" t="s">
        <v>29</v>
      </c>
      <c r="B163" s="5" t="s">
        <v>47</v>
      </c>
      <c r="C163" s="6">
        <f>ABS(_xll.ciqfunctions.udf.CIQ($B$1,"IQ_INTEREST_EXP","IQ_FQ-3"))</f>
        <v>10012</v>
      </c>
      <c r="D163" s="7">
        <f t="shared" si="5"/>
        <v>10012</v>
      </c>
      <c r="E163" s="5" t="s">
        <v>30</v>
      </c>
    </row>
    <row r="164" spans="1:5" x14ac:dyDescent="0.4">
      <c r="A164" s="5" t="s">
        <v>29</v>
      </c>
      <c r="B164" s="5" t="s">
        <v>48</v>
      </c>
      <c r="C164" s="6">
        <f>ABS(_xll.ciqfunctions.udf.CIQ($B$1,"IQ_INTEREST_EXP","IQ_FQ-4"))</f>
        <v>2485</v>
      </c>
      <c r="D164" s="7">
        <f t="shared" si="5"/>
        <v>2485</v>
      </c>
      <c r="E164" s="5" t="s">
        <v>30</v>
      </c>
    </row>
    <row r="165" spans="1:5" x14ac:dyDescent="0.4">
      <c r="A165" s="5" t="s">
        <v>29</v>
      </c>
      <c r="B165" s="5" t="s">
        <v>49</v>
      </c>
      <c r="C165" s="6">
        <f>ABS(_xll.ciqfunctions.udf.CIQ($B$1,"IQ_INTEREST_EXP","IQ_FQ-5"))</f>
        <v>2427</v>
      </c>
      <c r="D165" s="7">
        <f t="shared" si="5"/>
        <v>2427</v>
      </c>
      <c r="E165" s="5" t="s">
        <v>30</v>
      </c>
    </row>
    <row r="166" spans="1:5" x14ac:dyDescent="0.4">
      <c r="A166" s="5" t="s">
        <v>29</v>
      </c>
      <c r="B166" s="5" t="s">
        <v>50</v>
      </c>
      <c r="C166" s="6">
        <f>ABS(_xll.ciqfunctions.udf.CIQ($B$1,"IQ_INTEREST_EXP","IQ_FQ-6"))</f>
        <v>2188</v>
      </c>
      <c r="D166" s="7">
        <f t="shared" si="5"/>
        <v>2188</v>
      </c>
      <c r="E166" s="5" t="s">
        <v>30</v>
      </c>
    </row>
    <row r="167" spans="1:5" x14ac:dyDescent="0.4">
      <c r="A167" s="5" t="s">
        <v>29</v>
      </c>
      <c r="B167" s="5" t="s">
        <v>51</v>
      </c>
      <c r="C167" s="6">
        <f>ABS(_xll.ciqfunctions.udf.CIQ($B$1,"IQ_INTEREST_EXP","IQ_FQ-7"))</f>
        <v>2177</v>
      </c>
      <c r="D167" s="7">
        <f t="shared" si="5"/>
        <v>2177</v>
      </c>
      <c r="E167" s="5" t="s">
        <v>30</v>
      </c>
    </row>
    <row r="168" spans="1:5" x14ac:dyDescent="0.4">
      <c r="A168" s="5" t="s">
        <v>31</v>
      </c>
      <c r="B168" s="5" t="s">
        <v>44</v>
      </c>
      <c r="C168" s="6">
        <f>ABS(_xll.ciqfunctions.udf.CIQ($B$1,"IQ_DA_CF","IQ_FQ-0"))</f>
        <v>11501</v>
      </c>
      <c r="D168" s="7">
        <f t="shared" si="5"/>
        <v>11501</v>
      </c>
      <c r="E168" s="5" t="s">
        <v>32</v>
      </c>
    </row>
    <row r="169" spans="1:5" x14ac:dyDescent="0.4">
      <c r="A169" s="5" t="s">
        <v>31</v>
      </c>
      <c r="B169" s="5" t="s">
        <v>45</v>
      </c>
      <c r="C169" s="6">
        <f>ABS(_xll.ciqfunctions.udf.CIQ($B$1,"IQ_DA_CF","IQ_FQ-1"))</f>
        <v>12487</v>
      </c>
      <c r="D169" s="7">
        <f t="shared" si="5"/>
        <v>12487</v>
      </c>
      <c r="E169" s="5" t="s">
        <v>32</v>
      </c>
    </row>
    <row r="170" spans="1:5" x14ac:dyDescent="0.4">
      <c r="A170" s="5" t="s">
        <v>31</v>
      </c>
      <c r="B170" s="5" t="s">
        <v>46</v>
      </c>
      <c r="C170" s="6">
        <f>ABS(_xll.ciqfunctions.udf.CIQ($B$1,"IQ_DA_CF","IQ_FQ-2"))</f>
        <v>7698</v>
      </c>
      <c r="D170" s="7">
        <f t="shared" si="5"/>
        <v>7698</v>
      </c>
      <c r="E170" s="5" t="s">
        <v>32</v>
      </c>
    </row>
    <row r="171" spans="1:5" x14ac:dyDescent="0.4">
      <c r="A171" s="5" t="s">
        <v>31</v>
      </c>
      <c r="B171" s="5" t="s">
        <v>47</v>
      </c>
      <c r="C171" s="6">
        <f>ABS(_xll.ciqfunctions.udf.CIQ($B$1,"IQ_DA_CF","IQ_FQ-3"))</f>
        <v>17489</v>
      </c>
      <c r="D171" s="7">
        <f t="shared" si="5"/>
        <v>17489</v>
      </c>
      <c r="E171" s="5" t="s">
        <v>32</v>
      </c>
    </row>
    <row r="172" spans="1:5" x14ac:dyDescent="0.4">
      <c r="A172" s="5" t="s">
        <v>31</v>
      </c>
      <c r="B172" s="5" t="s">
        <v>48</v>
      </c>
      <c r="C172" s="6">
        <f>ABS(_xll.ciqfunctions.udf.CIQ($B$1,"IQ_DA_CF","IQ_FQ-4"))</f>
        <v>8637</v>
      </c>
      <c r="D172" s="7">
        <f t="shared" si="5"/>
        <v>8637</v>
      </c>
      <c r="E172" s="5" t="s">
        <v>32</v>
      </c>
    </row>
    <row r="173" spans="1:5" x14ac:dyDescent="0.4">
      <c r="A173" s="5" t="s">
        <v>31</v>
      </c>
      <c r="B173" s="5" t="s">
        <v>49</v>
      </c>
      <c r="C173" s="6">
        <f>ABS(_xll.ciqfunctions.udf.CIQ($B$1,"IQ_DA_CF","IQ_FQ-5"))</f>
        <v>12096</v>
      </c>
      <c r="D173" s="7">
        <f t="shared" si="5"/>
        <v>12096</v>
      </c>
      <c r="E173" s="5" t="s">
        <v>32</v>
      </c>
    </row>
    <row r="174" spans="1:5" x14ac:dyDescent="0.4">
      <c r="A174" s="5" t="s">
        <v>31</v>
      </c>
      <c r="B174" s="5" t="s">
        <v>50</v>
      </c>
      <c r="C174" s="6">
        <f>ABS(_xll.ciqfunctions.udf.CIQ($B$1,"IQ_DA_CF","IQ_FQ-6"))</f>
        <v>7918</v>
      </c>
      <c r="D174" s="7">
        <f t="shared" si="5"/>
        <v>7918</v>
      </c>
      <c r="E174" s="5" t="s">
        <v>32</v>
      </c>
    </row>
    <row r="175" spans="1:5" x14ac:dyDescent="0.4">
      <c r="A175" s="5" t="s">
        <v>31</v>
      </c>
      <c r="B175" s="5" t="s">
        <v>51</v>
      </c>
      <c r="C175" s="6">
        <f>ABS(_xll.ciqfunctions.udf.CIQ($B$1,"IQ_DA_CF","IQ_FQ-7"))</f>
        <v>17275</v>
      </c>
      <c r="D175" s="7">
        <f t="shared" si="5"/>
        <v>17275</v>
      </c>
      <c r="E175" s="5" t="s">
        <v>32</v>
      </c>
    </row>
    <row r="176" spans="1:5" x14ac:dyDescent="0.4">
      <c r="A176" s="5" t="s">
        <v>33</v>
      </c>
      <c r="B176" s="5" t="s">
        <v>44</v>
      </c>
      <c r="C176" s="6">
        <f>_xll.ciqfunctions.udf.CIQ($B$1,"IQ_RD_EXP","IQ_FQ-0")</f>
        <v>15480</v>
      </c>
      <c r="D176" s="7">
        <f t="shared" si="5"/>
        <v>15480</v>
      </c>
      <c r="E176" s="5" t="s">
        <v>34</v>
      </c>
    </row>
    <row r="177" spans="1:5" x14ac:dyDescent="0.4">
      <c r="A177" s="5" t="s">
        <v>33</v>
      </c>
      <c r="B177" s="5" t="s">
        <v>45</v>
      </c>
      <c r="C177" s="6">
        <f>_xll.ciqfunctions.udf.CIQ($B$1,"IQ_RD_EXP","IQ_FQ-1")</f>
        <v>17095</v>
      </c>
      <c r="D177" s="7">
        <f t="shared" si="5"/>
        <v>17095</v>
      </c>
      <c r="E177" s="5" t="s">
        <v>34</v>
      </c>
    </row>
    <row r="178" spans="1:5" x14ac:dyDescent="0.4">
      <c r="A178" s="5" t="s">
        <v>33</v>
      </c>
      <c r="B178" s="5" t="s">
        <v>46</v>
      </c>
      <c r="C178" s="6">
        <f>_xll.ciqfunctions.udf.CIQ($B$1,"IQ_RD_EXP","IQ_FQ-2")</f>
        <v>15001</v>
      </c>
      <c r="D178" s="7">
        <f t="shared" si="5"/>
        <v>15001</v>
      </c>
      <c r="E178" s="5" t="s">
        <v>34</v>
      </c>
    </row>
    <row r="179" spans="1:5" x14ac:dyDescent="0.4">
      <c r="A179" s="5" t="s">
        <v>33</v>
      </c>
      <c r="B179" s="5" t="s">
        <v>47</v>
      </c>
      <c r="C179" s="6">
        <f>_xll.ciqfunctions.udf.CIQ($B$1,"IQ_RD_EXP","IQ_FQ-3")</f>
        <v>14934</v>
      </c>
      <c r="D179" s="7">
        <f t="shared" si="5"/>
        <v>14934</v>
      </c>
      <c r="E179" s="5" t="s">
        <v>34</v>
      </c>
    </row>
    <row r="180" spans="1:5" x14ac:dyDescent="0.4">
      <c r="A180" s="5" t="s">
        <v>33</v>
      </c>
      <c r="B180" s="5" t="s">
        <v>48</v>
      </c>
      <c r="C180" s="6">
        <f>_xll.ciqfunctions.udf.CIQ($B$1,"IQ_RD_EXP","IQ_FQ-4")</f>
        <v>14662</v>
      </c>
      <c r="D180" s="7">
        <f t="shared" si="5"/>
        <v>14662</v>
      </c>
      <c r="E180" s="5" t="s">
        <v>34</v>
      </c>
    </row>
    <row r="181" spans="1:5" x14ac:dyDescent="0.4">
      <c r="A181" s="5" t="s">
        <v>33</v>
      </c>
      <c r="B181" s="5" t="s">
        <v>49</v>
      </c>
      <c r="C181" s="6">
        <f>_xll.ciqfunctions.udf.CIQ($B$1,"IQ_RD_EXP","IQ_FQ-5")</f>
        <v>14182</v>
      </c>
      <c r="D181" s="7">
        <f t="shared" si="5"/>
        <v>14182</v>
      </c>
      <c r="E181" s="5" t="s">
        <v>34</v>
      </c>
    </row>
    <row r="182" spans="1:5" x14ac:dyDescent="0.4">
      <c r="A182" s="5" t="s">
        <v>33</v>
      </c>
      <c r="B182" s="5" t="s">
        <v>50</v>
      </c>
      <c r="C182" s="6">
        <f>_xll.ciqfunctions.udf.CIQ($B$1,"IQ_RD_EXP","IQ_FQ-6")</f>
        <v>13373</v>
      </c>
      <c r="D182" s="7">
        <f t="shared" si="5"/>
        <v>13373</v>
      </c>
      <c r="E182" s="5" t="s">
        <v>34</v>
      </c>
    </row>
    <row r="183" spans="1:5" x14ac:dyDescent="0.4">
      <c r="A183" s="5" t="s">
        <v>33</v>
      </c>
      <c r="B183" s="5" t="s">
        <v>51</v>
      </c>
      <c r="C183" s="6">
        <f>_xll.ciqfunctions.udf.CIQ($B$1,"IQ_RD_EXP","IQ_FQ-7")</f>
        <v>14085</v>
      </c>
      <c r="D183" s="7">
        <f t="shared" si="5"/>
        <v>14085</v>
      </c>
      <c r="E183" s="5" t="s">
        <v>34</v>
      </c>
    </row>
    <row r="184" spans="1:5" x14ac:dyDescent="0.4">
      <c r="A184" s="5" t="s">
        <v>35</v>
      </c>
      <c r="B184" s="5" t="s">
        <v>44</v>
      </c>
      <c r="C184" s="6">
        <f>ABS(_xll.ciqfunctions.udf.CIQ($B$1,"IQ_CAPEX","IQ_FQ-0"))</f>
        <v>28999</v>
      </c>
      <c r="D184" s="7">
        <f t="shared" si="5"/>
        <v>28999</v>
      </c>
      <c r="E184" s="5" t="s">
        <v>36</v>
      </c>
    </row>
    <row r="185" spans="1:5" x14ac:dyDescent="0.4">
      <c r="A185" s="5" t="s">
        <v>35</v>
      </c>
      <c r="B185" s="5" t="s">
        <v>45</v>
      </c>
      <c r="C185" s="6">
        <f>ABS(_xll.ciqfunctions.udf.CIQ($B$1,"IQ_CAPEX","IQ_FQ-1"))</f>
        <v>31501</v>
      </c>
      <c r="D185" s="7">
        <f t="shared" si="5"/>
        <v>31501</v>
      </c>
      <c r="E185" s="5" t="s">
        <v>36</v>
      </c>
    </row>
    <row r="186" spans="1:5" x14ac:dyDescent="0.4">
      <c r="A186" s="5" t="s">
        <v>35</v>
      </c>
      <c r="B186" s="5" t="s">
        <v>46</v>
      </c>
      <c r="C186" s="6">
        <f>ABS(_xll.ciqfunctions.udf.CIQ($B$1,"IQ_CAPEX","IQ_FQ-2"))</f>
        <v>38676</v>
      </c>
      <c r="D186" s="7">
        <f t="shared" si="5"/>
        <v>38676</v>
      </c>
      <c r="E186" s="5" t="s">
        <v>36</v>
      </c>
    </row>
    <row r="187" spans="1:5" x14ac:dyDescent="0.4">
      <c r="A187" s="5" t="s">
        <v>35</v>
      </c>
      <c r="B187" s="5" t="s">
        <v>47</v>
      </c>
      <c r="C187" s="6">
        <f>ABS(_xll.ciqfunctions.udf.CIQ($B$1,"IQ_CAPEX","IQ_FQ-3"))</f>
        <v>85972</v>
      </c>
      <c r="D187" s="7">
        <f t="shared" si="5"/>
        <v>85972</v>
      </c>
      <c r="E187" s="5" t="s">
        <v>36</v>
      </c>
    </row>
    <row r="188" spans="1:5" x14ac:dyDescent="0.4">
      <c r="A188" s="5" t="s">
        <v>35</v>
      </c>
      <c r="B188" s="5" t="s">
        <v>48</v>
      </c>
      <c r="C188" s="6">
        <f>ABS(_xll.ciqfunctions.udf.CIQ($B$1,"IQ_CAPEX","IQ_FQ-4"))</f>
        <v>31775</v>
      </c>
      <c r="D188" s="7">
        <f t="shared" si="5"/>
        <v>31775</v>
      </c>
      <c r="E188" s="5" t="s">
        <v>36</v>
      </c>
    </row>
    <row r="189" spans="1:5" x14ac:dyDescent="0.4">
      <c r="A189" s="5" t="s">
        <v>35</v>
      </c>
      <c r="B189" s="5" t="s">
        <v>49</v>
      </c>
      <c r="C189" s="6">
        <f>ABS(_xll.ciqfunctions.udf.CIQ($B$1,"IQ_CAPEX","IQ_FQ-5"))</f>
        <v>29585</v>
      </c>
      <c r="D189" s="7">
        <f t="shared" si="5"/>
        <v>29585</v>
      </c>
      <c r="E189" s="5" t="s">
        <v>36</v>
      </c>
    </row>
    <row r="190" spans="1:5" x14ac:dyDescent="0.4">
      <c r="A190" s="5" t="s">
        <v>35</v>
      </c>
      <c r="B190" s="5" t="s">
        <v>50</v>
      </c>
      <c r="C190" s="6">
        <f>ABS(_xll.ciqfunctions.udf.CIQ($B$1,"IQ_CAPEX","IQ_FQ-6"))</f>
        <v>0</v>
      </c>
      <c r="D190" s="7">
        <f t="shared" si="5"/>
        <v>0</v>
      </c>
      <c r="E190" s="5" t="s">
        <v>36</v>
      </c>
    </row>
    <row r="191" spans="1:5" x14ac:dyDescent="0.4">
      <c r="A191" s="5" t="s">
        <v>35</v>
      </c>
      <c r="B191" s="5" t="s">
        <v>51</v>
      </c>
      <c r="C191" s="6">
        <f>ABS(_xll.ciqfunctions.udf.CIQ($B$1,"IQ_CAPEX","IQ_FQ-7"))</f>
        <v>32087</v>
      </c>
      <c r="D191" s="7">
        <f t="shared" si="5"/>
        <v>32087</v>
      </c>
      <c r="E191" s="5" t="s">
        <v>36</v>
      </c>
    </row>
    <row r="192" spans="1:5" x14ac:dyDescent="0.4">
      <c r="A192" s="5" t="s">
        <v>37</v>
      </c>
      <c r="B192" s="5" t="s">
        <v>44</v>
      </c>
      <c r="C192" s="6">
        <f>ABS(_xll.ciqfunctions.udf.CIQ($B$1,"IQ_OPERATING_LEASE_PAYMENTS","IQ_FQ-0"))</f>
        <v>0</v>
      </c>
      <c r="D192" s="7">
        <f t="shared" ref="D192:D223" si="6">C192</f>
        <v>0</v>
      </c>
      <c r="E192" s="5" t="s">
        <v>38</v>
      </c>
    </row>
    <row r="193" spans="1:5" x14ac:dyDescent="0.4">
      <c r="A193" s="5" t="s">
        <v>37</v>
      </c>
      <c r="B193" s="5" t="s">
        <v>45</v>
      </c>
      <c r="C193" s="6">
        <f>ABS(_xll.ciqfunctions.udf.CIQ($B$1,"IQ_OPERATING_LEASE_PAYMENTS","IQ_FQ-1"))</f>
        <v>0</v>
      </c>
      <c r="D193" s="7">
        <f t="shared" si="6"/>
        <v>0</v>
      </c>
      <c r="E193" s="5" t="s">
        <v>38</v>
      </c>
    </row>
    <row r="194" spans="1:5" x14ac:dyDescent="0.4">
      <c r="A194" s="5" t="s">
        <v>37</v>
      </c>
      <c r="B194" s="5" t="s">
        <v>46</v>
      </c>
      <c r="C194" s="6">
        <f>ABS(_xll.ciqfunctions.udf.CIQ($B$1,"IQ_OPERATING_LEASE_PAYMENTS","IQ_FQ-2"))</f>
        <v>0</v>
      </c>
      <c r="D194" s="7">
        <f t="shared" si="6"/>
        <v>0</v>
      </c>
      <c r="E194" s="5" t="s">
        <v>38</v>
      </c>
    </row>
    <row r="195" spans="1:5" x14ac:dyDescent="0.4">
      <c r="A195" s="5" t="s">
        <v>37</v>
      </c>
      <c r="B195" s="5" t="s">
        <v>47</v>
      </c>
      <c r="C195" s="6">
        <f>ABS(_xll.ciqfunctions.udf.CIQ($B$1,"IQ_OPERATING_LEASE_PAYMENTS","IQ_FQ-3"))</f>
        <v>0</v>
      </c>
      <c r="D195" s="7">
        <f t="shared" si="6"/>
        <v>0</v>
      </c>
      <c r="E195" s="5" t="s">
        <v>38</v>
      </c>
    </row>
    <row r="196" spans="1:5" x14ac:dyDescent="0.4">
      <c r="A196" s="5" t="s">
        <v>37</v>
      </c>
      <c r="B196" s="5" t="s">
        <v>48</v>
      </c>
      <c r="C196" s="6">
        <f>ABS(_xll.ciqfunctions.udf.CIQ($B$1,"IQ_OPERATING_LEASE_PAYMENTS","IQ_FQ-4"))</f>
        <v>0</v>
      </c>
      <c r="D196" s="7">
        <f t="shared" si="6"/>
        <v>0</v>
      </c>
      <c r="E196" s="5" t="s">
        <v>38</v>
      </c>
    </row>
    <row r="197" spans="1:5" x14ac:dyDescent="0.4">
      <c r="A197" s="5" t="s">
        <v>37</v>
      </c>
      <c r="B197" s="5" t="s">
        <v>49</v>
      </c>
      <c r="C197" s="6">
        <f>ABS(_xll.ciqfunctions.udf.CIQ($B$1,"IQ_OPERATING_LEASE_PAYMENTS","IQ_FQ-5"))</f>
        <v>0</v>
      </c>
      <c r="D197" s="7">
        <f t="shared" si="6"/>
        <v>0</v>
      </c>
      <c r="E197" s="5" t="s">
        <v>38</v>
      </c>
    </row>
    <row r="198" spans="1:5" x14ac:dyDescent="0.4">
      <c r="A198" s="5" t="s">
        <v>37</v>
      </c>
      <c r="B198" s="5" t="s">
        <v>50</v>
      </c>
      <c r="C198" s="6">
        <f>ABS(_xll.ciqfunctions.udf.CIQ($B$1,"IQ_OPERATING_LEASE_PAYMENTS","IQ_FQ-6"))</f>
        <v>0</v>
      </c>
      <c r="D198" s="7">
        <f t="shared" si="6"/>
        <v>0</v>
      </c>
      <c r="E198" s="5" t="s">
        <v>38</v>
      </c>
    </row>
    <row r="199" spans="1:5" x14ac:dyDescent="0.4">
      <c r="A199" s="5" t="s">
        <v>37</v>
      </c>
      <c r="B199" s="5" t="s">
        <v>51</v>
      </c>
      <c r="C199" s="6">
        <f>ABS(_xll.ciqfunctions.udf.CIQ($B$1,"IQ_OPERATING_LEASE_PAYMENTS","IQ_FQ-7"))</f>
        <v>0</v>
      </c>
      <c r="D199" s="7">
        <f t="shared" si="6"/>
        <v>0</v>
      </c>
      <c r="E199" s="5" t="s">
        <v>38</v>
      </c>
    </row>
    <row r="200" spans="1:5" x14ac:dyDescent="0.4">
      <c r="A200" s="5" t="s">
        <v>39</v>
      </c>
      <c r="B200" s="5" t="s">
        <v>44</v>
      </c>
      <c r="C200" s="6">
        <f>_xll.ciqfunctions.udf.CIQ($B$1,"IQ_EBT_EXCL","IQ_FQ-0")</f>
        <v>33606</v>
      </c>
      <c r="D200" s="7">
        <f t="shared" si="6"/>
        <v>33606</v>
      </c>
      <c r="E200" s="5" t="s">
        <v>40</v>
      </c>
    </row>
    <row r="201" spans="1:5" x14ac:dyDescent="0.4">
      <c r="A201" s="5" t="s">
        <v>39</v>
      </c>
      <c r="B201" s="5" t="s">
        <v>45</v>
      </c>
      <c r="C201" s="6">
        <f>_xll.ciqfunctions.udf.CIQ($B$1,"IQ_EBT_EXCL","IQ_FQ-1")</f>
        <v>26162</v>
      </c>
      <c r="D201" s="7">
        <f t="shared" si="6"/>
        <v>26162</v>
      </c>
      <c r="E201" s="5" t="s">
        <v>40</v>
      </c>
    </row>
    <row r="202" spans="1:5" x14ac:dyDescent="0.4">
      <c r="A202" s="5" t="s">
        <v>39</v>
      </c>
      <c r="B202" s="5" t="s">
        <v>46</v>
      </c>
      <c r="C202" s="6">
        <f>_xll.ciqfunctions.udf.CIQ($B$1,"IQ_EBT_EXCL","IQ_FQ-2")</f>
        <v>51247</v>
      </c>
      <c r="D202" s="7">
        <f t="shared" si="6"/>
        <v>51247</v>
      </c>
      <c r="E202" s="5" t="s">
        <v>40</v>
      </c>
    </row>
    <row r="203" spans="1:5" x14ac:dyDescent="0.4">
      <c r="A203" s="5" t="s">
        <v>39</v>
      </c>
      <c r="B203" s="5" t="s">
        <v>47</v>
      </c>
      <c r="C203" s="6">
        <f>_xll.ciqfunctions.udf.CIQ($B$1,"IQ_EBT_EXCL","IQ_FQ-3")</f>
        <v>23438</v>
      </c>
      <c r="D203" s="7">
        <f t="shared" si="6"/>
        <v>23438</v>
      </c>
      <c r="E203" s="5" t="s">
        <v>40</v>
      </c>
    </row>
    <row r="204" spans="1:5" x14ac:dyDescent="0.4">
      <c r="A204" s="5" t="s">
        <v>39</v>
      </c>
      <c r="B204" s="5" t="s">
        <v>48</v>
      </c>
      <c r="C204" s="6">
        <f>_xll.ciqfunctions.udf.CIQ($B$1,"IQ_EBT_EXCL","IQ_FQ-4")</f>
        <v>64380</v>
      </c>
      <c r="D204" s="7">
        <f t="shared" si="6"/>
        <v>64380</v>
      </c>
      <c r="E204" s="5" t="s">
        <v>40</v>
      </c>
    </row>
    <row r="205" spans="1:5" x14ac:dyDescent="0.4">
      <c r="A205" s="5" t="s">
        <v>39</v>
      </c>
      <c r="B205" s="5" t="s">
        <v>49</v>
      </c>
      <c r="C205" s="6">
        <f>_xll.ciqfunctions.udf.CIQ($B$1,"IQ_EBT_EXCL","IQ_FQ-5")</f>
        <v>49448</v>
      </c>
      <c r="D205" s="7">
        <f t="shared" si="6"/>
        <v>49448</v>
      </c>
      <c r="E205" s="5" t="s">
        <v>40</v>
      </c>
    </row>
    <row r="206" spans="1:5" x14ac:dyDescent="0.4">
      <c r="A206" s="5" t="s">
        <v>39</v>
      </c>
      <c r="B206" s="5" t="s">
        <v>50</v>
      </c>
      <c r="C206" s="6">
        <f>_xll.ciqfunctions.udf.CIQ($B$1,"IQ_EBT_EXCL","IQ_FQ-6")</f>
        <v>38708</v>
      </c>
      <c r="D206" s="7">
        <f t="shared" si="6"/>
        <v>38708</v>
      </c>
      <c r="E206" s="5" t="s">
        <v>40</v>
      </c>
    </row>
    <row r="207" spans="1:5" x14ac:dyDescent="0.4">
      <c r="A207" s="5" t="s">
        <v>39</v>
      </c>
      <c r="B207" s="5" t="s">
        <v>51</v>
      </c>
      <c r="C207" s="6">
        <f>_xll.ciqfunctions.udf.CIQ($B$1,"IQ_EBT_EXCL","IQ_FQ-7")</f>
        <v>27190</v>
      </c>
      <c r="D207" s="7">
        <f t="shared" si="6"/>
        <v>27190</v>
      </c>
      <c r="E207" s="5" t="s">
        <v>40</v>
      </c>
    </row>
    <row r="208" spans="1:5" x14ac:dyDescent="0.4">
      <c r="A208" s="5" t="s">
        <v>41</v>
      </c>
      <c r="B208" s="5" t="s">
        <v>44</v>
      </c>
      <c r="C208" s="6">
        <f>_xll.ciqfunctions.udf.CIQ($B$1,"IQ_INC_TAX","IQ_FQ-0")</f>
        <v>8460</v>
      </c>
      <c r="D208" s="7">
        <f t="shared" si="6"/>
        <v>8460</v>
      </c>
      <c r="E208" s="5" t="s">
        <v>42</v>
      </c>
    </row>
    <row r="209" spans="1:5" x14ac:dyDescent="0.4">
      <c r="A209" s="5" t="s">
        <v>41</v>
      </c>
      <c r="B209" s="5" t="s">
        <v>45</v>
      </c>
      <c r="C209" s="6">
        <f>_xll.ciqfunctions.udf.CIQ($B$1,"IQ_INC_TAX","IQ_FQ-1")</f>
        <v>5550</v>
      </c>
      <c r="D209" s="7">
        <f t="shared" si="6"/>
        <v>5550</v>
      </c>
      <c r="E209" s="5" t="s">
        <v>42</v>
      </c>
    </row>
    <row r="210" spans="1:5" x14ac:dyDescent="0.4">
      <c r="A210" s="5" t="s">
        <v>41</v>
      </c>
      <c r="B210" s="5" t="s">
        <v>46</v>
      </c>
      <c r="C210" s="6">
        <f>_xll.ciqfunctions.udf.CIQ($B$1,"IQ_INC_TAX","IQ_FQ-2")</f>
        <v>8865</v>
      </c>
      <c r="D210" s="7">
        <f t="shared" si="6"/>
        <v>8865</v>
      </c>
      <c r="E210" s="5" t="s">
        <v>42</v>
      </c>
    </row>
    <row r="211" spans="1:5" x14ac:dyDescent="0.4">
      <c r="A211" s="5" t="s">
        <v>41</v>
      </c>
      <c r="B211" s="5" t="s">
        <v>47</v>
      </c>
      <c r="C211" s="6">
        <f>_xll.ciqfunctions.udf.CIQ($B$1,"IQ_INC_TAX","IQ_FQ-3")</f>
        <v>6854</v>
      </c>
      <c r="D211" s="7">
        <f t="shared" si="6"/>
        <v>6854</v>
      </c>
      <c r="E211" s="5" t="s">
        <v>42</v>
      </c>
    </row>
    <row r="212" spans="1:5" x14ac:dyDescent="0.4">
      <c r="A212" s="5" t="s">
        <v>41</v>
      </c>
      <c r="B212" s="5" t="s">
        <v>48</v>
      </c>
      <c r="C212" s="6">
        <f>_xll.ciqfunctions.udf.CIQ($B$1,"IQ_INC_TAX","IQ_FQ-4")</f>
        <v>11149</v>
      </c>
      <c r="D212" s="7">
        <f t="shared" si="6"/>
        <v>11149</v>
      </c>
      <c r="E212" s="5" t="s">
        <v>42</v>
      </c>
    </row>
    <row r="213" spans="1:5" x14ac:dyDescent="0.4">
      <c r="A213" s="5" t="s">
        <v>41</v>
      </c>
      <c r="B213" s="5" t="s">
        <v>49</v>
      </c>
      <c r="C213" s="6">
        <f>_xll.ciqfunctions.udf.CIQ($B$1,"IQ_INC_TAX","IQ_FQ-5")</f>
        <v>7379</v>
      </c>
      <c r="D213" s="7">
        <f t="shared" si="6"/>
        <v>7379</v>
      </c>
      <c r="E213" s="5" t="s">
        <v>42</v>
      </c>
    </row>
    <row r="214" spans="1:5" x14ac:dyDescent="0.4">
      <c r="A214" s="5" t="s">
        <v>41</v>
      </c>
      <c r="B214" s="5" t="s">
        <v>50</v>
      </c>
      <c r="C214" s="6">
        <f>_xll.ciqfunctions.udf.CIQ($B$1,"IQ_INC_TAX","IQ_FQ-6")</f>
        <v>10063</v>
      </c>
      <c r="D214" s="7">
        <f t="shared" si="6"/>
        <v>10063</v>
      </c>
      <c r="E214" s="5" t="s">
        <v>42</v>
      </c>
    </row>
    <row r="215" spans="1:5" x14ac:dyDescent="0.4">
      <c r="A215" s="5" t="s">
        <v>41</v>
      </c>
      <c r="B215" s="5" t="s">
        <v>51</v>
      </c>
      <c r="C215" s="6">
        <f>_xll.ciqfunctions.udf.CIQ($B$1,"IQ_INC_TAX","IQ_FQ-7")</f>
        <v>5722</v>
      </c>
      <c r="D215" s="7">
        <f t="shared" si="6"/>
        <v>5722</v>
      </c>
      <c r="E215" s="5" t="s">
        <v>42</v>
      </c>
    </row>
    <row r="216" spans="1:5" x14ac:dyDescent="0.4">
      <c r="A216" s="8" t="s">
        <v>52</v>
      </c>
      <c r="B216" s="9"/>
      <c r="C216" s="9"/>
      <c r="D216" s="9"/>
      <c r="E216" s="9"/>
    </row>
    <row r="217" spans="1:5" x14ac:dyDescent="0.4">
      <c r="A217" s="5" t="s">
        <v>53</v>
      </c>
      <c r="B217" s="5" t="s">
        <v>11</v>
      </c>
      <c r="C217" s="6">
        <f>_xll.ciqfunctions.udf.CIQ($B$1,"IQ_CASH_EQUIV","IQ_FY-0")</f>
        <v>145487</v>
      </c>
      <c r="D217" s="7">
        <f t="shared" ref="D217:D248" si="7">C217</f>
        <v>145487</v>
      </c>
      <c r="E217" s="5" t="s">
        <v>54</v>
      </c>
    </row>
    <row r="218" spans="1:5" x14ac:dyDescent="0.4">
      <c r="A218" s="5" t="s">
        <v>53</v>
      </c>
      <c r="B218" s="5" t="s">
        <v>13</v>
      </c>
      <c r="C218" s="6">
        <f>_xll.ciqfunctions.udf.CIQ($B$1,"IQ_CASH_EQUIV","IQ_FY-1")</f>
        <v>248125</v>
      </c>
      <c r="D218" s="7">
        <f t="shared" si="7"/>
        <v>248125</v>
      </c>
      <c r="E218" s="5" t="s">
        <v>54</v>
      </c>
    </row>
    <row r="219" spans="1:5" x14ac:dyDescent="0.4">
      <c r="A219" s="5" t="s">
        <v>53</v>
      </c>
      <c r="B219" s="5" t="s">
        <v>14</v>
      </c>
      <c r="C219" s="6">
        <f>_xll.ciqfunctions.udf.CIQ($B$1,"IQ_CASH_EQUIV","IQ_FY-2")</f>
        <v>193086</v>
      </c>
      <c r="D219" s="7">
        <f t="shared" si="7"/>
        <v>193086</v>
      </c>
      <c r="E219" s="5" t="s">
        <v>54</v>
      </c>
    </row>
    <row r="220" spans="1:5" x14ac:dyDescent="0.4">
      <c r="A220" s="5" t="s">
        <v>53</v>
      </c>
      <c r="B220" s="5" t="s">
        <v>15</v>
      </c>
      <c r="C220" s="6">
        <f>_xll.ciqfunctions.udf.CIQ($B$1,"IQ_CASH_EQUIV","IQ_FY-3")</f>
        <v>189898</v>
      </c>
      <c r="D220" s="7">
        <f t="shared" si="7"/>
        <v>189898</v>
      </c>
      <c r="E220" s="5" t="s">
        <v>54</v>
      </c>
    </row>
    <row r="221" spans="1:5" x14ac:dyDescent="0.4">
      <c r="A221" s="5" t="s">
        <v>53</v>
      </c>
      <c r="B221" s="5" t="s">
        <v>16</v>
      </c>
      <c r="C221" s="6">
        <f>_xll.ciqfunctions.udf.CIQ($B$1,"IQ_CASH_EQUIV","IQ_FY-4")</f>
        <v>321262</v>
      </c>
      <c r="D221" s="7">
        <f t="shared" si="7"/>
        <v>321262</v>
      </c>
      <c r="E221" s="5" t="s">
        <v>54</v>
      </c>
    </row>
    <row r="222" spans="1:5" x14ac:dyDescent="0.4">
      <c r="A222" s="5" t="s">
        <v>53</v>
      </c>
      <c r="B222" s="5" t="s">
        <v>17</v>
      </c>
      <c r="C222" s="6">
        <f>_xll.ciqfunctions.udf.CIQ($B$1,"IQ_CASH_EQUIV","IQ_FY-5")</f>
        <v>330503</v>
      </c>
      <c r="D222" s="7">
        <f t="shared" si="7"/>
        <v>330503</v>
      </c>
      <c r="E222" s="5" t="s">
        <v>54</v>
      </c>
    </row>
    <row r="223" spans="1:5" x14ac:dyDescent="0.4">
      <c r="A223" s="5" t="s">
        <v>53</v>
      </c>
      <c r="B223" s="5" t="s">
        <v>18</v>
      </c>
      <c r="C223" s="6">
        <f>_xll.ciqfunctions.udf.CIQ($B$1,"IQ_CASH_EQUIV","IQ_FY-6")</f>
        <v>189976</v>
      </c>
      <c r="D223" s="7">
        <f t="shared" si="7"/>
        <v>189976</v>
      </c>
      <c r="E223" s="5" t="s">
        <v>54</v>
      </c>
    </row>
    <row r="224" spans="1:5" x14ac:dyDescent="0.4">
      <c r="A224" s="5" t="s">
        <v>53</v>
      </c>
      <c r="B224" s="5" t="s">
        <v>19</v>
      </c>
      <c r="C224" s="6">
        <f>_xll.ciqfunctions.udf.CIQ($B$1,"IQ_CASH_EQUIV","IQ_FY-7")</f>
        <v>199309</v>
      </c>
      <c r="D224" s="7">
        <f t="shared" si="7"/>
        <v>199309</v>
      </c>
      <c r="E224" s="5" t="s">
        <v>54</v>
      </c>
    </row>
    <row r="225" spans="1:5" x14ac:dyDescent="0.4">
      <c r="A225" s="5" t="s">
        <v>53</v>
      </c>
      <c r="B225" s="5" t="s">
        <v>20</v>
      </c>
      <c r="C225" s="6">
        <f>_xll.ciqfunctions.udf.CIQ($B$1,"IQ_CASH_EQUIV","IQ_FY-8")</f>
        <v>143736</v>
      </c>
      <c r="D225" s="7">
        <f t="shared" si="7"/>
        <v>143736</v>
      </c>
      <c r="E225" s="5" t="s">
        <v>54</v>
      </c>
    </row>
    <row r="226" spans="1:5" x14ac:dyDescent="0.4">
      <c r="A226" s="5" t="s">
        <v>53</v>
      </c>
      <c r="B226" s="5" t="s">
        <v>21</v>
      </c>
      <c r="C226" s="6">
        <f>_xll.ciqfunctions.udf.CIQ($B$1,"IQ_CASH_EQUIV","IQ_FY-9")</f>
        <v>106818</v>
      </c>
      <c r="D226" s="7">
        <f t="shared" si="7"/>
        <v>106818</v>
      </c>
      <c r="E226" s="5" t="s">
        <v>54</v>
      </c>
    </row>
    <row r="227" spans="1:5" x14ac:dyDescent="0.4">
      <c r="A227" s="5" t="s">
        <v>53</v>
      </c>
      <c r="B227" s="5" t="s">
        <v>22</v>
      </c>
      <c r="C227" s="6">
        <f>_xll.ciqfunctions.udf.CIQ($B$1,"IQ_CASH_EQUIV","IQ_FY-10")</f>
        <v>108193</v>
      </c>
      <c r="D227" s="7">
        <f t="shared" si="7"/>
        <v>108193</v>
      </c>
      <c r="E227" s="5" t="s">
        <v>54</v>
      </c>
    </row>
    <row r="228" spans="1:5" x14ac:dyDescent="0.4">
      <c r="A228" s="5" t="s">
        <v>55</v>
      </c>
      <c r="B228" s="5" t="s">
        <v>11</v>
      </c>
      <c r="C228" s="6">
        <f>_xll.ciqfunctions.udf.CIQ($B$1,"IQ_TOTAL_EQUITY","IQ_FY-0")</f>
        <v>1090106</v>
      </c>
      <c r="D228" s="7">
        <f t="shared" si="7"/>
        <v>1090106</v>
      </c>
      <c r="E228" s="5" t="s">
        <v>56</v>
      </c>
    </row>
    <row r="229" spans="1:5" x14ac:dyDescent="0.4">
      <c r="A229" s="5" t="s">
        <v>55</v>
      </c>
      <c r="B229" s="5" t="s">
        <v>13</v>
      </c>
      <c r="C229" s="6">
        <f>_xll.ciqfunctions.udf.CIQ($B$1,"IQ_TOTAL_EQUITY","IQ_FY-1")</f>
        <v>1112599</v>
      </c>
      <c r="D229" s="7">
        <f t="shared" si="7"/>
        <v>1112599</v>
      </c>
      <c r="E229" s="5" t="s">
        <v>56</v>
      </c>
    </row>
    <row r="230" spans="1:5" x14ac:dyDescent="0.4">
      <c r="A230" s="5" t="s">
        <v>55</v>
      </c>
      <c r="B230" s="5" t="s">
        <v>14</v>
      </c>
      <c r="C230" s="6">
        <f>_xll.ciqfunctions.udf.CIQ($B$1,"IQ_TOTAL_EQUITY","IQ_FY-2")</f>
        <v>1122921</v>
      </c>
      <c r="D230" s="7">
        <f t="shared" si="7"/>
        <v>1122921</v>
      </c>
      <c r="E230" s="5" t="s">
        <v>56</v>
      </c>
    </row>
    <row r="231" spans="1:5" x14ac:dyDescent="0.4">
      <c r="A231" s="5" t="s">
        <v>55</v>
      </c>
      <c r="B231" s="5" t="s">
        <v>15</v>
      </c>
      <c r="C231" s="6">
        <f>_xll.ciqfunctions.udf.CIQ($B$1,"IQ_TOTAL_EQUITY","IQ_FY-3")</f>
        <v>1082193</v>
      </c>
      <c r="D231" s="7">
        <f t="shared" si="7"/>
        <v>1082193</v>
      </c>
      <c r="E231" s="5" t="s">
        <v>56</v>
      </c>
    </row>
    <row r="232" spans="1:5" x14ac:dyDescent="0.4">
      <c r="A232" s="5" t="s">
        <v>55</v>
      </c>
      <c r="B232" s="5" t="s">
        <v>16</v>
      </c>
      <c r="C232" s="6">
        <f>_xll.ciqfunctions.udf.CIQ($B$1,"IQ_TOTAL_EQUITY","IQ_FY-4")</f>
        <v>1083634</v>
      </c>
      <c r="D232" s="7">
        <f t="shared" si="7"/>
        <v>1083634</v>
      </c>
      <c r="E232" s="5" t="s">
        <v>56</v>
      </c>
    </row>
    <row r="233" spans="1:5" x14ac:dyDescent="0.4">
      <c r="A233" s="5" t="s">
        <v>55</v>
      </c>
      <c r="B233" s="5" t="s">
        <v>17</v>
      </c>
      <c r="C233" s="6">
        <f>_xll.ciqfunctions.udf.CIQ($B$1,"IQ_TOTAL_EQUITY","IQ_FY-5")</f>
        <v>879651</v>
      </c>
      <c r="D233" s="7">
        <f t="shared" si="7"/>
        <v>879651</v>
      </c>
      <c r="E233" s="5" t="s">
        <v>56</v>
      </c>
    </row>
    <row r="234" spans="1:5" x14ac:dyDescent="0.4">
      <c r="A234" s="5" t="s">
        <v>55</v>
      </c>
      <c r="B234" s="5" t="s">
        <v>18</v>
      </c>
      <c r="C234" s="6">
        <f>_xll.ciqfunctions.udf.CIQ($B$1,"IQ_TOTAL_EQUITY","IQ_FY-6")</f>
        <v>608583</v>
      </c>
      <c r="D234" s="7">
        <f t="shared" si="7"/>
        <v>608583</v>
      </c>
      <c r="E234" s="5" t="s">
        <v>56</v>
      </c>
    </row>
    <row r="235" spans="1:5" x14ac:dyDescent="0.4">
      <c r="A235" s="5" t="s">
        <v>55</v>
      </c>
      <c r="B235" s="5" t="s">
        <v>19</v>
      </c>
      <c r="C235" s="6">
        <f>_xll.ciqfunctions.udf.CIQ($B$1,"IQ_TOTAL_EQUITY","IQ_FY-7")</f>
        <v>436438</v>
      </c>
      <c r="D235" s="7">
        <f t="shared" si="7"/>
        <v>436438</v>
      </c>
      <c r="E235" s="5" t="s">
        <v>56</v>
      </c>
    </row>
    <row r="236" spans="1:5" x14ac:dyDescent="0.4">
      <c r="A236" s="5" t="s">
        <v>55</v>
      </c>
      <c r="B236" s="5" t="s">
        <v>20</v>
      </c>
      <c r="C236" s="6">
        <f>_xll.ciqfunctions.udf.CIQ($B$1,"IQ_TOTAL_EQUITY","IQ_FY-8")</f>
        <v>321129</v>
      </c>
      <c r="D236" s="7">
        <f t="shared" si="7"/>
        <v>321129</v>
      </c>
      <c r="E236" s="5" t="s">
        <v>56</v>
      </c>
    </row>
    <row r="237" spans="1:5" x14ac:dyDescent="0.4">
      <c r="A237" s="5" t="s">
        <v>55</v>
      </c>
      <c r="B237" s="5" t="s">
        <v>21</v>
      </c>
      <c r="C237" s="6">
        <f>_xll.ciqfunctions.udf.CIQ($B$1,"IQ_TOTAL_EQUITY","IQ_FY-9")</f>
        <v>249539</v>
      </c>
      <c r="D237" s="7">
        <f t="shared" si="7"/>
        <v>249539</v>
      </c>
      <c r="E237" s="5" t="s">
        <v>56</v>
      </c>
    </row>
    <row r="238" spans="1:5" x14ac:dyDescent="0.4">
      <c r="A238" s="5" t="s">
        <v>55</v>
      </c>
      <c r="B238" s="5" t="s">
        <v>22</v>
      </c>
      <c r="C238" s="6">
        <f>_xll.ciqfunctions.udf.CIQ($B$1,"IQ_TOTAL_EQUITY","IQ_FY-10")</f>
        <v>157413</v>
      </c>
      <c r="D238" s="7">
        <f t="shared" si="7"/>
        <v>157413</v>
      </c>
      <c r="E238" s="5" t="s">
        <v>56</v>
      </c>
    </row>
    <row r="239" spans="1:5" x14ac:dyDescent="0.4">
      <c r="A239" s="5" t="s">
        <v>57</v>
      </c>
      <c r="B239" s="5" t="s">
        <v>11</v>
      </c>
      <c r="C239" s="6">
        <f>_xll.ciqfunctions.udf.CIQ($B$1,"IQ_TOTAL_DEBT","IQ_FY-0")</f>
        <v>248110</v>
      </c>
      <c r="D239" s="7">
        <f t="shared" si="7"/>
        <v>248110</v>
      </c>
      <c r="E239" s="5" t="s">
        <v>58</v>
      </c>
    </row>
    <row r="240" spans="1:5" x14ac:dyDescent="0.4">
      <c r="A240" s="5" t="s">
        <v>57</v>
      </c>
      <c r="B240" s="5" t="s">
        <v>13</v>
      </c>
      <c r="C240" s="6">
        <f>_xll.ciqfunctions.udf.CIQ($B$1,"IQ_TOTAL_DEBT","IQ_FY-1")</f>
        <v>205614</v>
      </c>
      <c r="D240" s="7">
        <f t="shared" si="7"/>
        <v>205614</v>
      </c>
      <c r="E240" s="5" t="s">
        <v>58</v>
      </c>
    </row>
    <row r="241" spans="1:5" x14ac:dyDescent="0.4">
      <c r="A241" s="5" t="s">
        <v>57</v>
      </c>
      <c r="B241" s="5" t="s">
        <v>14</v>
      </c>
      <c r="C241" s="6">
        <f>_xll.ciqfunctions.udf.CIQ($B$1,"IQ_TOTAL_DEBT","IQ_FY-2")</f>
        <v>195569</v>
      </c>
      <c r="D241" s="7">
        <f t="shared" si="7"/>
        <v>195569</v>
      </c>
      <c r="E241" s="5" t="s">
        <v>58</v>
      </c>
    </row>
    <row r="242" spans="1:5" x14ac:dyDescent="0.4">
      <c r="A242" s="5" t="s">
        <v>57</v>
      </c>
      <c r="B242" s="5" t="s">
        <v>15</v>
      </c>
      <c r="C242" s="6">
        <f>_xll.ciqfunctions.udf.CIQ($B$1,"IQ_TOTAL_DEBT","IQ_FY-3")</f>
        <v>176597</v>
      </c>
      <c r="D242" s="7">
        <f t="shared" si="7"/>
        <v>176597</v>
      </c>
      <c r="E242" s="5" t="s">
        <v>58</v>
      </c>
    </row>
    <row r="243" spans="1:5" x14ac:dyDescent="0.4">
      <c r="A243" s="5" t="s">
        <v>57</v>
      </c>
      <c r="B243" s="5" t="s">
        <v>16</v>
      </c>
      <c r="C243" s="6">
        <f>_xll.ciqfunctions.udf.CIQ($B$1,"IQ_TOTAL_DEBT","IQ_FY-4")</f>
        <v>181439</v>
      </c>
      <c r="D243" s="7">
        <f t="shared" si="7"/>
        <v>181439</v>
      </c>
      <c r="E243" s="5" t="s">
        <v>58</v>
      </c>
    </row>
    <row r="244" spans="1:5" x14ac:dyDescent="0.4">
      <c r="A244" s="5" t="s">
        <v>57</v>
      </c>
      <c r="B244" s="5" t="s">
        <v>17</v>
      </c>
      <c r="C244" s="6">
        <f>_xll.ciqfunctions.udf.CIQ($B$1,"IQ_TOTAL_DEBT","IQ_FY-5")</f>
        <v>147287</v>
      </c>
      <c r="D244" s="7">
        <f t="shared" si="7"/>
        <v>147287</v>
      </c>
      <c r="E244" s="5" t="s">
        <v>58</v>
      </c>
    </row>
    <row r="245" spans="1:5" x14ac:dyDescent="0.4">
      <c r="A245" s="5" t="s">
        <v>57</v>
      </c>
      <c r="B245" s="5" t="s">
        <v>18</v>
      </c>
      <c r="C245" s="6">
        <f>_xll.ciqfunctions.udf.CIQ($B$1,"IQ_TOTAL_DEBT","IQ_FY-6")</f>
        <v>134300</v>
      </c>
      <c r="D245" s="7">
        <f t="shared" si="7"/>
        <v>134300</v>
      </c>
      <c r="E245" s="5" t="s">
        <v>58</v>
      </c>
    </row>
    <row r="246" spans="1:5" x14ac:dyDescent="0.4">
      <c r="A246" s="5" t="s">
        <v>57</v>
      </c>
      <c r="B246" s="5" t="s">
        <v>19</v>
      </c>
      <c r="C246" s="6">
        <f>_xll.ciqfunctions.udf.CIQ($B$1,"IQ_TOTAL_DEBT","IQ_FY-7")</f>
        <v>125553</v>
      </c>
      <c r="D246" s="7">
        <f t="shared" si="7"/>
        <v>125553</v>
      </c>
      <c r="E246" s="5" t="s">
        <v>58</v>
      </c>
    </row>
    <row r="247" spans="1:5" x14ac:dyDescent="0.4">
      <c r="A247" s="5" t="s">
        <v>57</v>
      </c>
      <c r="B247" s="5" t="s">
        <v>20</v>
      </c>
      <c r="C247" s="6">
        <f>_xll.ciqfunctions.udf.CIQ($B$1,"IQ_TOTAL_DEBT","IQ_FY-8")</f>
        <v>91732</v>
      </c>
      <c r="D247" s="7">
        <f t="shared" si="7"/>
        <v>91732</v>
      </c>
      <c r="E247" s="5" t="s">
        <v>58</v>
      </c>
    </row>
    <row r="248" spans="1:5" x14ac:dyDescent="0.4">
      <c r="A248" s="5" t="s">
        <v>57</v>
      </c>
      <c r="B248" s="5" t="s">
        <v>21</v>
      </c>
      <c r="C248" s="6">
        <f>_xll.ciqfunctions.udf.CIQ($B$1,"IQ_TOTAL_DEBT","IQ_FY-9")</f>
        <v>57566</v>
      </c>
      <c r="D248" s="7">
        <f t="shared" si="7"/>
        <v>57566</v>
      </c>
      <c r="E248" s="5" t="s">
        <v>58</v>
      </c>
    </row>
    <row r="249" spans="1:5" x14ac:dyDescent="0.4">
      <c r="A249" s="5" t="s">
        <v>57</v>
      </c>
      <c r="B249" s="5" t="s">
        <v>22</v>
      </c>
      <c r="C249" s="6">
        <f>_xll.ciqfunctions.udf.CIQ($B$1,"IQ_TOTAL_DEBT","IQ_FY-10")</f>
        <v>52593</v>
      </c>
      <c r="D249" s="7">
        <f t="shared" ref="D249:D280" si="8">C249</f>
        <v>52593</v>
      </c>
      <c r="E249" s="5" t="s">
        <v>58</v>
      </c>
    </row>
    <row r="250" spans="1:5" x14ac:dyDescent="0.4">
      <c r="A250" s="5" t="s">
        <v>59</v>
      </c>
      <c r="B250" s="5" t="s">
        <v>11</v>
      </c>
      <c r="C250" s="6">
        <f>_xll.ciqfunctions.udf.CIQ($B$1,"IQ_TOTAL_OUTSTANDING_FILING_DATE","IQ_FY-0")</f>
        <v>2319.1580199999999</v>
      </c>
      <c r="D250" s="7">
        <f t="shared" si="8"/>
        <v>2319.1580199999999</v>
      </c>
      <c r="E250" s="5" t="s">
        <v>60</v>
      </c>
    </row>
    <row r="251" spans="1:5" x14ac:dyDescent="0.4">
      <c r="A251" s="5" t="s">
        <v>59</v>
      </c>
      <c r="B251" s="5" t="s">
        <v>13</v>
      </c>
      <c r="C251" s="6">
        <f>_xll.ciqfunctions.udf.CIQ($B$1,"IQ_TOTAL_OUTSTANDING_FILING_DATE","IQ_FY-1")</f>
        <v>2418.18568</v>
      </c>
      <c r="D251" s="7">
        <f t="shared" si="8"/>
        <v>2418.18568</v>
      </c>
      <c r="E251" s="5" t="s">
        <v>60</v>
      </c>
    </row>
    <row r="252" spans="1:5" x14ac:dyDescent="0.4">
      <c r="A252" s="5" t="s">
        <v>59</v>
      </c>
      <c r="B252" s="5" t="s">
        <v>14</v>
      </c>
      <c r="C252" s="6">
        <f>_xll.ciqfunctions.udf.CIQ($B$1,"IQ_TOTAL_OUTSTANDING_FILING_DATE","IQ_FY-2")</f>
        <v>2546.7797599999999</v>
      </c>
      <c r="D252" s="7">
        <f t="shared" si="8"/>
        <v>2546.7797599999999</v>
      </c>
      <c r="E252" s="5" t="s">
        <v>60</v>
      </c>
    </row>
    <row r="253" spans="1:5" x14ac:dyDescent="0.4">
      <c r="A253" s="5" t="s">
        <v>59</v>
      </c>
      <c r="B253" s="5" t="s">
        <v>15</v>
      </c>
      <c r="C253" s="6">
        <f>_xll.ciqfunctions.udf.CIQ($B$1,"IQ_TOTAL_OUTSTANDING_FILING_DATE","IQ_FY-3")</f>
        <v>2648.1384400000002</v>
      </c>
      <c r="D253" s="7">
        <f t="shared" si="8"/>
        <v>2648.1384400000002</v>
      </c>
      <c r="E253" s="5" t="s">
        <v>60</v>
      </c>
    </row>
    <row r="254" spans="1:5" x14ac:dyDescent="0.4">
      <c r="A254" s="5" t="s">
        <v>59</v>
      </c>
      <c r="B254" s="5" t="s">
        <v>16</v>
      </c>
      <c r="C254" s="6">
        <f>_xll.ciqfunctions.udf.CIQ($B$1,"IQ_TOTAL_OUTSTANDING_FILING_DATE","IQ_FY-4")</f>
        <v>2718.1792500000001</v>
      </c>
      <c r="D254" s="7">
        <f t="shared" si="8"/>
        <v>2718.1792500000001</v>
      </c>
      <c r="E254" s="5" t="s">
        <v>60</v>
      </c>
    </row>
    <row r="255" spans="1:5" x14ac:dyDescent="0.4">
      <c r="A255" s="5" t="s">
        <v>59</v>
      </c>
      <c r="B255" s="5" t="s">
        <v>17</v>
      </c>
      <c r="C255" s="6">
        <f>_xll.ciqfunctions.udf.CIQ($B$1,"IQ_TOTAL_OUTSTANDING_FILING_DATE","IQ_FY-5")</f>
        <v>2704.6631499999999</v>
      </c>
      <c r="D255" s="7">
        <f t="shared" si="8"/>
        <v>2704.6631499999999</v>
      </c>
      <c r="E255" s="5" t="s">
        <v>60</v>
      </c>
    </row>
    <row r="256" spans="1:5" x14ac:dyDescent="0.4">
      <c r="A256" s="5" t="s">
        <v>59</v>
      </c>
      <c r="B256" s="5" t="s">
        <v>18</v>
      </c>
      <c r="C256" s="6">
        <f>_xll.ciqfunctions.udf.CIQ($B$1,"IQ_TOTAL_OUTSTANDING_FILING_DATE","IQ_FY-6")</f>
        <v>2603.5316899999998</v>
      </c>
      <c r="D256" s="7">
        <f t="shared" si="8"/>
        <v>2603.5316899999998</v>
      </c>
      <c r="E256" s="5" t="s">
        <v>60</v>
      </c>
    </row>
    <row r="257" spans="1:5" x14ac:dyDescent="0.4">
      <c r="A257" s="5" t="s">
        <v>59</v>
      </c>
      <c r="B257" s="5" t="s">
        <v>19</v>
      </c>
      <c r="C257" s="6">
        <f>_xll.ciqfunctions.udf.CIQ($B$1,"IQ_TOTAL_OUTSTANDING_FILING_DATE","IQ_FY-7")</f>
        <v>2553.125</v>
      </c>
      <c r="D257" s="7">
        <f t="shared" si="8"/>
        <v>2553.125</v>
      </c>
      <c r="E257" s="5" t="s">
        <v>60</v>
      </c>
    </row>
    <row r="258" spans="1:5" x14ac:dyDescent="0.4">
      <c r="A258" s="5" t="s">
        <v>59</v>
      </c>
      <c r="B258" s="5" t="s">
        <v>20</v>
      </c>
      <c r="C258" s="6">
        <f>_xll.ciqfunctions.udf.CIQ($B$1,"IQ_TOTAL_OUTSTANDING_FILING_DATE","IQ_FY-8")</f>
        <v>2530</v>
      </c>
      <c r="D258" s="7">
        <f t="shared" si="8"/>
        <v>2530</v>
      </c>
      <c r="E258" s="5" t="s">
        <v>60</v>
      </c>
    </row>
    <row r="259" spans="1:5" x14ac:dyDescent="0.4">
      <c r="A259" s="5" t="s">
        <v>59</v>
      </c>
      <c r="B259" s="5" t="s">
        <v>21</v>
      </c>
      <c r="C259" s="6">
        <f>_xll.ciqfunctions.udf.CIQ($B$1,"IQ_TOTAL_OUTSTANDING_FILING_DATE","IQ_FY-9")</f>
        <v>2495.2766799999999</v>
      </c>
      <c r="D259" s="7">
        <f t="shared" si="8"/>
        <v>2495.2766799999999</v>
      </c>
      <c r="E259" s="5" t="s">
        <v>60</v>
      </c>
    </row>
    <row r="260" spans="1:5" x14ac:dyDescent="0.4">
      <c r="A260" s="5" t="s">
        <v>59</v>
      </c>
      <c r="B260" s="5" t="s">
        <v>22</v>
      </c>
      <c r="C260" s="6">
        <f>_xll.ciqfunctions.udf.CIQ($B$1,"IQ_TOTAL_OUTSTANDING_FILING_DATE","IQ_FY-10")</f>
        <v>2512.4274999999998</v>
      </c>
      <c r="D260" s="7">
        <f t="shared" si="8"/>
        <v>2512.4274999999998</v>
      </c>
      <c r="E260" s="5" t="s">
        <v>60</v>
      </c>
    </row>
    <row r="261" spans="1:5" x14ac:dyDescent="0.4">
      <c r="A261" s="5" t="s">
        <v>61</v>
      </c>
      <c r="B261" s="5" t="s">
        <v>11</v>
      </c>
      <c r="C261" s="6">
        <f>_xll.ciqfunctions.udf.CIQ($B$1,"IQ_LT_INVEST","IQ_FY-0")</f>
        <v>566987</v>
      </c>
      <c r="D261" s="7">
        <f t="shared" si="8"/>
        <v>566987</v>
      </c>
      <c r="E261" s="5" t="s">
        <v>62</v>
      </c>
    </row>
    <row r="262" spans="1:5" x14ac:dyDescent="0.4">
      <c r="A262" s="5" t="s">
        <v>61</v>
      </c>
      <c r="B262" s="5" t="s">
        <v>13</v>
      </c>
      <c r="C262" s="6">
        <f>_xll.ciqfunctions.udf.CIQ($B$1,"IQ_LT_INVEST","IQ_FY-1")</f>
        <v>424073</v>
      </c>
      <c r="D262" s="7">
        <f t="shared" si="8"/>
        <v>424073</v>
      </c>
      <c r="E262" s="5" t="s">
        <v>62</v>
      </c>
    </row>
    <row r="263" spans="1:5" x14ac:dyDescent="0.4">
      <c r="A263" s="5" t="s">
        <v>61</v>
      </c>
      <c r="B263" s="5" t="s">
        <v>14</v>
      </c>
      <c r="C263" s="6">
        <f>_xll.ciqfunctions.udf.CIQ($B$1,"IQ_LT_INVEST","IQ_FY-2")</f>
        <v>453117</v>
      </c>
      <c r="D263" s="7">
        <f t="shared" si="8"/>
        <v>453117</v>
      </c>
      <c r="E263" s="5" t="s">
        <v>62</v>
      </c>
    </row>
    <row r="264" spans="1:5" x14ac:dyDescent="0.4">
      <c r="A264" s="5" t="s">
        <v>61</v>
      </c>
      <c r="B264" s="5" t="s">
        <v>15</v>
      </c>
      <c r="C264" s="6">
        <f>_xll.ciqfunctions.udf.CIQ($B$1,"IQ_LT_INVEST","IQ_FY-3")</f>
        <v>443253</v>
      </c>
      <c r="D264" s="7">
        <f t="shared" si="8"/>
        <v>443253</v>
      </c>
      <c r="E264" s="5" t="s">
        <v>62</v>
      </c>
    </row>
    <row r="265" spans="1:5" x14ac:dyDescent="0.4">
      <c r="A265" s="5" t="s">
        <v>61</v>
      </c>
      <c r="B265" s="5" t="s">
        <v>16</v>
      </c>
      <c r="C265" s="6">
        <f>_xll.ciqfunctions.udf.CIQ($B$1,"IQ_LT_INVEST","IQ_FY-4")</f>
        <v>437410</v>
      </c>
      <c r="D265" s="7">
        <f t="shared" si="8"/>
        <v>437410</v>
      </c>
      <c r="E265" s="5" t="s">
        <v>62</v>
      </c>
    </row>
    <row r="266" spans="1:5" x14ac:dyDescent="0.4">
      <c r="A266" s="5" t="s">
        <v>61</v>
      </c>
      <c r="B266" s="5" t="s">
        <v>17</v>
      </c>
      <c r="C266" s="6">
        <f>_xll.ciqfunctions.udf.CIQ($B$1,"IQ_LT_INVEST","IQ_FY-5")</f>
        <v>350961</v>
      </c>
      <c r="D266" s="7">
        <f t="shared" si="8"/>
        <v>350961</v>
      </c>
      <c r="E266" s="5" t="s">
        <v>62</v>
      </c>
    </row>
    <row r="267" spans="1:5" x14ac:dyDescent="0.4">
      <c r="A267" s="5" t="s">
        <v>61</v>
      </c>
      <c r="B267" s="5" t="s">
        <v>18</v>
      </c>
      <c r="C267" s="6">
        <f>_xll.ciqfunctions.udf.CIQ($B$1,"IQ_LT_INVEST","IQ_FY-6")</f>
        <v>241544</v>
      </c>
      <c r="D267" s="7">
        <f t="shared" si="8"/>
        <v>241544</v>
      </c>
      <c r="E267" s="5" t="s">
        <v>62</v>
      </c>
    </row>
    <row r="268" spans="1:5" x14ac:dyDescent="0.4">
      <c r="A268" s="5" t="s">
        <v>61</v>
      </c>
      <c r="B268" s="5" t="s">
        <v>19</v>
      </c>
      <c r="C268" s="6">
        <f>_xll.ciqfunctions.udf.CIQ($B$1,"IQ_LT_INVEST","IQ_FY-7")</f>
        <v>178434</v>
      </c>
      <c r="D268" s="7">
        <f t="shared" si="8"/>
        <v>178434</v>
      </c>
      <c r="E268" s="5" t="s">
        <v>62</v>
      </c>
    </row>
    <row r="269" spans="1:5" x14ac:dyDescent="0.4">
      <c r="A269" s="5" t="s">
        <v>61</v>
      </c>
      <c r="B269" s="5" t="s">
        <v>20</v>
      </c>
      <c r="C269" s="6">
        <f>_xll.ciqfunctions.udf.CIQ($B$1,"IQ_LT_INVEST","IQ_FY-8")</f>
        <v>152256</v>
      </c>
      <c r="D269" s="7">
        <f t="shared" si="8"/>
        <v>152256</v>
      </c>
      <c r="E269" s="5" t="s">
        <v>62</v>
      </c>
    </row>
    <row r="270" spans="1:5" x14ac:dyDescent="0.4">
      <c r="A270" s="5" t="s">
        <v>61</v>
      </c>
      <c r="B270" s="5" t="s">
        <v>21</v>
      </c>
      <c r="C270" s="6">
        <f>_xll.ciqfunctions.udf.CIQ($B$1,"IQ_LT_INVEST","IQ_FY-9")</f>
        <v>120853</v>
      </c>
      <c r="D270" s="7">
        <f t="shared" si="8"/>
        <v>120853</v>
      </c>
      <c r="E270" s="5" t="s">
        <v>62</v>
      </c>
    </row>
    <row r="271" spans="1:5" x14ac:dyDescent="0.4">
      <c r="A271" s="5" t="s">
        <v>61</v>
      </c>
      <c r="B271" s="5" t="s">
        <v>22</v>
      </c>
      <c r="C271" s="6">
        <f>_xll.ciqfunctions.udf.CIQ($B$1,"IQ_LT_INVEST","IQ_FY-10")</f>
        <v>48488</v>
      </c>
      <c r="D271" s="7">
        <f t="shared" si="8"/>
        <v>48488</v>
      </c>
      <c r="E271" s="5" t="s">
        <v>62</v>
      </c>
    </row>
    <row r="272" spans="1:5" x14ac:dyDescent="0.4">
      <c r="A272" s="5" t="s">
        <v>63</v>
      </c>
      <c r="B272" s="5" t="s">
        <v>11</v>
      </c>
      <c r="C272" s="6">
        <f>_xll.ciqfunctions.udf.CIQ($B$1,"IQ_MINORITY_INTEREST","IQ_FY-0")</f>
        <v>80248</v>
      </c>
      <c r="D272" s="7">
        <f t="shared" si="8"/>
        <v>80248</v>
      </c>
      <c r="E272" s="5" t="s">
        <v>64</v>
      </c>
    </row>
    <row r="273" spans="1:5" x14ac:dyDescent="0.4">
      <c r="A273" s="5" t="s">
        <v>63</v>
      </c>
      <c r="B273" s="5" t="s">
        <v>13</v>
      </c>
      <c r="C273" s="6">
        <f>_xll.ciqfunctions.udf.CIQ($B$1,"IQ_MINORITY_INTEREST","IQ_FY-1")</f>
        <v>126055</v>
      </c>
      <c r="D273" s="7">
        <f t="shared" si="8"/>
        <v>126055</v>
      </c>
      <c r="E273" s="5" t="s">
        <v>64</v>
      </c>
    </row>
    <row r="274" spans="1:5" x14ac:dyDescent="0.4">
      <c r="A274" s="5" t="s">
        <v>63</v>
      </c>
      <c r="B274" s="5" t="s">
        <v>14</v>
      </c>
      <c r="C274" s="6">
        <f>_xll.ciqfunctions.udf.CIQ($B$1,"IQ_MINORITY_INTEREST","IQ_FY-2")</f>
        <v>133264</v>
      </c>
      <c r="D274" s="7">
        <f t="shared" si="8"/>
        <v>133264</v>
      </c>
      <c r="E274" s="5" t="s">
        <v>64</v>
      </c>
    </row>
    <row r="275" spans="1:5" x14ac:dyDescent="0.4">
      <c r="A275" s="5" t="s">
        <v>63</v>
      </c>
      <c r="B275" s="5" t="s">
        <v>15</v>
      </c>
      <c r="C275" s="6">
        <f>_xll.ciqfunctions.udf.CIQ($B$1,"IQ_MINORITY_INTEREST","IQ_FY-3")</f>
        <v>133714</v>
      </c>
      <c r="D275" s="7">
        <f t="shared" si="8"/>
        <v>133714</v>
      </c>
      <c r="E275" s="5" t="s">
        <v>64</v>
      </c>
    </row>
    <row r="276" spans="1:5" x14ac:dyDescent="0.4">
      <c r="A276" s="5" t="s">
        <v>63</v>
      </c>
      <c r="B276" s="5" t="s">
        <v>16</v>
      </c>
      <c r="C276" s="6">
        <f>_xll.ciqfunctions.udf.CIQ($B$1,"IQ_MINORITY_INTEREST","IQ_FY-4")</f>
        <v>146164</v>
      </c>
      <c r="D276" s="7">
        <f t="shared" si="8"/>
        <v>146164</v>
      </c>
      <c r="E276" s="5" t="s">
        <v>64</v>
      </c>
    </row>
    <row r="277" spans="1:5" x14ac:dyDescent="0.4">
      <c r="A277" s="5" t="s">
        <v>63</v>
      </c>
      <c r="B277" s="5" t="s">
        <v>17</v>
      </c>
      <c r="C277" s="6">
        <f>_xll.ciqfunctions.udf.CIQ($B$1,"IQ_MINORITY_INTEREST","IQ_FY-5")</f>
        <v>124250</v>
      </c>
      <c r="D277" s="7">
        <f t="shared" si="8"/>
        <v>124250</v>
      </c>
      <c r="E277" s="5" t="s">
        <v>64</v>
      </c>
    </row>
    <row r="278" spans="1:5" x14ac:dyDescent="0.4">
      <c r="A278" s="5" t="s">
        <v>63</v>
      </c>
      <c r="B278" s="5" t="s">
        <v>18</v>
      </c>
      <c r="C278" s="6">
        <f>_xll.ciqfunctions.udf.CIQ($B$1,"IQ_MINORITY_INTEREST","IQ_FY-6")</f>
        <v>116326</v>
      </c>
      <c r="D278" s="7">
        <f t="shared" si="8"/>
        <v>116326</v>
      </c>
      <c r="E278" s="5" t="s">
        <v>64</v>
      </c>
    </row>
    <row r="279" spans="1:5" x14ac:dyDescent="0.4">
      <c r="A279" s="5" t="s">
        <v>63</v>
      </c>
      <c r="B279" s="5" t="s">
        <v>19</v>
      </c>
      <c r="C279" s="6">
        <f>_xll.ciqfunctions.udf.CIQ($B$1,"IQ_MINORITY_INTEREST","IQ_FY-7")</f>
        <v>70616</v>
      </c>
      <c r="D279" s="7">
        <f t="shared" si="8"/>
        <v>70616</v>
      </c>
      <c r="E279" s="5" t="s">
        <v>64</v>
      </c>
    </row>
    <row r="280" spans="1:5" x14ac:dyDescent="0.4">
      <c r="A280" s="5" t="s">
        <v>63</v>
      </c>
      <c r="B280" s="5" t="s">
        <v>20</v>
      </c>
      <c r="C280" s="6">
        <f>_xll.ciqfunctions.udf.CIQ($B$1,"IQ_MINORITY_INTEREST","IQ_FY-8")</f>
        <v>42330</v>
      </c>
      <c r="D280" s="7">
        <f t="shared" si="8"/>
        <v>42330</v>
      </c>
      <c r="E280" s="5" t="s">
        <v>64</v>
      </c>
    </row>
    <row r="281" spans="1:5" x14ac:dyDescent="0.4">
      <c r="A281" s="5" t="s">
        <v>63</v>
      </c>
      <c r="B281" s="5" t="s">
        <v>21</v>
      </c>
      <c r="C281" s="6">
        <f>_xll.ciqfunctions.udf.CIQ($B$1,"IQ_MINORITY_INTEREST","IQ_FY-9")</f>
        <v>32552</v>
      </c>
      <c r="D281" s="7">
        <f t="shared" ref="D281:D312" si="9">C281</f>
        <v>32552</v>
      </c>
      <c r="E281" s="5" t="s">
        <v>64</v>
      </c>
    </row>
    <row r="282" spans="1:5" x14ac:dyDescent="0.4">
      <c r="A282" s="5" t="s">
        <v>63</v>
      </c>
      <c r="B282" s="5" t="s">
        <v>22</v>
      </c>
      <c r="C282" s="6">
        <f>_xll.ciqfunctions.udf.CIQ($B$1,"IQ_MINORITY_INTEREST","IQ_FY-10")</f>
        <v>11974</v>
      </c>
      <c r="D282" s="7">
        <f t="shared" si="9"/>
        <v>11974</v>
      </c>
      <c r="E282" s="5" t="s">
        <v>64</v>
      </c>
    </row>
    <row r="283" spans="1:5" x14ac:dyDescent="0.4">
      <c r="A283" s="8" t="s">
        <v>65</v>
      </c>
      <c r="B283" s="9"/>
      <c r="C283" s="9"/>
      <c r="D283" s="9"/>
      <c r="E283" s="9"/>
    </row>
    <row r="284" spans="1:5" x14ac:dyDescent="0.4">
      <c r="A284" s="5" t="s">
        <v>53</v>
      </c>
      <c r="B284" s="5" t="s">
        <v>44</v>
      </c>
      <c r="C284" s="6">
        <f>_xll.ciqfunctions.udf.CIQ($B$1,"IQ_CASH_EQUIV","IQ_FQ-0")</f>
        <v>128174</v>
      </c>
      <c r="D284" s="7">
        <f t="shared" ref="D284:D289" si="10">C284</f>
        <v>128174</v>
      </c>
      <c r="E284" s="5" t="s">
        <v>66</v>
      </c>
    </row>
    <row r="285" spans="1:5" x14ac:dyDescent="0.4">
      <c r="A285" s="5" t="s">
        <v>55</v>
      </c>
      <c r="B285" s="5" t="s">
        <v>44</v>
      </c>
      <c r="C285" s="6">
        <f>_xll.ciqfunctions.udf.CIQ($B$1,"IQ_TOTAL_EQUITY","IQ_FQ-0")</f>
        <v>1105928</v>
      </c>
      <c r="D285" s="7">
        <f t="shared" si="10"/>
        <v>1105928</v>
      </c>
      <c r="E285" s="5" t="s">
        <v>67</v>
      </c>
    </row>
    <row r="286" spans="1:5" x14ac:dyDescent="0.4">
      <c r="A286" s="5" t="s">
        <v>57</v>
      </c>
      <c r="B286" s="5" t="s">
        <v>44</v>
      </c>
      <c r="C286" s="6">
        <f>_xll.ciqfunctions.udf.CIQ($B$1,"IQ_TOTAL_DEBT","IQ_FQ-0")</f>
        <v>286529</v>
      </c>
      <c r="D286" s="7">
        <f t="shared" si="10"/>
        <v>286529</v>
      </c>
      <c r="E286" s="5" t="s">
        <v>68</v>
      </c>
    </row>
    <row r="287" spans="1:5" x14ac:dyDescent="0.4">
      <c r="A287" s="5" t="s">
        <v>59</v>
      </c>
      <c r="B287" s="5" t="s">
        <v>44</v>
      </c>
      <c r="C287" s="6">
        <f>_xll.ciqfunctions.udf.CIQ($B$1,"IQ_TOTAL_OUTSTANDING_FILING_DATE","IQ_FQ-0")</f>
        <v>2321</v>
      </c>
      <c r="D287" s="7">
        <f t="shared" si="10"/>
        <v>2321</v>
      </c>
      <c r="E287" s="5" t="s">
        <v>69</v>
      </c>
    </row>
    <row r="288" spans="1:5" x14ac:dyDescent="0.4">
      <c r="A288" s="5" t="s">
        <v>61</v>
      </c>
      <c r="B288" s="5" t="s">
        <v>44</v>
      </c>
      <c r="C288" s="6">
        <f>_xll.ciqfunctions.udf.CIQ($B$1,"IQ_LT_INVEST","IQ_FQ-0")</f>
        <v>649216</v>
      </c>
      <c r="D288" s="7">
        <f t="shared" si="10"/>
        <v>649216</v>
      </c>
      <c r="E288" s="5" t="s">
        <v>70</v>
      </c>
    </row>
    <row r="289" spans="1:5" x14ac:dyDescent="0.4">
      <c r="A289" s="5" t="s">
        <v>63</v>
      </c>
      <c r="B289" s="5" t="s">
        <v>44</v>
      </c>
      <c r="C289" s="6">
        <f>_xll.ciqfunctions.udf.CIQ($B$1,"IQ_MINORITY_INTEREST","IQ_FQ-0")</f>
        <v>66273</v>
      </c>
      <c r="D289" s="7">
        <f t="shared" si="10"/>
        <v>66273</v>
      </c>
      <c r="E289" s="5" t="s">
        <v>71</v>
      </c>
    </row>
    <row r="290" spans="1:5" x14ac:dyDescent="0.4">
      <c r="A290" s="8" t="s">
        <v>72</v>
      </c>
      <c r="B290" s="9"/>
      <c r="C290" s="9"/>
      <c r="D290" s="9"/>
      <c r="E290" s="9"/>
    </row>
    <row r="291" spans="1:5" x14ac:dyDescent="0.4">
      <c r="A291" s="5" t="s">
        <v>73</v>
      </c>
      <c r="B291" s="5" t="s">
        <v>74</v>
      </c>
      <c r="C291" s="6">
        <f>_xll.ciqfunctions.udf.CIQ($B$1,"IQ_CLOSEPRICE")</f>
        <v>132.52000000000001</v>
      </c>
      <c r="D291" s="7">
        <f>C291</f>
        <v>132.52000000000001</v>
      </c>
      <c r="E291" s="5" t="s">
        <v>75</v>
      </c>
    </row>
    <row r="292" spans="1:5" x14ac:dyDescent="0.4">
      <c r="A292" s="5" t="s">
        <v>76</v>
      </c>
      <c r="B292" s="5" t="s">
        <v>74</v>
      </c>
      <c r="C292" s="6">
        <f>_xll.ciqfunctions.udf.CIQ($B$1,"IQ_MARKETCAP")</f>
        <v>297783.22009999998</v>
      </c>
      <c r="D292" s="7">
        <f>C292</f>
        <v>297783.22009999998</v>
      </c>
      <c r="E292" s="5" t="s">
        <v>77</v>
      </c>
    </row>
    <row r="293" spans="1:5" x14ac:dyDescent="0.4">
      <c r="A293" s="5" t="s">
        <v>78</v>
      </c>
      <c r="B293" s="5" t="s">
        <v>74</v>
      </c>
      <c r="C293" s="6" t="str">
        <f>_xll.ciqfunctions.udf.CIQ($B$1,"IQ_FILING_CURRENCY")</f>
        <v>CNY</v>
      </c>
      <c r="D293" s="7" t="str">
        <f>C293</f>
        <v>CNY</v>
      </c>
      <c r="E293" s="5" t="s">
        <v>79</v>
      </c>
    </row>
    <row r="294" spans="1:5" x14ac:dyDescent="0.4">
      <c r="A294" s="5" t="s">
        <v>80</v>
      </c>
      <c r="B294" s="5" t="s">
        <v>74</v>
      </c>
      <c r="C294" s="6" t="str">
        <f>_xll.ciqfunctions.udf.CIQ($B$1,"IQ_EXCHANGE")</f>
        <v>NYSE</v>
      </c>
      <c r="D294" s="7" t="str">
        <f>C294</f>
        <v>NYSE</v>
      </c>
      <c r="E294" s="5" t="s">
        <v>81</v>
      </c>
    </row>
    <row r="295" spans="1:5" x14ac:dyDescent="0.4">
      <c r="A295" s="5" t="s">
        <v>82</v>
      </c>
      <c r="B295" s="5" t="s">
        <v>83</v>
      </c>
      <c r="C295" s="6">
        <f>_xll.ciqfunctions.udf.CIQ($B$1,"IQ_EFFECT_TAX_RATE","IQ_FY")/100</f>
        <v>0.21958100000000003</v>
      </c>
      <c r="D295" s="7">
        <f>C295</f>
        <v>0.21958100000000003</v>
      </c>
      <c r="E295" s="5" t="s">
        <v>84</v>
      </c>
    </row>
    <row r="296" spans="1:5" x14ac:dyDescent="0.4">
      <c r="A296" s="8" t="s">
        <v>85</v>
      </c>
      <c r="B296" s="9"/>
      <c r="C296" s="9"/>
      <c r="D296" s="9"/>
      <c r="E296" s="9"/>
    </row>
    <row r="297" spans="1:5" x14ac:dyDescent="0.4">
      <c r="A297" s="5" t="s">
        <v>86</v>
      </c>
      <c r="B297" s="5" t="s">
        <v>74</v>
      </c>
      <c r="C297" s="6">
        <f>_xll.ciqfunctions.udf.CIQ($B$1,"IQ_OPTIONS_END_OS")</f>
        <v>0</v>
      </c>
      <c r="D297" s="7">
        <f>C297</f>
        <v>0</v>
      </c>
      <c r="E297" s="5" t="s">
        <v>87</v>
      </c>
    </row>
    <row r="298" spans="1:5" x14ac:dyDescent="0.4">
      <c r="A298" s="5" t="s">
        <v>88</v>
      </c>
      <c r="B298" s="5" t="s">
        <v>74</v>
      </c>
      <c r="C298" s="6">
        <f>_xll.ciqfunctions.udf.CIQ($B$1,"IQ_OPTIONS_STRIKE_PRICE_OS")</f>
        <v>0</v>
      </c>
      <c r="D298" s="7">
        <f>C298</f>
        <v>0</v>
      </c>
      <c r="E298" s="5" t="s">
        <v>89</v>
      </c>
    </row>
    <row r="299" spans="1:5" x14ac:dyDescent="0.4">
      <c r="A299" s="5" t="s">
        <v>90</v>
      </c>
      <c r="B299" s="5" t="s">
        <v>74</v>
      </c>
      <c r="C299" s="6" t="str">
        <f>_xll.ciqfunctions.udf.CIQ($B$1,"IQ_OPTIONS_AVG_LIFE")</f>
        <v>(Invalid Formula Name)</v>
      </c>
      <c r="D299" s="7" t="str">
        <f>C299</f>
        <v>(Invalid Formula Name)</v>
      </c>
      <c r="E299" s="5" t="s">
        <v>91</v>
      </c>
    </row>
    <row r="300" spans="1:5" x14ac:dyDescent="0.4">
      <c r="A300" s="8" t="s">
        <v>92</v>
      </c>
      <c r="B300" s="9"/>
      <c r="C300" s="9"/>
      <c r="D300" s="9"/>
      <c r="E300" s="9"/>
    </row>
    <row r="301" spans="1:5" x14ac:dyDescent="0.4">
      <c r="A301" s="5" t="s">
        <v>93</v>
      </c>
      <c r="B301" s="5" t="s">
        <v>74</v>
      </c>
      <c r="C301" s="6">
        <f>_xll.ciqfunctions.udf.CIQ($B$1,"IQ_OL_COMM_CY")</f>
        <v>0</v>
      </c>
      <c r="D301" s="7">
        <f t="shared" ref="D301:D306" si="11">C301</f>
        <v>0</v>
      </c>
      <c r="E301" s="5" t="s">
        <v>94</v>
      </c>
    </row>
    <row r="302" spans="1:5" x14ac:dyDescent="0.4">
      <c r="A302" s="5" t="s">
        <v>95</v>
      </c>
      <c r="B302" s="5" t="s">
        <v>74</v>
      </c>
      <c r="C302" s="6">
        <f>_xll.ciqfunctions.udf.CIQ($B$1,"IQ_OL_COMM_CY1")</f>
        <v>0</v>
      </c>
      <c r="D302" s="7">
        <f t="shared" si="11"/>
        <v>0</v>
      </c>
      <c r="E302" s="5" t="s">
        <v>96</v>
      </c>
    </row>
    <row r="303" spans="1:5" x14ac:dyDescent="0.4">
      <c r="A303" s="5" t="s">
        <v>97</v>
      </c>
      <c r="B303" s="5" t="s">
        <v>74</v>
      </c>
      <c r="C303" s="6">
        <f>_xll.ciqfunctions.udf.CIQ($B$1,"IQ_OL_COMM_CY2")</f>
        <v>0</v>
      </c>
      <c r="D303" s="7">
        <f t="shared" si="11"/>
        <v>0</v>
      </c>
      <c r="E303" s="5" t="s">
        <v>98</v>
      </c>
    </row>
    <row r="304" spans="1:5" x14ac:dyDescent="0.4">
      <c r="A304" s="5" t="s">
        <v>99</v>
      </c>
      <c r="B304" s="5" t="s">
        <v>74</v>
      </c>
      <c r="C304" s="6">
        <f>_xll.ciqfunctions.udf.CIQ($B$1,"IQ_OL_COMM_CY3")</f>
        <v>0</v>
      </c>
      <c r="D304" s="7">
        <f t="shared" si="11"/>
        <v>0</v>
      </c>
      <c r="E304" s="5" t="s">
        <v>100</v>
      </c>
    </row>
    <row r="305" spans="1:5" x14ac:dyDescent="0.4">
      <c r="A305" s="5" t="s">
        <v>101</v>
      </c>
      <c r="B305" s="5" t="s">
        <v>74</v>
      </c>
      <c r="C305" s="6">
        <f>_xll.ciqfunctions.udf.CIQ($B$1,"IQ_OL_COMM_CY4")</f>
        <v>0</v>
      </c>
      <c r="D305" s="7">
        <f t="shared" si="11"/>
        <v>0</v>
      </c>
      <c r="E305" s="5" t="s">
        <v>102</v>
      </c>
    </row>
    <row r="306" spans="1:5" x14ac:dyDescent="0.4">
      <c r="A306" s="5" t="s">
        <v>103</v>
      </c>
      <c r="B306" s="5" t="s">
        <v>74</v>
      </c>
      <c r="C306" s="6">
        <f>_xll.ciqfunctions.udf.CIQ($B$1,"IQ_OL_COMM_NEXT_FIVE")</f>
        <v>0</v>
      </c>
      <c r="D306" s="7">
        <f t="shared" si="11"/>
        <v>0</v>
      </c>
      <c r="E306" s="5" t="s">
        <v>104</v>
      </c>
    </row>
    <row r="307" spans="1:5" x14ac:dyDescent="0.4">
      <c r="A307" s="8" t="s">
        <v>105</v>
      </c>
      <c r="B307" s="9"/>
      <c r="C307" s="9"/>
      <c r="D307" s="9"/>
      <c r="E307" s="9"/>
    </row>
    <row r="308" spans="1:5" x14ac:dyDescent="0.4">
      <c r="A308" s="5" t="s">
        <v>106</v>
      </c>
      <c r="B308" s="5" t="s">
        <v>11</v>
      </c>
      <c r="C308" s="6">
        <f>_xll.ciqfunctions.udf.CIQ($B$1,"IQ_PERIODDATE","IQ_FY-0")</f>
        <v>45747</v>
      </c>
      <c r="D308" s="7">
        <f>C308</f>
        <v>45747</v>
      </c>
      <c r="E308" s="5" t="s">
        <v>107</v>
      </c>
    </row>
    <row r="309" spans="1:5" x14ac:dyDescent="0.4">
      <c r="A309" s="5" t="s">
        <v>108</v>
      </c>
      <c r="B309" s="5" t="s">
        <v>44</v>
      </c>
      <c r="C309" s="6">
        <f>_xll.ciqfunctions.udf.CIQ($B$1,"IQ_PERIODDATE","IQ_FQ-0")</f>
        <v>46022</v>
      </c>
      <c r="D309" s="7">
        <f>C309</f>
        <v>46022</v>
      </c>
      <c r="E309" s="5" t="s">
        <v>109</v>
      </c>
    </row>
  </sheetData>
  <mergeCells count="8">
    <mergeCell ref="A300:E300"/>
    <mergeCell ref="A283:E283"/>
    <mergeCell ref="A216:E216"/>
    <mergeCell ref="A307:E307"/>
    <mergeCell ref="A5:E5"/>
    <mergeCell ref="A296:E296"/>
    <mergeCell ref="A127:E127"/>
    <mergeCell ref="A290:E290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8"/>
  <sheetViews>
    <sheetView workbookViewId="0"/>
  </sheetViews>
  <sheetFormatPr defaultRowHeight="14.1" x14ac:dyDescent="0.4"/>
  <sheetData>
    <row r="1" spans="1:4" x14ac:dyDescent="0.4">
      <c r="A1" t="s">
        <v>110</v>
      </c>
      <c r="B1" t="s">
        <v>111</v>
      </c>
      <c r="C1" t="s">
        <v>112</v>
      </c>
      <c r="D1" t="s">
        <v>113</v>
      </c>
    </row>
    <row r="2" spans="1:4" x14ac:dyDescent="0.4">
      <c r="A2">
        <v>6</v>
      </c>
      <c r="B2" t="s">
        <v>10</v>
      </c>
      <c r="C2" t="s">
        <v>11</v>
      </c>
      <c r="D2" t="s">
        <v>114</v>
      </c>
    </row>
    <row r="3" spans="1:4" x14ac:dyDescent="0.4">
      <c r="A3">
        <v>7</v>
      </c>
      <c r="B3" t="s">
        <v>10</v>
      </c>
      <c r="C3" t="s">
        <v>13</v>
      </c>
      <c r="D3" t="s">
        <v>114</v>
      </c>
    </row>
    <row r="4" spans="1:4" x14ac:dyDescent="0.4">
      <c r="A4">
        <v>8</v>
      </c>
      <c r="B4" t="s">
        <v>10</v>
      </c>
      <c r="C4" t="s">
        <v>14</v>
      </c>
      <c r="D4" t="s">
        <v>114</v>
      </c>
    </row>
    <row r="5" spans="1:4" x14ac:dyDescent="0.4">
      <c r="A5">
        <v>9</v>
      </c>
      <c r="B5" t="s">
        <v>10</v>
      </c>
      <c r="C5" t="s">
        <v>15</v>
      </c>
      <c r="D5" t="s">
        <v>114</v>
      </c>
    </row>
    <row r="6" spans="1:4" x14ac:dyDescent="0.4">
      <c r="A6">
        <v>10</v>
      </c>
      <c r="B6" t="s">
        <v>10</v>
      </c>
      <c r="C6" t="s">
        <v>16</v>
      </c>
      <c r="D6" t="s">
        <v>114</v>
      </c>
    </row>
    <row r="7" spans="1:4" x14ac:dyDescent="0.4">
      <c r="A7">
        <v>11</v>
      </c>
      <c r="B7" t="s">
        <v>10</v>
      </c>
      <c r="C7" t="s">
        <v>17</v>
      </c>
      <c r="D7" t="s">
        <v>114</v>
      </c>
    </row>
    <row r="8" spans="1:4" x14ac:dyDescent="0.4">
      <c r="A8">
        <v>12</v>
      </c>
      <c r="B8" t="s">
        <v>10</v>
      </c>
      <c r="C8" t="s">
        <v>18</v>
      </c>
      <c r="D8" t="s">
        <v>114</v>
      </c>
    </row>
    <row r="9" spans="1:4" x14ac:dyDescent="0.4">
      <c r="A9">
        <v>13</v>
      </c>
      <c r="B9" t="s">
        <v>10</v>
      </c>
      <c r="C9" t="s">
        <v>19</v>
      </c>
      <c r="D9" t="s">
        <v>114</v>
      </c>
    </row>
    <row r="10" spans="1:4" x14ac:dyDescent="0.4">
      <c r="A10">
        <v>14</v>
      </c>
      <c r="B10" t="s">
        <v>10</v>
      </c>
      <c r="C10" t="s">
        <v>20</v>
      </c>
      <c r="D10" t="s">
        <v>114</v>
      </c>
    </row>
    <row r="11" spans="1:4" x14ac:dyDescent="0.4">
      <c r="A11">
        <v>15</v>
      </c>
      <c r="B11" t="s">
        <v>10</v>
      </c>
      <c r="C11" t="s">
        <v>21</v>
      </c>
      <c r="D11" t="s">
        <v>114</v>
      </c>
    </row>
    <row r="12" spans="1:4" x14ac:dyDescent="0.4">
      <c r="A12">
        <v>16</v>
      </c>
      <c r="B12" t="s">
        <v>10</v>
      </c>
      <c r="C12" t="s">
        <v>22</v>
      </c>
      <c r="D12" t="s">
        <v>114</v>
      </c>
    </row>
    <row r="13" spans="1:4" x14ac:dyDescent="0.4">
      <c r="A13">
        <v>17</v>
      </c>
      <c r="B13" t="s">
        <v>23</v>
      </c>
      <c r="C13" t="s">
        <v>11</v>
      </c>
      <c r="D13" t="s">
        <v>115</v>
      </c>
    </row>
    <row r="14" spans="1:4" x14ac:dyDescent="0.4">
      <c r="A14">
        <v>18</v>
      </c>
      <c r="B14" t="s">
        <v>23</v>
      </c>
      <c r="C14" t="s">
        <v>13</v>
      </c>
      <c r="D14" t="s">
        <v>115</v>
      </c>
    </row>
    <row r="15" spans="1:4" x14ac:dyDescent="0.4">
      <c r="A15">
        <v>19</v>
      </c>
      <c r="B15" t="s">
        <v>23</v>
      </c>
      <c r="C15" t="s">
        <v>14</v>
      </c>
      <c r="D15" t="s">
        <v>115</v>
      </c>
    </row>
    <row r="16" spans="1:4" x14ac:dyDescent="0.4">
      <c r="A16">
        <v>20</v>
      </c>
      <c r="B16" t="s">
        <v>23</v>
      </c>
      <c r="C16" t="s">
        <v>15</v>
      </c>
      <c r="D16" t="s">
        <v>115</v>
      </c>
    </row>
    <row r="17" spans="1:4" x14ac:dyDescent="0.4">
      <c r="A17">
        <v>21</v>
      </c>
      <c r="B17" t="s">
        <v>23</v>
      </c>
      <c r="C17" t="s">
        <v>16</v>
      </c>
      <c r="D17" t="s">
        <v>115</v>
      </c>
    </row>
    <row r="18" spans="1:4" x14ac:dyDescent="0.4">
      <c r="A18">
        <v>22</v>
      </c>
      <c r="B18" t="s">
        <v>23</v>
      </c>
      <c r="C18" t="s">
        <v>17</v>
      </c>
      <c r="D18" t="s">
        <v>115</v>
      </c>
    </row>
    <row r="19" spans="1:4" x14ac:dyDescent="0.4">
      <c r="A19">
        <v>23</v>
      </c>
      <c r="B19" t="s">
        <v>23</v>
      </c>
      <c r="C19" t="s">
        <v>18</v>
      </c>
      <c r="D19" t="s">
        <v>115</v>
      </c>
    </row>
    <row r="20" spans="1:4" x14ac:dyDescent="0.4">
      <c r="A20">
        <v>24</v>
      </c>
      <c r="B20" t="s">
        <v>23</v>
      </c>
      <c r="C20" t="s">
        <v>19</v>
      </c>
      <c r="D20" t="s">
        <v>115</v>
      </c>
    </row>
    <row r="21" spans="1:4" x14ac:dyDescent="0.4">
      <c r="A21">
        <v>25</v>
      </c>
      <c r="B21" t="s">
        <v>23</v>
      </c>
      <c r="C21" t="s">
        <v>20</v>
      </c>
      <c r="D21" t="s">
        <v>115</v>
      </c>
    </row>
    <row r="22" spans="1:4" x14ac:dyDescent="0.4">
      <c r="A22">
        <v>26</v>
      </c>
      <c r="B22" t="s">
        <v>23</v>
      </c>
      <c r="C22" t="s">
        <v>21</v>
      </c>
      <c r="D22" t="s">
        <v>115</v>
      </c>
    </row>
    <row r="23" spans="1:4" x14ac:dyDescent="0.4">
      <c r="A23">
        <v>27</v>
      </c>
      <c r="B23" t="s">
        <v>23</v>
      </c>
      <c r="C23" t="s">
        <v>22</v>
      </c>
      <c r="D23" t="s">
        <v>115</v>
      </c>
    </row>
    <row r="24" spans="1:4" x14ac:dyDescent="0.4">
      <c r="A24">
        <v>28</v>
      </c>
      <c r="B24" t="s">
        <v>25</v>
      </c>
      <c r="C24" t="s">
        <v>11</v>
      </c>
      <c r="D24" t="s">
        <v>116</v>
      </c>
    </row>
    <row r="25" spans="1:4" x14ac:dyDescent="0.4">
      <c r="A25">
        <v>29</v>
      </c>
      <c r="B25" t="s">
        <v>25</v>
      </c>
      <c r="C25" t="s">
        <v>13</v>
      </c>
      <c r="D25" t="s">
        <v>116</v>
      </c>
    </row>
    <row r="26" spans="1:4" x14ac:dyDescent="0.4">
      <c r="A26">
        <v>30</v>
      </c>
      <c r="B26" t="s">
        <v>25</v>
      </c>
      <c r="C26" t="s">
        <v>14</v>
      </c>
      <c r="D26" t="s">
        <v>116</v>
      </c>
    </row>
    <row r="27" spans="1:4" x14ac:dyDescent="0.4">
      <c r="A27">
        <v>31</v>
      </c>
      <c r="B27" t="s">
        <v>25</v>
      </c>
      <c r="C27" t="s">
        <v>15</v>
      </c>
      <c r="D27" t="s">
        <v>116</v>
      </c>
    </row>
    <row r="28" spans="1:4" x14ac:dyDescent="0.4">
      <c r="A28">
        <v>32</v>
      </c>
      <c r="B28" t="s">
        <v>25</v>
      </c>
      <c r="C28" t="s">
        <v>16</v>
      </c>
      <c r="D28" t="s">
        <v>116</v>
      </c>
    </row>
    <row r="29" spans="1:4" x14ac:dyDescent="0.4">
      <c r="A29">
        <v>33</v>
      </c>
      <c r="B29" t="s">
        <v>25</v>
      </c>
      <c r="C29" t="s">
        <v>17</v>
      </c>
      <c r="D29" t="s">
        <v>116</v>
      </c>
    </row>
    <row r="30" spans="1:4" x14ac:dyDescent="0.4">
      <c r="A30">
        <v>34</v>
      </c>
      <c r="B30" t="s">
        <v>25</v>
      </c>
      <c r="C30" t="s">
        <v>18</v>
      </c>
      <c r="D30" t="s">
        <v>116</v>
      </c>
    </row>
    <row r="31" spans="1:4" x14ac:dyDescent="0.4">
      <c r="A31">
        <v>35</v>
      </c>
      <c r="B31" t="s">
        <v>25</v>
      </c>
      <c r="C31" t="s">
        <v>19</v>
      </c>
      <c r="D31" t="s">
        <v>116</v>
      </c>
    </row>
    <row r="32" spans="1:4" x14ac:dyDescent="0.4">
      <c r="A32">
        <v>36</v>
      </c>
      <c r="B32" t="s">
        <v>25</v>
      </c>
      <c r="C32" t="s">
        <v>20</v>
      </c>
      <c r="D32" t="s">
        <v>116</v>
      </c>
    </row>
    <row r="33" spans="1:4" x14ac:dyDescent="0.4">
      <c r="A33">
        <v>37</v>
      </c>
      <c r="B33" t="s">
        <v>25</v>
      </c>
      <c r="C33" t="s">
        <v>21</v>
      </c>
      <c r="D33" t="s">
        <v>116</v>
      </c>
    </row>
    <row r="34" spans="1:4" x14ac:dyDescent="0.4">
      <c r="A34">
        <v>38</v>
      </c>
      <c r="B34" t="s">
        <v>25</v>
      </c>
      <c r="C34" t="s">
        <v>22</v>
      </c>
      <c r="D34" t="s">
        <v>116</v>
      </c>
    </row>
    <row r="35" spans="1:4" x14ac:dyDescent="0.4">
      <c r="A35">
        <v>39</v>
      </c>
      <c r="B35" t="s">
        <v>27</v>
      </c>
      <c r="C35" t="s">
        <v>11</v>
      </c>
      <c r="D35" t="s">
        <v>117</v>
      </c>
    </row>
    <row r="36" spans="1:4" x14ac:dyDescent="0.4">
      <c r="A36">
        <v>40</v>
      </c>
      <c r="B36" t="s">
        <v>27</v>
      </c>
      <c r="C36" t="s">
        <v>13</v>
      </c>
      <c r="D36" t="s">
        <v>117</v>
      </c>
    </row>
    <row r="37" spans="1:4" x14ac:dyDescent="0.4">
      <c r="A37">
        <v>41</v>
      </c>
      <c r="B37" t="s">
        <v>27</v>
      </c>
      <c r="C37" t="s">
        <v>14</v>
      </c>
      <c r="D37" t="s">
        <v>117</v>
      </c>
    </row>
    <row r="38" spans="1:4" x14ac:dyDescent="0.4">
      <c r="A38">
        <v>42</v>
      </c>
      <c r="B38" t="s">
        <v>27</v>
      </c>
      <c r="C38" t="s">
        <v>15</v>
      </c>
      <c r="D38" t="s">
        <v>117</v>
      </c>
    </row>
    <row r="39" spans="1:4" x14ac:dyDescent="0.4">
      <c r="A39">
        <v>43</v>
      </c>
      <c r="B39" t="s">
        <v>27</v>
      </c>
      <c r="C39" t="s">
        <v>16</v>
      </c>
      <c r="D39" t="s">
        <v>117</v>
      </c>
    </row>
    <row r="40" spans="1:4" x14ac:dyDescent="0.4">
      <c r="A40">
        <v>44</v>
      </c>
      <c r="B40" t="s">
        <v>27</v>
      </c>
      <c r="C40" t="s">
        <v>17</v>
      </c>
      <c r="D40" t="s">
        <v>117</v>
      </c>
    </row>
    <row r="41" spans="1:4" x14ac:dyDescent="0.4">
      <c r="A41">
        <v>45</v>
      </c>
      <c r="B41" t="s">
        <v>27</v>
      </c>
      <c r="C41" t="s">
        <v>18</v>
      </c>
      <c r="D41" t="s">
        <v>117</v>
      </c>
    </row>
    <row r="42" spans="1:4" x14ac:dyDescent="0.4">
      <c r="A42">
        <v>46</v>
      </c>
      <c r="B42" t="s">
        <v>27</v>
      </c>
      <c r="C42" t="s">
        <v>19</v>
      </c>
      <c r="D42" t="s">
        <v>117</v>
      </c>
    </row>
    <row r="43" spans="1:4" x14ac:dyDescent="0.4">
      <c r="A43">
        <v>47</v>
      </c>
      <c r="B43" t="s">
        <v>27</v>
      </c>
      <c r="C43" t="s">
        <v>20</v>
      </c>
      <c r="D43" t="s">
        <v>117</v>
      </c>
    </row>
    <row r="44" spans="1:4" x14ac:dyDescent="0.4">
      <c r="A44">
        <v>48</v>
      </c>
      <c r="B44" t="s">
        <v>27</v>
      </c>
      <c r="C44" t="s">
        <v>21</v>
      </c>
      <c r="D44" t="s">
        <v>117</v>
      </c>
    </row>
    <row r="45" spans="1:4" x14ac:dyDescent="0.4">
      <c r="A45">
        <v>49</v>
      </c>
      <c r="B45" t="s">
        <v>27</v>
      </c>
      <c r="C45" t="s">
        <v>22</v>
      </c>
      <c r="D45" t="s">
        <v>117</v>
      </c>
    </row>
    <row r="46" spans="1:4" x14ac:dyDescent="0.4">
      <c r="A46">
        <v>50</v>
      </c>
      <c r="B46" t="s">
        <v>29</v>
      </c>
      <c r="C46" t="s">
        <v>11</v>
      </c>
      <c r="D46" t="s">
        <v>118</v>
      </c>
    </row>
    <row r="47" spans="1:4" x14ac:dyDescent="0.4">
      <c r="A47">
        <v>51</v>
      </c>
      <c r="B47" t="s">
        <v>29</v>
      </c>
      <c r="C47" t="s">
        <v>13</v>
      </c>
      <c r="D47" t="s">
        <v>118</v>
      </c>
    </row>
    <row r="48" spans="1:4" x14ac:dyDescent="0.4">
      <c r="A48">
        <v>52</v>
      </c>
      <c r="B48" t="s">
        <v>29</v>
      </c>
      <c r="C48" t="s">
        <v>14</v>
      </c>
      <c r="D48" t="s">
        <v>118</v>
      </c>
    </row>
    <row r="49" spans="1:4" x14ac:dyDescent="0.4">
      <c r="A49">
        <v>53</v>
      </c>
      <c r="B49" t="s">
        <v>29</v>
      </c>
      <c r="C49" t="s">
        <v>15</v>
      </c>
      <c r="D49" t="s">
        <v>118</v>
      </c>
    </row>
    <row r="50" spans="1:4" x14ac:dyDescent="0.4">
      <c r="A50">
        <v>54</v>
      </c>
      <c r="B50" t="s">
        <v>29</v>
      </c>
      <c r="C50" t="s">
        <v>16</v>
      </c>
      <c r="D50" t="s">
        <v>118</v>
      </c>
    </row>
    <row r="51" spans="1:4" x14ac:dyDescent="0.4">
      <c r="A51">
        <v>55</v>
      </c>
      <c r="B51" t="s">
        <v>29</v>
      </c>
      <c r="C51" t="s">
        <v>17</v>
      </c>
      <c r="D51" t="s">
        <v>118</v>
      </c>
    </row>
    <row r="52" spans="1:4" x14ac:dyDescent="0.4">
      <c r="A52">
        <v>56</v>
      </c>
      <c r="B52" t="s">
        <v>29</v>
      </c>
      <c r="C52" t="s">
        <v>18</v>
      </c>
      <c r="D52" t="s">
        <v>118</v>
      </c>
    </row>
    <row r="53" spans="1:4" x14ac:dyDescent="0.4">
      <c r="A53">
        <v>57</v>
      </c>
      <c r="B53" t="s">
        <v>29</v>
      </c>
      <c r="C53" t="s">
        <v>19</v>
      </c>
      <c r="D53" t="s">
        <v>118</v>
      </c>
    </row>
    <row r="54" spans="1:4" x14ac:dyDescent="0.4">
      <c r="A54">
        <v>58</v>
      </c>
      <c r="B54" t="s">
        <v>29</v>
      </c>
      <c r="C54" t="s">
        <v>20</v>
      </c>
      <c r="D54" t="s">
        <v>118</v>
      </c>
    </row>
    <row r="55" spans="1:4" x14ac:dyDescent="0.4">
      <c r="A55">
        <v>59</v>
      </c>
      <c r="B55" t="s">
        <v>29</v>
      </c>
      <c r="C55" t="s">
        <v>21</v>
      </c>
      <c r="D55" t="s">
        <v>118</v>
      </c>
    </row>
    <row r="56" spans="1:4" x14ac:dyDescent="0.4">
      <c r="A56">
        <v>60</v>
      </c>
      <c r="B56" t="s">
        <v>29</v>
      </c>
      <c r="C56" t="s">
        <v>22</v>
      </c>
      <c r="D56" t="s">
        <v>118</v>
      </c>
    </row>
    <row r="57" spans="1:4" x14ac:dyDescent="0.4">
      <c r="A57">
        <v>61</v>
      </c>
      <c r="B57" t="s">
        <v>31</v>
      </c>
      <c r="C57" t="s">
        <v>11</v>
      </c>
      <c r="D57" t="s">
        <v>119</v>
      </c>
    </row>
    <row r="58" spans="1:4" x14ac:dyDescent="0.4">
      <c r="A58">
        <v>62</v>
      </c>
      <c r="B58" t="s">
        <v>31</v>
      </c>
      <c r="C58" t="s">
        <v>13</v>
      </c>
      <c r="D58" t="s">
        <v>119</v>
      </c>
    </row>
    <row r="59" spans="1:4" x14ac:dyDescent="0.4">
      <c r="A59">
        <v>63</v>
      </c>
      <c r="B59" t="s">
        <v>31</v>
      </c>
      <c r="C59" t="s">
        <v>14</v>
      </c>
      <c r="D59" t="s">
        <v>119</v>
      </c>
    </row>
    <row r="60" spans="1:4" x14ac:dyDescent="0.4">
      <c r="A60">
        <v>64</v>
      </c>
      <c r="B60" t="s">
        <v>31</v>
      </c>
      <c r="C60" t="s">
        <v>15</v>
      </c>
      <c r="D60" t="s">
        <v>119</v>
      </c>
    </row>
    <row r="61" spans="1:4" x14ac:dyDescent="0.4">
      <c r="A61">
        <v>65</v>
      </c>
      <c r="B61" t="s">
        <v>31</v>
      </c>
      <c r="C61" t="s">
        <v>16</v>
      </c>
      <c r="D61" t="s">
        <v>119</v>
      </c>
    </row>
    <row r="62" spans="1:4" x14ac:dyDescent="0.4">
      <c r="A62">
        <v>66</v>
      </c>
      <c r="B62" t="s">
        <v>31</v>
      </c>
      <c r="C62" t="s">
        <v>17</v>
      </c>
      <c r="D62" t="s">
        <v>119</v>
      </c>
    </row>
    <row r="63" spans="1:4" x14ac:dyDescent="0.4">
      <c r="A63">
        <v>67</v>
      </c>
      <c r="B63" t="s">
        <v>31</v>
      </c>
      <c r="C63" t="s">
        <v>18</v>
      </c>
      <c r="D63" t="s">
        <v>119</v>
      </c>
    </row>
    <row r="64" spans="1:4" x14ac:dyDescent="0.4">
      <c r="A64">
        <v>68</v>
      </c>
      <c r="B64" t="s">
        <v>31</v>
      </c>
      <c r="C64" t="s">
        <v>19</v>
      </c>
      <c r="D64" t="s">
        <v>119</v>
      </c>
    </row>
    <row r="65" spans="1:4" x14ac:dyDescent="0.4">
      <c r="A65">
        <v>69</v>
      </c>
      <c r="B65" t="s">
        <v>31</v>
      </c>
      <c r="C65" t="s">
        <v>20</v>
      </c>
      <c r="D65" t="s">
        <v>119</v>
      </c>
    </row>
    <row r="66" spans="1:4" x14ac:dyDescent="0.4">
      <c r="A66">
        <v>70</v>
      </c>
      <c r="B66" t="s">
        <v>31</v>
      </c>
      <c r="C66" t="s">
        <v>21</v>
      </c>
      <c r="D66" t="s">
        <v>119</v>
      </c>
    </row>
    <row r="67" spans="1:4" x14ac:dyDescent="0.4">
      <c r="A67">
        <v>71</v>
      </c>
      <c r="B67" t="s">
        <v>31</v>
      </c>
      <c r="C67" t="s">
        <v>22</v>
      </c>
      <c r="D67" t="s">
        <v>119</v>
      </c>
    </row>
    <row r="68" spans="1:4" x14ac:dyDescent="0.4">
      <c r="A68">
        <v>72</v>
      </c>
      <c r="B68" t="s">
        <v>33</v>
      </c>
      <c r="C68" t="s">
        <v>11</v>
      </c>
      <c r="D68" t="s">
        <v>120</v>
      </c>
    </row>
    <row r="69" spans="1:4" x14ac:dyDescent="0.4">
      <c r="A69">
        <v>73</v>
      </c>
      <c r="B69" t="s">
        <v>33</v>
      </c>
      <c r="C69" t="s">
        <v>13</v>
      </c>
      <c r="D69" t="s">
        <v>120</v>
      </c>
    </row>
    <row r="70" spans="1:4" x14ac:dyDescent="0.4">
      <c r="A70">
        <v>74</v>
      </c>
      <c r="B70" t="s">
        <v>33</v>
      </c>
      <c r="C70" t="s">
        <v>14</v>
      </c>
      <c r="D70" t="s">
        <v>120</v>
      </c>
    </row>
    <row r="71" spans="1:4" x14ac:dyDescent="0.4">
      <c r="A71">
        <v>75</v>
      </c>
      <c r="B71" t="s">
        <v>33</v>
      </c>
      <c r="C71" t="s">
        <v>15</v>
      </c>
      <c r="D71" t="s">
        <v>120</v>
      </c>
    </row>
    <row r="72" spans="1:4" x14ac:dyDescent="0.4">
      <c r="A72">
        <v>76</v>
      </c>
      <c r="B72" t="s">
        <v>33</v>
      </c>
      <c r="C72" t="s">
        <v>16</v>
      </c>
      <c r="D72" t="s">
        <v>120</v>
      </c>
    </row>
    <row r="73" spans="1:4" x14ac:dyDescent="0.4">
      <c r="A73">
        <v>77</v>
      </c>
      <c r="B73" t="s">
        <v>33</v>
      </c>
      <c r="C73" t="s">
        <v>17</v>
      </c>
      <c r="D73" t="s">
        <v>120</v>
      </c>
    </row>
    <row r="74" spans="1:4" x14ac:dyDescent="0.4">
      <c r="A74">
        <v>78</v>
      </c>
      <c r="B74" t="s">
        <v>33</v>
      </c>
      <c r="C74" t="s">
        <v>18</v>
      </c>
      <c r="D74" t="s">
        <v>120</v>
      </c>
    </row>
    <row r="75" spans="1:4" x14ac:dyDescent="0.4">
      <c r="A75">
        <v>79</v>
      </c>
      <c r="B75" t="s">
        <v>33</v>
      </c>
      <c r="C75" t="s">
        <v>19</v>
      </c>
      <c r="D75" t="s">
        <v>120</v>
      </c>
    </row>
    <row r="76" spans="1:4" x14ac:dyDescent="0.4">
      <c r="A76">
        <v>80</v>
      </c>
      <c r="B76" t="s">
        <v>33</v>
      </c>
      <c r="C76" t="s">
        <v>20</v>
      </c>
      <c r="D76" t="s">
        <v>120</v>
      </c>
    </row>
    <row r="77" spans="1:4" x14ac:dyDescent="0.4">
      <c r="A77">
        <v>81</v>
      </c>
      <c r="B77" t="s">
        <v>33</v>
      </c>
      <c r="C77" t="s">
        <v>21</v>
      </c>
      <c r="D77" t="s">
        <v>120</v>
      </c>
    </row>
    <row r="78" spans="1:4" x14ac:dyDescent="0.4">
      <c r="A78">
        <v>82</v>
      </c>
      <c r="B78" t="s">
        <v>33</v>
      </c>
      <c r="C78" t="s">
        <v>22</v>
      </c>
      <c r="D78" t="s">
        <v>120</v>
      </c>
    </row>
    <row r="79" spans="1:4" x14ac:dyDescent="0.4">
      <c r="A79">
        <v>83</v>
      </c>
      <c r="B79" t="s">
        <v>35</v>
      </c>
      <c r="C79" t="s">
        <v>11</v>
      </c>
      <c r="D79" t="s">
        <v>121</v>
      </c>
    </row>
    <row r="80" spans="1:4" x14ac:dyDescent="0.4">
      <c r="A80">
        <v>84</v>
      </c>
      <c r="B80" t="s">
        <v>35</v>
      </c>
      <c r="C80" t="s">
        <v>13</v>
      </c>
      <c r="D80" t="s">
        <v>121</v>
      </c>
    </row>
    <row r="81" spans="1:4" x14ac:dyDescent="0.4">
      <c r="A81">
        <v>85</v>
      </c>
      <c r="B81" t="s">
        <v>35</v>
      </c>
      <c r="C81" t="s">
        <v>14</v>
      </c>
      <c r="D81" t="s">
        <v>121</v>
      </c>
    </row>
    <row r="82" spans="1:4" x14ac:dyDescent="0.4">
      <c r="A82">
        <v>86</v>
      </c>
      <c r="B82" t="s">
        <v>35</v>
      </c>
      <c r="C82" t="s">
        <v>15</v>
      </c>
      <c r="D82" t="s">
        <v>121</v>
      </c>
    </row>
    <row r="83" spans="1:4" x14ac:dyDescent="0.4">
      <c r="A83">
        <v>87</v>
      </c>
      <c r="B83" t="s">
        <v>35</v>
      </c>
      <c r="C83" t="s">
        <v>16</v>
      </c>
      <c r="D83" t="s">
        <v>121</v>
      </c>
    </row>
    <row r="84" spans="1:4" x14ac:dyDescent="0.4">
      <c r="A84">
        <v>88</v>
      </c>
      <c r="B84" t="s">
        <v>35</v>
      </c>
      <c r="C84" t="s">
        <v>17</v>
      </c>
      <c r="D84" t="s">
        <v>121</v>
      </c>
    </row>
    <row r="85" spans="1:4" x14ac:dyDescent="0.4">
      <c r="A85">
        <v>89</v>
      </c>
      <c r="B85" t="s">
        <v>35</v>
      </c>
      <c r="C85" t="s">
        <v>18</v>
      </c>
      <c r="D85" t="s">
        <v>121</v>
      </c>
    </row>
    <row r="86" spans="1:4" x14ac:dyDescent="0.4">
      <c r="A86">
        <v>90</v>
      </c>
      <c r="B86" t="s">
        <v>35</v>
      </c>
      <c r="C86" t="s">
        <v>19</v>
      </c>
      <c r="D86" t="s">
        <v>121</v>
      </c>
    </row>
    <row r="87" spans="1:4" x14ac:dyDescent="0.4">
      <c r="A87">
        <v>91</v>
      </c>
      <c r="B87" t="s">
        <v>35</v>
      </c>
      <c r="C87" t="s">
        <v>20</v>
      </c>
      <c r="D87" t="s">
        <v>121</v>
      </c>
    </row>
    <row r="88" spans="1:4" x14ac:dyDescent="0.4">
      <c r="A88">
        <v>92</v>
      </c>
      <c r="B88" t="s">
        <v>35</v>
      </c>
      <c r="C88" t="s">
        <v>21</v>
      </c>
      <c r="D88" t="s">
        <v>121</v>
      </c>
    </row>
    <row r="89" spans="1:4" x14ac:dyDescent="0.4">
      <c r="A89">
        <v>93</v>
      </c>
      <c r="B89" t="s">
        <v>35</v>
      </c>
      <c r="C89" t="s">
        <v>22</v>
      </c>
      <c r="D89" t="s">
        <v>121</v>
      </c>
    </row>
    <row r="90" spans="1:4" x14ac:dyDescent="0.4">
      <c r="A90">
        <v>94</v>
      </c>
      <c r="B90" t="s">
        <v>37</v>
      </c>
      <c r="C90" t="s">
        <v>11</v>
      </c>
      <c r="D90" t="s">
        <v>122</v>
      </c>
    </row>
    <row r="91" spans="1:4" x14ac:dyDescent="0.4">
      <c r="A91">
        <v>95</v>
      </c>
      <c r="B91" t="s">
        <v>37</v>
      </c>
      <c r="C91" t="s">
        <v>13</v>
      </c>
      <c r="D91" t="s">
        <v>122</v>
      </c>
    </row>
    <row r="92" spans="1:4" x14ac:dyDescent="0.4">
      <c r="A92">
        <v>96</v>
      </c>
      <c r="B92" t="s">
        <v>37</v>
      </c>
      <c r="C92" t="s">
        <v>14</v>
      </c>
      <c r="D92" t="s">
        <v>122</v>
      </c>
    </row>
    <row r="93" spans="1:4" x14ac:dyDescent="0.4">
      <c r="A93">
        <v>97</v>
      </c>
      <c r="B93" t="s">
        <v>37</v>
      </c>
      <c r="C93" t="s">
        <v>15</v>
      </c>
      <c r="D93" t="s">
        <v>122</v>
      </c>
    </row>
    <row r="94" spans="1:4" x14ac:dyDescent="0.4">
      <c r="A94">
        <v>98</v>
      </c>
      <c r="B94" t="s">
        <v>37</v>
      </c>
      <c r="C94" t="s">
        <v>16</v>
      </c>
      <c r="D94" t="s">
        <v>122</v>
      </c>
    </row>
    <row r="95" spans="1:4" x14ac:dyDescent="0.4">
      <c r="A95">
        <v>99</v>
      </c>
      <c r="B95" t="s">
        <v>37</v>
      </c>
      <c r="C95" t="s">
        <v>17</v>
      </c>
      <c r="D95" t="s">
        <v>122</v>
      </c>
    </row>
    <row r="96" spans="1:4" x14ac:dyDescent="0.4">
      <c r="A96">
        <v>100</v>
      </c>
      <c r="B96" t="s">
        <v>37</v>
      </c>
      <c r="C96" t="s">
        <v>18</v>
      </c>
      <c r="D96" t="s">
        <v>122</v>
      </c>
    </row>
    <row r="97" spans="1:4" x14ac:dyDescent="0.4">
      <c r="A97">
        <v>101</v>
      </c>
      <c r="B97" t="s">
        <v>37</v>
      </c>
      <c r="C97" t="s">
        <v>19</v>
      </c>
      <c r="D97" t="s">
        <v>122</v>
      </c>
    </row>
    <row r="98" spans="1:4" x14ac:dyDescent="0.4">
      <c r="A98">
        <v>102</v>
      </c>
      <c r="B98" t="s">
        <v>37</v>
      </c>
      <c r="C98" t="s">
        <v>20</v>
      </c>
      <c r="D98" t="s">
        <v>122</v>
      </c>
    </row>
    <row r="99" spans="1:4" x14ac:dyDescent="0.4">
      <c r="A99">
        <v>103</v>
      </c>
      <c r="B99" t="s">
        <v>37</v>
      </c>
      <c r="C99" t="s">
        <v>21</v>
      </c>
      <c r="D99" t="s">
        <v>122</v>
      </c>
    </row>
    <row r="100" spans="1:4" x14ac:dyDescent="0.4">
      <c r="A100">
        <v>104</v>
      </c>
      <c r="B100" t="s">
        <v>37</v>
      </c>
      <c r="C100" t="s">
        <v>22</v>
      </c>
      <c r="D100" t="s">
        <v>122</v>
      </c>
    </row>
    <row r="101" spans="1:4" x14ac:dyDescent="0.4">
      <c r="A101">
        <v>105</v>
      </c>
      <c r="B101" t="s">
        <v>39</v>
      </c>
      <c r="C101" t="s">
        <v>11</v>
      </c>
      <c r="D101" t="s">
        <v>123</v>
      </c>
    </row>
    <row r="102" spans="1:4" x14ac:dyDescent="0.4">
      <c r="A102">
        <v>106</v>
      </c>
      <c r="B102" t="s">
        <v>39</v>
      </c>
      <c r="C102" t="s">
        <v>13</v>
      </c>
      <c r="D102" t="s">
        <v>123</v>
      </c>
    </row>
    <row r="103" spans="1:4" x14ac:dyDescent="0.4">
      <c r="A103">
        <v>107</v>
      </c>
      <c r="B103" t="s">
        <v>39</v>
      </c>
      <c r="C103" t="s">
        <v>14</v>
      </c>
      <c r="D103" t="s">
        <v>123</v>
      </c>
    </row>
    <row r="104" spans="1:4" x14ac:dyDescent="0.4">
      <c r="A104">
        <v>108</v>
      </c>
      <c r="B104" t="s">
        <v>39</v>
      </c>
      <c r="C104" t="s">
        <v>15</v>
      </c>
      <c r="D104" t="s">
        <v>123</v>
      </c>
    </row>
    <row r="105" spans="1:4" x14ac:dyDescent="0.4">
      <c r="A105">
        <v>109</v>
      </c>
      <c r="B105" t="s">
        <v>39</v>
      </c>
      <c r="C105" t="s">
        <v>16</v>
      </c>
      <c r="D105" t="s">
        <v>123</v>
      </c>
    </row>
    <row r="106" spans="1:4" x14ac:dyDescent="0.4">
      <c r="A106">
        <v>110</v>
      </c>
      <c r="B106" t="s">
        <v>39</v>
      </c>
      <c r="C106" t="s">
        <v>17</v>
      </c>
      <c r="D106" t="s">
        <v>123</v>
      </c>
    </row>
    <row r="107" spans="1:4" x14ac:dyDescent="0.4">
      <c r="A107">
        <v>111</v>
      </c>
      <c r="B107" t="s">
        <v>39</v>
      </c>
      <c r="C107" t="s">
        <v>18</v>
      </c>
      <c r="D107" t="s">
        <v>123</v>
      </c>
    </row>
    <row r="108" spans="1:4" x14ac:dyDescent="0.4">
      <c r="A108">
        <v>112</v>
      </c>
      <c r="B108" t="s">
        <v>39</v>
      </c>
      <c r="C108" t="s">
        <v>19</v>
      </c>
      <c r="D108" t="s">
        <v>123</v>
      </c>
    </row>
    <row r="109" spans="1:4" x14ac:dyDescent="0.4">
      <c r="A109">
        <v>113</v>
      </c>
      <c r="B109" t="s">
        <v>39</v>
      </c>
      <c r="C109" t="s">
        <v>20</v>
      </c>
      <c r="D109" t="s">
        <v>123</v>
      </c>
    </row>
    <row r="110" spans="1:4" x14ac:dyDescent="0.4">
      <c r="A110">
        <v>114</v>
      </c>
      <c r="B110" t="s">
        <v>39</v>
      </c>
      <c r="C110" t="s">
        <v>21</v>
      </c>
      <c r="D110" t="s">
        <v>123</v>
      </c>
    </row>
    <row r="111" spans="1:4" x14ac:dyDescent="0.4">
      <c r="A111">
        <v>115</v>
      </c>
      <c r="B111" t="s">
        <v>39</v>
      </c>
      <c r="C111" t="s">
        <v>22</v>
      </c>
      <c r="D111" t="s">
        <v>123</v>
      </c>
    </row>
    <row r="112" spans="1:4" x14ac:dyDescent="0.4">
      <c r="A112">
        <v>116</v>
      </c>
      <c r="B112" t="s">
        <v>41</v>
      </c>
      <c r="C112" t="s">
        <v>11</v>
      </c>
      <c r="D112" t="s">
        <v>124</v>
      </c>
    </row>
    <row r="113" spans="1:4" x14ac:dyDescent="0.4">
      <c r="A113">
        <v>117</v>
      </c>
      <c r="B113" t="s">
        <v>41</v>
      </c>
      <c r="C113" t="s">
        <v>13</v>
      </c>
      <c r="D113" t="s">
        <v>124</v>
      </c>
    </row>
    <row r="114" spans="1:4" x14ac:dyDescent="0.4">
      <c r="A114">
        <v>118</v>
      </c>
      <c r="B114" t="s">
        <v>41</v>
      </c>
      <c r="C114" t="s">
        <v>14</v>
      </c>
      <c r="D114" t="s">
        <v>124</v>
      </c>
    </row>
    <row r="115" spans="1:4" x14ac:dyDescent="0.4">
      <c r="A115">
        <v>119</v>
      </c>
      <c r="B115" t="s">
        <v>41</v>
      </c>
      <c r="C115" t="s">
        <v>15</v>
      </c>
      <c r="D115" t="s">
        <v>124</v>
      </c>
    </row>
    <row r="116" spans="1:4" x14ac:dyDescent="0.4">
      <c r="A116">
        <v>120</v>
      </c>
      <c r="B116" t="s">
        <v>41</v>
      </c>
      <c r="C116" t="s">
        <v>16</v>
      </c>
      <c r="D116" t="s">
        <v>124</v>
      </c>
    </row>
    <row r="117" spans="1:4" x14ac:dyDescent="0.4">
      <c r="A117">
        <v>121</v>
      </c>
      <c r="B117" t="s">
        <v>41</v>
      </c>
      <c r="C117" t="s">
        <v>17</v>
      </c>
      <c r="D117" t="s">
        <v>124</v>
      </c>
    </row>
    <row r="118" spans="1:4" x14ac:dyDescent="0.4">
      <c r="A118">
        <v>122</v>
      </c>
      <c r="B118" t="s">
        <v>41</v>
      </c>
      <c r="C118" t="s">
        <v>18</v>
      </c>
      <c r="D118" t="s">
        <v>124</v>
      </c>
    </row>
    <row r="119" spans="1:4" x14ac:dyDescent="0.4">
      <c r="A119">
        <v>123</v>
      </c>
      <c r="B119" t="s">
        <v>41</v>
      </c>
      <c r="C119" t="s">
        <v>19</v>
      </c>
      <c r="D119" t="s">
        <v>124</v>
      </c>
    </row>
    <row r="120" spans="1:4" x14ac:dyDescent="0.4">
      <c r="A120">
        <v>124</v>
      </c>
      <c r="B120" t="s">
        <v>41</v>
      </c>
      <c r="C120" t="s">
        <v>20</v>
      </c>
      <c r="D120" t="s">
        <v>124</v>
      </c>
    </row>
    <row r="121" spans="1:4" x14ac:dyDescent="0.4">
      <c r="A121">
        <v>125</v>
      </c>
      <c r="B121" t="s">
        <v>41</v>
      </c>
      <c r="C121" t="s">
        <v>21</v>
      </c>
      <c r="D121" t="s">
        <v>124</v>
      </c>
    </row>
    <row r="122" spans="1:4" x14ac:dyDescent="0.4">
      <c r="A122">
        <v>126</v>
      </c>
      <c r="B122" t="s">
        <v>41</v>
      </c>
      <c r="C122" t="s">
        <v>22</v>
      </c>
      <c r="D122" t="s">
        <v>124</v>
      </c>
    </row>
    <row r="123" spans="1:4" x14ac:dyDescent="0.4">
      <c r="A123">
        <v>128</v>
      </c>
      <c r="B123" t="s">
        <v>10</v>
      </c>
      <c r="C123" t="s">
        <v>44</v>
      </c>
      <c r="D123" t="s">
        <v>114</v>
      </c>
    </row>
    <row r="124" spans="1:4" x14ac:dyDescent="0.4">
      <c r="A124">
        <v>129</v>
      </c>
      <c r="B124" t="s">
        <v>10</v>
      </c>
      <c r="C124" t="s">
        <v>45</v>
      </c>
      <c r="D124" t="s">
        <v>114</v>
      </c>
    </row>
    <row r="125" spans="1:4" x14ac:dyDescent="0.4">
      <c r="A125">
        <v>130</v>
      </c>
      <c r="B125" t="s">
        <v>10</v>
      </c>
      <c r="C125" t="s">
        <v>46</v>
      </c>
      <c r="D125" t="s">
        <v>114</v>
      </c>
    </row>
    <row r="126" spans="1:4" x14ac:dyDescent="0.4">
      <c r="A126">
        <v>131</v>
      </c>
      <c r="B126" t="s">
        <v>10</v>
      </c>
      <c r="C126" t="s">
        <v>47</v>
      </c>
      <c r="D126" t="s">
        <v>114</v>
      </c>
    </row>
    <row r="127" spans="1:4" x14ac:dyDescent="0.4">
      <c r="A127">
        <v>132</v>
      </c>
      <c r="B127" t="s">
        <v>10</v>
      </c>
      <c r="C127" t="s">
        <v>48</v>
      </c>
      <c r="D127" t="s">
        <v>114</v>
      </c>
    </row>
    <row r="128" spans="1:4" x14ac:dyDescent="0.4">
      <c r="A128">
        <v>133</v>
      </c>
      <c r="B128" t="s">
        <v>10</v>
      </c>
      <c r="C128" t="s">
        <v>49</v>
      </c>
      <c r="D128" t="s">
        <v>114</v>
      </c>
    </row>
    <row r="129" spans="1:4" x14ac:dyDescent="0.4">
      <c r="A129">
        <v>134</v>
      </c>
      <c r="B129" t="s">
        <v>10</v>
      </c>
      <c r="C129" t="s">
        <v>50</v>
      </c>
      <c r="D129" t="s">
        <v>114</v>
      </c>
    </row>
    <row r="130" spans="1:4" x14ac:dyDescent="0.4">
      <c r="A130">
        <v>135</v>
      </c>
      <c r="B130" t="s">
        <v>10</v>
      </c>
      <c r="C130" t="s">
        <v>51</v>
      </c>
      <c r="D130" t="s">
        <v>114</v>
      </c>
    </row>
    <row r="131" spans="1:4" x14ac:dyDescent="0.4">
      <c r="A131">
        <v>136</v>
      </c>
      <c r="B131" t="s">
        <v>23</v>
      </c>
      <c r="C131" t="s">
        <v>44</v>
      </c>
      <c r="D131" t="s">
        <v>115</v>
      </c>
    </row>
    <row r="132" spans="1:4" x14ac:dyDescent="0.4">
      <c r="A132">
        <v>137</v>
      </c>
      <c r="B132" t="s">
        <v>23</v>
      </c>
      <c r="C132" t="s">
        <v>45</v>
      </c>
      <c r="D132" t="s">
        <v>115</v>
      </c>
    </row>
    <row r="133" spans="1:4" x14ac:dyDescent="0.4">
      <c r="A133">
        <v>138</v>
      </c>
      <c r="B133" t="s">
        <v>23</v>
      </c>
      <c r="C133" t="s">
        <v>46</v>
      </c>
      <c r="D133" t="s">
        <v>115</v>
      </c>
    </row>
    <row r="134" spans="1:4" x14ac:dyDescent="0.4">
      <c r="A134">
        <v>139</v>
      </c>
      <c r="B134" t="s">
        <v>23</v>
      </c>
      <c r="C134" t="s">
        <v>47</v>
      </c>
      <c r="D134" t="s">
        <v>115</v>
      </c>
    </row>
    <row r="135" spans="1:4" x14ac:dyDescent="0.4">
      <c r="A135">
        <v>140</v>
      </c>
      <c r="B135" t="s">
        <v>23</v>
      </c>
      <c r="C135" t="s">
        <v>48</v>
      </c>
      <c r="D135" t="s">
        <v>115</v>
      </c>
    </row>
    <row r="136" spans="1:4" x14ac:dyDescent="0.4">
      <c r="A136">
        <v>141</v>
      </c>
      <c r="B136" t="s">
        <v>23</v>
      </c>
      <c r="C136" t="s">
        <v>49</v>
      </c>
      <c r="D136" t="s">
        <v>115</v>
      </c>
    </row>
    <row r="137" spans="1:4" x14ac:dyDescent="0.4">
      <c r="A137">
        <v>142</v>
      </c>
      <c r="B137" t="s">
        <v>23</v>
      </c>
      <c r="C137" t="s">
        <v>50</v>
      </c>
      <c r="D137" t="s">
        <v>115</v>
      </c>
    </row>
    <row r="138" spans="1:4" x14ac:dyDescent="0.4">
      <c r="A138">
        <v>143</v>
      </c>
      <c r="B138" t="s">
        <v>23</v>
      </c>
      <c r="C138" t="s">
        <v>51</v>
      </c>
      <c r="D138" t="s">
        <v>115</v>
      </c>
    </row>
    <row r="139" spans="1:4" x14ac:dyDescent="0.4">
      <c r="A139">
        <v>144</v>
      </c>
      <c r="B139" t="s">
        <v>25</v>
      </c>
      <c r="C139" t="s">
        <v>44</v>
      </c>
      <c r="D139" t="s">
        <v>116</v>
      </c>
    </row>
    <row r="140" spans="1:4" x14ac:dyDescent="0.4">
      <c r="A140">
        <v>145</v>
      </c>
      <c r="B140" t="s">
        <v>25</v>
      </c>
      <c r="C140" t="s">
        <v>45</v>
      </c>
      <c r="D140" t="s">
        <v>116</v>
      </c>
    </row>
    <row r="141" spans="1:4" x14ac:dyDescent="0.4">
      <c r="A141">
        <v>146</v>
      </c>
      <c r="B141" t="s">
        <v>25</v>
      </c>
      <c r="C141" t="s">
        <v>46</v>
      </c>
      <c r="D141" t="s">
        <v>116</v>
      </c>
    </row>
    <row r="142" spans="1:4" x14ac:dyDescent="0.4">
      <c r="A142">
        <v>147</v>
      </c>
      <c r="B142" t="s">
        <v>25</v>
      </c>
      <c r="C142" t="s">
        <v>47</v>
      </c>
      <c r="D142" t="s">
        <v>116</v>
      </c>
    </row>
    <row r="143" spans="1:4" x14ac:dyDescent="0.4">
      <c r="A143">
        <v>148</v>
      </c>
      <c r="B143" t="s">
        <v>25</v>
      </c>
      <c r="C143" t="s">
        <v>48</v>
      </c>
      <c r="D143" t="s">
        <v>116</v>
      </c>
    </row>
    <row r="144" spans="1:4" x14ac:dyDescent="0.4">
      <c r="A144">
        <v>149</v>
      </c>
      <c r="B144" t="s">
        <v>25</v>
      </c>
      <c r="C144" t="s">
        <v>49</v>
      </c>
      <c r="D144" t="s">
        <v>116</v>
      </c>
    </row>
    <row r="145" spans="1:4" x14ac:dyDescent="0.4">
      <c r="A145">
        <v>150</v>
      </c>
      <c r="B145" t="s">
        <v>25</v>
      </c>
      <c r="C145" t="s">
        <v>50</v>
      </c>
      <c r="D145" t="s">
        <v>116</v>
      </c>
    </row>
    <row r="146" spans="1:4" x14ac:dyDescent="0.4">
      <c r="A146">
        <v>151</v>
      </c>
      <c r="B146" t="s">
        <v>25</v>
      </c>
      <c r="C146" t="s">
        <v>51</v>
      </c>
      <c r="D146" t="s">
        <v>116</v>
      </c>
    </row>
    <row r="147" spans="1:4" x14ac:dyDescent="0.4">
      <c r="A147">
        <v>152</v>
      </c>
      <c r="B147" t="s">
        <v>27</v>
      </c>
      <c r="C147" t="s">
        <v>44</v>
      </c>
      <c r="D147" t="s">
        <v>117</v>
      </c>
    </row>
    <row r="148" spans="1:4" x14ac:dyDescent="0.4">
      <c r="A148">
        <v>153</v>
      </c>
      <c r="B148" t="s">
        <v>27</v>
      </c>
      <c r="C148" t="s">
        <v>45</v>
      </c>
      <c r="D148" t="s">
        <v>117</v>
      </c>
    </row>
    <row r="149" spans="1:4" x14ac:dyDescent="0.4">
      <c r="A149">
        <v>154</v>
      </c>
      <c r="B149" t="s">
        <v>27</v>
      </c>
      <c r="C149" t="s">
        <v>46</v>
      </c>
      <c r="D149" t="s">
        <v>117</v>
      </c>
    </row>
    <row r="150" spans="1:4" x14ac:dyDescent="0.4">
      <c r="A150">
        <v>155</v>
      </c>
      <c r="B150" t="s">
        <v>27</v>
      </c>
      <c r="C150" t="s">
        <v>47</v>
      </c>
      <c r="D150" t="s">
        <v>117</v>
      </c>
    </row>
    <row r="151" spans="1:4" x14ac:dyDescent="0.4">
      <c r="A151">
        <v>156</v>
      </c>
      <c r="B151" t="s">
        <v>27</v>
      </c>
      <c r="C151" t="s">
        <v>48</v>
      </c>
      <c r="D151" t="s">
        <v>117</v>
      </c>
    </row>
    <row r="152" spans="1:4" x14ac:dyDescent="0.4">
      <c r="A152">
        <v>157</v>
      </c>
      <c r="B152" t="s">
        <v>27</v>
      </c>
      <c r="C152" t="s">
        <v>49</v>
      </c>
      <c r="D152" t="s">
        <v>117</v>
      </c>
    </row>
    <row r="153" spans="1:4" x14ac:dyDescent="0.4">
      <c r="A153">
        <v>158</v>
      </c>
      <c r="B153" t="s">
        <v>27</v>
      </c>
      <c r="C153" t="s">
        <v>50</v>
      </c>
      <c r="D153" t="s">
        <v>117</v>
      </c>
    </row>
    <row r="154" spans="1:4" x14ac:dyDescent="0.4">
      <c r="A154">
        <v>159</v>
      </c>
      <c r="B154" t="s">
        <v>27</v>
      </c>
      <c r="C154" t="s">
        <v>51</v>
      </c>
      <c r="D154" t="s">
        <v>117</v>
      </c>
    </row>
    <row r="155" spans="1:4" x14ac:dyDescent="0.4">
      <c r="A155">
        <v>160</v>
      </c>
      <c r="B155" t="s">
        <v>29</v>
      </c>
      <c r="C155" t="s">
        <v>44</v>
      </c>
      <c r="D155" t="s">
        <v>118</v>
      </c>
    </row>
    <row r="156" spans="1:4" x14ac:dyDescent="0.4">
      <c r="A156">
        <v>161</v>
      </c>
      <c r="B156" t="s">
        <v>29</v>
      </c>
      <c r="C156" t="s">
        <v>45</v>
      </c>
      <c r="D156" t="s">
        <v>118</v>
      </c>
    </row>
    <row r="157" spans="1:4" x14ac:dyDescent="0.4">
      <c r="A157">
        <v>162</v>
      </c>
      <c r="B157" t="s">
        <v>29</v>
      </c>
      <c r="C157" t="s">
        <v>46</v>
      </c>
      <c r="D157" t="s">
        <v>118</v>
      </c>
    </row>
    <row r="158" spans="1:4" x14ac:dyDescent="0.4">
      <c r="A158">
        <v>163</v>
      </c>
      <c r="B158" t="s">
        <v>29</v>
      </c>
      <c r="C158" t="s">
        <v>47</v>
      </c>
      <c r="D158" t="s">
        <v>118</v>
      </c>
    </row>
    <row r="159" spans="1:4" x14ac:dyDescent="0.4">
      <c r="A159">
        <v>164</v>
      </c>
      <c r="B159" t="s">
        <v>29</v>
      </c>
      <c r="C159" t="s">
        <v>48</v>
      </c>
      <c r="D159" t="s">
        <v>118</v>
      </c>
    </row>
    <row r="160" spans="1:4" x14ac:dyDescent="0.4">
      <c r="A160">
        <v>165</v>
      </c>
      <c r="B160" t="s">
        <v>29</v>
      </c>
      <c r="C160" t="s">
        <v>49</v>
      </c>
      <c r="D160" t="s">
        <v>118</v>
      </c>
    </row>
    <row r="161" spans="1:4" x14ac:dyDescent="0.4">
      <c r="A161">
        <v>166</v>
      </c>
      <c r="B161" t="s">
        <v>29</v>
      </c>
      <c r="C161" t="s">
        <v>50</v>
      </c>
      <c r="D161" t="s">
        <v>118</v>
      </c>
    </row>
    <row r="162" spans="1:4" x14ac:dyDescent="0.4">
      <c r="A162">
        <v>167</v>
      </c>
      <c r="B162" t="s">
        <v>29</v>
      </c>
      <c r="C162" t="s">
        <v>51</v>
      </c>
      <c r="D162" t="s">
        <v>118</v>
      </c>
    </row>
    <row r="163" spans="1:4" x14ac:dyDescent="0.4">
      <c r="A163">
        <v>168</v>
      </c>
      <c r="B163" t="s">
        <v>31</v>
      </c>
      <c r="C163" t="s">
        <v>44</v>
      </c>
      <c r="D163" t="s">
        <v>119</v>
      </c>
    </row>
    <row r="164" spans="1:4" x14ac:dyDescent="0.4">
      <c r="A164">
        <v>169</v>
      </c>
      <c r="B164" t="s">
        <v>31</v>
      </c>
      <c r="C164" t="s">
        <v>45</v>
      </c>
      <c r="D164" t="s">
        <v>119</v>
      </c>
    </row>
    <row r="165" spans="1:4" x14ac:dyDescent="0.4">
      <c r="A165">
        <v>170</v>
      </c>
      <c r="B165" t="s">
        <v>31</v>
      </c>
      <c r="C165" t="s">
        <v>46</v>
      </c>
      <c r="D165" t="s">
        <v>119</v>
      </c>
    </row>
    <row r="166" spans="1:4" x14ac:dyDescent="0.4">
      <c r="A166">
        <v>171</v>
      </c>
      <c r="B166" t="s">
        <v>31</v>
      </c>
      <c r="C166" t="s">
        <v>47</v>
      </c>
      <c r="D166" t="s">
        <v>119</v>
      </c>
    </row>
    <row r="167" spans="1:4" x14ac:dyDescent="0.4">
      <c r="A167">
        <v>172</v>
      </c>
      <c r="B167" t="s">
        <v>31</v>
      </c>
      <c r="C167" t="s">
        <v>48</v>
      </c>
      <c r="D167" t="s">
        <v>119</v>
      </c>
    </row>
    <row r="168" spans="1:4" x14ac:dyDescent="0.4">
      <c r="A168">
        <v>173</v>
      </c>
      <c r="B168" t="s">
        <v>31</v>
      </c>
      <c r="C168" t="s">
        <v>49</v>
      </c>
      <c r="D168" t="s">
        <v>119</v>
      </c>
    </row>
    <row r="169" spans="1:4" x14ac:dyDescent="0.4">
      <c r="A169">
        <v>174</v>
      </c>
      <c r="B169" t="s">
        <v>31</v>
      </c>
      <c r="C169" t="s">
        <v>50</v>
      </c>
      <c r="D169" t="s">
        <v>119</v>
      </c>
    </row>
    <row r="170" spans="1:4" x14ac:dyDescent="0.4">
      <c r="A170">
        <v>175</v>
      </c>
      <c r="B170" t="s">
        <v>31</v>
      </c>
      <c r="C170" t="s">
        <v>51</v>
      </c>
      <c r="D170" t="s">
        <v>119</v>
      </c>
    </row>
    <row r="171" spans="1:4" x14ac:dyDescent="0.4">
      <c r="A171">
        <v>176</v>
      </c>
      <c r="B171" t="s">
        <v>33</v>
      </c>
      <c r="C171" t="s">
        <v>44</v>
      </c>
      <c r="D171" t="s">
        <v>120</v>
      </c>
    </row>
    <row r="172" spans="1:4" x14ac:dyDescent="0.4">
      <c r="A172">
        <v>177</v>
      </c>
      <c r="B172" t="s">
        <v>33</v>
      </c>
      <c r="C172" t="s">
        <v>45</v>
      </c>
      <c r="D172" t="s">
        <v>120</v>
      </c>
    </row>
    <row r="173" spans="1:4" x14ac:dyDescent="0.4">
      <c r="A173">
        <v>178</v>
      </c>
      <c r="B173" t="s">
        <v>33</v>
      </c>
      <c r="C173" t="s">
        <v>46</v>
      </c>
      <c r="D173" t="s">
        <v>120</v>
      </c>
    </row>
    <row r="174" spans="1:4" x14ac:dyDescent="0.4">
      <c r="A174">
        <v>179</v>
      </c>
      <c r="B174" t="s">
        <v>33</v>
      </c>
      <c r="C174" t="s">
        <v>47</v>
      </c>
      <c r="D174" t="s">
        <v>120</v>
      </c>
    </row>
    <row r="175" spans="1:4" x14ac:dyDescent="0.4">
      <c r="A175">
        <v>180</v>
      </c>
      <c r="B175" t="s">
        <v>33</v>
      </c>
      <c r="C175" t="s">
        <v>48</v>
      </c>
      <c r="D175" t="s">
        <v>120</v>
      </c>
    </row>
    <row r="176" spans="1:4" x14ac:dyDescent="0.4">
      <c r="A176">
        <v>181</v>
      </c>
      <c r="B176" t="s">
        <v>33</v>
      </c>
      <c r="C176" t="s">
        <v>49</v>
      </c>
      <c r="D176" t="s">
        <v>120</v>
      </c>
    </row>
    <row r="177" spans="1:4" x14ac:dyDescent="0.4">
      <c r="A177">
        <v>182</v>
      </c>
      <c r="B177" t="s">
        <v>33</v>
      </c>
      <c r="C177" t="s">
        <v>50</v>
      </c>
      <c r="D177" t="s">
        <v>120</v>
      </c>
    </row>
    <row r="178" spans="1:4" x14ac:dyDescent="0.4">
      <c r="A178">
        <v>183</v>
      </c>
      <c r="B178" t="s">
        <v>33</v>
      </c>
      <c r="C178" t="s">
        <v>51</v>
      </c>
      <c r="D178" t="s">
        <v>120</v>
      </c>
    </row>
    <row r="179" spans="1:4" x14ac:dyDescent="0.4">
      <c r="A179">
        <v>184</v>
      </c>
      <c r="B179" t="s">
        <v>35</v>
      </c>
      <c r="C179" t="s">
        <v>44</v>
      </c>
      <c r="D179" t="s">
        <v>121</v>
      </c>
    </row>
    <row r="180" spans="1:4" x14ac:dyDescent="0.4">
      <c r="A180">
        <v>185</v>
      </c>
      <c r="B180" t="s">
        <v>35</v>
      </c>
      <c r="C180" t="s">
        <v>45</v>
      </c>
      <c r="D180" t="s">
        <v>121</v>
      </c>
    </row>
    <row r="181" spans="1:4" x14ac:dyDescent="0.4">
      <c r="A181">
        <v>186</v>
      </c>
      <c r="B181" t="s">
        <v>35</v>
      </c>
      <c r="C181" t="s">
        <v>46</v>
      </c>
      <c r="D181" t="s">
        <v>121</v>
      </c>
    </row>
    <row r="182" spans="1:4" x14ac:dyDescent="0.4">
      <c r="A182">
        <v>187</v>
      </c>
      <c r="B182" t="s">
        <v>35</v>
      </c>
      <c r="C182" t="s">
        <v>47</v>
      </c>
      <c r="D182" t="s">
        <v>121</v>
      </c>
    </row>
    <row r="183" spans="1:4" x14ac:dyDescent="0.4">
      <c r="A183">
        <v>188</v>
      </c>
      <c r="B183" t="s">
        <v>35</v>
      </c>
      <c r="C183" t="s">
        <v>48</v>
      </c>
      <c r="D183" t="s">
        <v>121</v>
      </c>
    </row>
    <row r="184" spans="1:4" x14ac:dyDescent="0.4">
      <c r="A184">
        <v>189</v>
      </c>
      <c r="B184" t="s">
        <v>35</v>
      </c>
      <c r="C184" t="s">
        <v>49</v>
      </c>
      <c r="D184" t="s">
        <v>121</v>
      </c>
    </row>
    <row r="185" spans="1:4" x14ac:dyDescent="0.4">
      <c r="A185">
        <v>190</v>
      </c>
      <c r="B185" t="s">
        <v>35</v>
      </c>
      <c r="C185" t="s">
        <v>50</v>
      </c>
      <c r="D185" t="s">
        <v>121</v>
      </c>
    </row>
    <row r="186" spans="1:4" x14ac:dyDescent="0.4">
      <c r="A186">
        <v>191</v>
      </c>
      <c r="B186" t="s">
        <v>35</v>
      </c>
      <c r="C186" t="s">
        <v>51</v>
      </c>
      <c r="D186" t="s">
        <v>121</v>
      </c>
    </row>
    <row r="187" spans="1:4" x14ac:dyDescent="0.4">
      <c r="A187">
        <v>192</v>
      </c>
      <c r="B187" t="s">
        <v>37</v>
      </c>
      <c r="C187" t="s">
        <v>44</v>
      </c>
      <c r="D187" t="s">
        <v>122</v>
      </c>
    </row>
    <row r="188" spans="1:4" x14ac:dyDescent="0.4">
      <c r="A188">
        <v>193</v>
      </c>
      <c r="B188" t="s">
        <v>37</v>
      </c>
      <c r="C188" t="s">
        <v>45</v>
      </c>
      <c r="D188" t="s">
        <v>122</v>
      </c>
    </row>
    <row r="189" spans="1:4" x14ac:dyDescent="0.4">
      <c r="A189">
        <v>194</v>
      </c>
      <c r="B189" t="s">
        <v>37</v>
      </c>
      <c r="C189" t="s">
        <v>46</v>
      </c>
      <c r="D189" t="s">
        <v>122</v>
      </c>
    </row>
    <row r="190" spans="1:4" x14ac:dyDescent="0.4">
      <c r="A190">
        <v>195</v>
      </c>
      <c r="B190" t="s">
        <v>37</v>
      </c>
      <c r="C190" t="s">
        <v>47</v>
      </c>
      <c r="D190" t="s">
        <v>122</v>
      </c>
    </row>
    <row r="191" spans="1:4" x14ac:dyDescent="0.4">
      <c r="A191">
        <v>196</v>
      </c>
      <c r="B191" t="s">
        <v>37</v>
      </c>
      <c r="C191" t="s">
        <v>48</v>
      </c>
      <c r="D191" t="s">
        <v>122</v>
      </c>
    </row>
    <row r="192" spans="1:4" x14ac:dyDescent="0.4">
      <c r="A192">
        <v>197</v>
      </c>
      <c r="B192" t="s">
        <v>37</v>
      </c>
      <c r="C192" t="s">
        <v>49</v>
      </c>
      <c r="D192" t="s">
        <v>122</v>
      </c>
    </row>
    <row r="193" spans="1:4" x14ac:dyDescent="0.4">
      <c r="A193">
        <v>198</v>
      </c>
      <c r="B193" t="s">
        <v>37</v>
      </c>
      <c r="C193" t="s">
        <v>50</v>
      </c>
      <c r="D193" t="s">
        <v>122</v>
      </c>
    </row>
    <row r="194" spans="1:4" x14ac:dyDescent="0.4">
      <c r="A194">
        <v>199</v>
      </c>
      <c r="B194" t="s">
        <v>37</v>
      </c>
      <c r="C194" t="s">
        <v>51</v>
      </c>
      <c r="D194" t="s">
        <v>122</v>
      </c>
    </row>
    <row r="195" spans="1:4" x14ac:dyDescent="0.4">
      <c r="A195">
        <v>200</v>
      </c>
      <c r="B195" t="s">
        <v>39</v>
      </c>
      <c r="C195" t="s">
        <v>44</v>
      </c>
      <c r="D195" t="s">
        <v>123</v>
      </c>
    </row>
    <row r="196" spans="1:4" x14ac:dyDescent="0.4">
      <c r="A196">
        <v>201</v>
      </c>
      <c r="B196" t="s">
        <v>39</v>
      </c>
      <c r="C196" t="s">
        <v>45</v>
      </c>
      <c r="D196" t="s">
        <v>123</v>
      </c>
    </row>
    <row r="197" spans="1:4" x14ac:dyDescent="0.4">
      <c r="A197">
        <v>202</v>
      </c>
      <c r="B197" t="s">
        <v>39</v>
      </c>
      <c r="C197" t="s">
        <v>46</v>
      </c>
      <c r="D197" t="s">
        <v>123</v>
      </c>
    </row>
    <row r="198" spans="1:4" x14ac:dyDescent="0.4">
      <c r="A198">
        <v>203</v>
      </c>
      <c r="B198" t="s">
        <v>39</v>
      </c>
      <c r="C198" t="s">
        <v>47</v>
      </c>
      <c r="D198" t="s">
        <v>123</v>
      </c>
    </row>
    <row r="199" spans="1:4" x14ac:dyDescent="0.4">
      <c r="A199">
        <v>204</v>
      </c>
      <c r="B199" t="s">
        <v>39</v>
      </c>
      <c r="C199" t="s">
        <v>48</v>
      </c>
      <c r="D199" t="s">
        <v>123</v>
      </c>
    </row>
    <row r="200" spans="1:4" x14ac:dyDescent="0.4">
      <c r="A200">
        <v>205</v>
      </c>
      <c r="B200" t="s">
        <v>39</v>
      </c>
      <c r="C200" t="s">
        <v>49</v>
      </c>
      <c r="D200" t="s">
        <v>123</v>
      </c>
    </row>
    <row r="201" spans="1:4" x14ac:dyDescent="0.4">
      <c r="A201">
        <v>206</v>
      </c>
      <c r="B201" t="s">
        <v>39</v>
      </c>
      <c r="C201" t="s">
        <v>50</v>
      </c>
      <c r="D201" t="s">
        <v>123</v>
      </c>
    </row>
    <row r="202" spans="1:4" x14ac:dyDescent="0.4">
      <c r="A202">
        <v>207</v>
      </c>
      <c r="B202" t="s">
        <v>39</v>
      </c>
      <c r="C202" t="s">
        <v>51</v>
      </c>
      <c r="D202" t="s">
        <v>123</v>
      </c>
    </row>
    <row r="203" spans="1:4" x14ac:dyDescent="0.4">
      <c r="A203">
        <v>208</v>
      </c>
      <c r="B203" t="s">
        <v>41</v>
      </c>
      <c r="C203" t="s">
        <v>44</v>
      </c>
      <c r="D203" t="s">
        <v>124</v>
      </c>
    </row>
    <row r="204" spans="1:4" x14ac:dyDescent="0.4">
      <c r="A204">
        <v>209</v>
      </c>
      <c r="B204" t="s">
        <v>41</v>
      </c>
      <c r="C204" t="s">
        <v>45</v>
      </c>
      <c r="D204" t="s">
        <v>124</v>
      </c>
    </row>
    <row r="205" spans="1:4" x14ac:dyDescent="0.4">
      <c r="A205">
        <v>210</v>
      </c>
      <c r="B205" t="s">
        <v>41</v>
      </c>
      <c r="C205" t="s">
        <v>46</v>
      </c>
      <c r="D205" t="s">
        <v>124</v>
      </c>
    </row>
    <row r="206" spans="1:4" x14ac:dyDescent="0.4">
      <c r="A206">
        <v>211</v>
      </c>
      <c r="B206" t="s">
        <v>41</v>
      </c>
      <c r="C206" t="s">
        <v>47</v>
      </c>
      <c r="D206" t="s">
        <v>124</v>
      </c>
    </row>
    <row r="207" spans="1:4" x14ac:dyDescent="0.4">
      <c r="A207">
        <v>212</v>
      </c>
      <c r="B207" t="s">
        <v>41</v>
      </c>
      <c r="C207" t="s">
        <v>48</v>
      </c>
      <c r="D207" t="s">
        <v>124</v>
      </c>
    </row>
    <row r="208" spans="1:4" x14ac:dyDescent="0.4">
      <c r="A208">
        <v>213</v>
      </c>
      <c r="B208" t="s">
        <v>41</v>
      </c>
      <c r="C208" t="s">
        <v>49</v>
      </c>
      <c r="D208" t="s">
        <v>124</v>
      </c>
    </row>
    <row r="209" spans="1:4" x14ac:dyDescent="0.4">
      <c r="A209">
        <v>214</v>
      </c>
      <c r="B209" t="s">
        <v>41</v>
      </c>
      <c r="C209" t="s">
        <v>50</v>
      </c>
      <c r="D209" t="s">
        <v>124</v>
      </c>
    </row>
    <row r="210" spans="1:4" x14ac:dyDescent="0.4">
      <c r="A210">
        <v>215</v>
      </c>
      <c r="B210" t="s">
        <v>41</v>
      </c>
      <c r="C210" t="s">
        <v>51</v>
      </c>
      <c r="D210" t="s">
        <v>124</v>
      </c>
    </row>
    <row r="211" spans="1:4" x14ac:dyDescent="0.4">
      <c r="A211">
        <v>217</v>
      </c>
      <c r="B211" t="s">
        <v>53</v>
      </c>
      <c r="C211" t="s">
        <v>11</v>
      </c>
      <c r="D211" t="s">
        <v>125</v>
      </c>
    </row>
    <row r="212" spans="1:4" x14ac:dyDescent="0.4">
      <c r="A212">
        <v>218</v>
      </c>
      <c r="B212" t="s">
        <v>53</v>
      </c>
      <c r="C212" t="s">
        <v>13</v>
      </c>
      <c r="D212" t="s">
        <v>125</v>
      </c>
    </row>
    <row r="213" spans="1:4" x14ac:dyDescent="0.4">
      <c r="A213">
        <v>219</v>
      </c>
      <c r="B213" t="s">
        <v>53</v>
      </c>
      <c r="C213" t="s">
        <v>14</v>
      </c>
      <c r="D213" t="s">
        <v>125</v>
      </c>
    </row>
    <row r="214" spans="1:4" x14ac:dyDescent="0.4">
      <c r="A214">
        <v>220</v>
      </c>
      <c r="B214" t="s">
        <v>53</v>
      </c>
      <c r="C214" t="s">
        <v>15</v>
      </c>
      <c r="D214" t="s">
        <v>125</v>
      </c>
    </row>
    <row r="215" spans="1:4" x14ac:dyDescent="0.4">
      <c r="A215">
        <v>221</v>
      </c>
      <c r="B215" t="s">
        <v>53</v>
      </c>
      <c r="C215" t="s">
        <v>16</v>
      </c>
      <c r="D215" t="s">
        <v>125</v>
      </c>
    </row>
    <row r="216" spans="1:4" x14ac:dyDescent="0.4">
      <c r="A216">
        <v>222</v>
      </c>
      <c r="B216" t="s">
        <v>53</v>
      </c>
      <c r="C216" t="s">
        <v>17</v>
      </c>
      <c r="D216" t="s">
        <v>125</v>
      </c>
    </row>
    <row r="217" spans="1:4" x14ac:dyDescent="0.4">
      <c r="A217">
        <v>223</v>
      </c>
      <c r="B217" t="s">
        <v>53</v>
      </c>
      <c r="C217" t="s">
        <v>18</v>
      </c>
      <c r="D217" t="s">
        <v>125</v>
      </c>
    </row>
    <row r="218" spans="1:4" x14ac:dyDescent="0.4">
      <c r="A218">
        <v>224</v>
      </c>
      <c r="B218" t="s">
        <v>53</v>
      </c>
      <c r="C218" t="s">
        <v>19</v>
      </c>
      <c r="D218" t="s">
        <v>125</v>
      </c>
    </row>
    <row r="219" spans="1:4" x14ac:dyDescent="0.4">
      <c r="A219">
        <v>225</v>
      </c>
      <c r="B219" t="s">
        <v>53</v>
      </c>
      <c r="C219" t="s">
        <v>20</v>
      </c>
      <c r="D219" t="s">
        <v>125</v>
      </c>
    </row>
    <row r="220" spans="1:4" x14ac:dyDescent="0.4">
      <c r="A220">
        <v>226</v>
      </c>
      <c r="B220" t="s">
        <v>53</v>
      </c>
      <c r="C220" t="s">
        <v>21</v>
      </c>
      <c r="D220" t="s">
        <v>125</v>
      </c>
    </row>
    <row r="221" spans="1:4" x14ac:dyDescent="0.4">
      <c r="A221">
        <v>227</v>
      </c>
      <c r="B221" t="s">
        <v>53</v>
      </c>
      <c r="C221" t="s">
        <v>22</v>
      </c>
      <c r="D221" t="s">
        <v>125</v>
      </c>
    </row>
    <row r="222" spans="1:4" x14ac:dyDescent="0.4">
      <c r="A222">
        <v>228</v>
      </c>
      <c r="B222" t="s">
        <v>55</v>
      </c>
      <c r="C222" t="s">
        <v>11</v>
      </c>
      <c r="D222" t="s">
        <v>126</v>
      </c>
    </row>
    <row r="223" spans="1:4" x14ac:dyDescent="0.4">
      <c r="A223">
        <v>229</v>
      </c>
      <c r="B223" t="s">
        <v>55</v>
      </c>
      <c r="C223" t="s">
        <v>13</v>
      </c>
      <c r="D223" t="s">
        <v>126</v>
      </c>
    </row>
    <row r="224" spans="1:4" x14ac:dyDescent="0.4">
      <c r="A224">
        <v>230</v>
      </c>
      <c r="B224" t="s">
        <v>55</v>
      </c>
      <c r="C224" t="s">
        <v>14</v>
      </c>
      <c r="D224" t="s">
        <v>126</v>
      </c>
    </row>
    <row r="225" spans="1:4" x14ac:dyDescent="0.4">
      <c r="A225">
        <v>231</v>
      </c>
      <c r="B225" t="s">
        <v>55</v>
      </c>
      <c r="C225" t="s">
        <v>15</v>
      </c>
      <c r="D225" t="s">
        <v>126</v>
      </c>
    </row>
    <row r="226" spans="1:4" x14ac:dyDescent="0.4">
      <c r="A226">
        <v>232</v>
      </c>
      <c r="B226" t="s">
        <v>55</v>
      </c>
      <c r="C226" t="s">
        <v>16</v>
      </c>
      <c r="D226" t="s">
        <v>126</v>
      </c>
    </row>
    <row r="227" spans="1:4" x14ac:dyDescent="0.4">
      <c r="A227">
        <v>233</v>
      </c>
      <c r="B227" t="s">
        <v>55</v>
      </c>
      <c r="C227" t="s">
        <v>17</v>
      </c>
      <c r="D227" t="s">
        <v>126</v>
      </c>
    </row>
    <row r="228" spans="1:4" x14ac:dyDescent="0.4">
      <c r="A228">
        <v>234</v>
      </c>
      <c r="B228" t="s">
        <v>55</v>
      </c>
      <c r="C228" t="s">
        <v>18</v>
      </c>
      <c r="D228" t="s">
        <v>126</v>
      </c>
    </row>
    <row r="229" spans="1:4" x14ac:dyDescent="0.4">
      <c r="A229">
        <v>235</v>
      </c>
      <c r="B229" t="s">
        <v>55</v>
      </c>
      <c r="C229" t="s">
        <v>19</v>
      </c>
      <c r="D229" t="s">
        <v>126</v>
      </c>
    </row>
    <row r="230" spans="1:4" x14ac:dyDescent="0.4">
      <c r="A230">
        <v>236</v>
      </c>
      <c r="B230" t="s">
        <v>55</v>
      </c>
      <c r="C230" t="s">
        <v>20</v>
      </c>
      <c r="D230" t="s">
        <v>126</v>
      </c>
    </row>
    <row r="231" spans="1:4" x14ac:dyDescent="0.4">
      <c r="A231">
        <v>237</v>
      </c>
      <c r="B231" t="s">
        <v>55</v>
      </c>
      <c r="C231" t="s">
        <v>21</v>
      </c>
      <c r="D231" t="s">
        <v>126</v>
      </c>
    </row>
    <row r="232" spans="1:4" x14ac:dyDescent="0.4">
      <c r="A232">
        <v>238</v>
      </c>
      <c r="B232" t="s">
        <v>55</v>
      </c>
      <c r="C232" t="s">
        <v>22</v>
      </c>
      <c r="D232" t="s">
        <v>126</v>
      </c>
    </row>
    <row r="233" spans="1:4" x14ac:dyDescent="0.4">
      <c r="A233">
        <v>239</v>
      </c>
      <c r="B233" t="s">
        <v>57</v>
      </c>
      <c r="C233" t="s">
        <v>11</v>
      </c>
      <c r="D233" t="s">
        <v>127</v>
      </c>
    </row>
    <row r="234" spans="1:4" x14ac:dyDescent="0.4">
      <c r="A234">
        <v>240</v>
      </c>
      <c r="B234" t="s">
        <v>57</v>
      </c>
      <c r="C234" t="s">
        <v>13</v>
      </c>
      <c r="D234" t="s">
        <v>127</v>
      </c>
    </row>
    <row r="235" spans="1:4" x14ac:dyDescent="0.4">
      <c r="A235">
        <v>241</v>
      </c>
      <c r="B235" t="s">
        <v>57</v>
      </c>
      <c r="C235" t="s">
        <v>14</v>
      </c>
      <c r="D235" t="s">
        <v>127</v>
      </c>
    </row>
    <row r="236" spans="1:4" x14ac:dyDescent="0.4">
      <c r="A236">
        <v>242</v>
      </c>
      <c r="B236" t="s">
        <v>57</v>
      </c>
      <c r="C236" t="s">
        <v>15</v>
      </c>
      <c r="D236" t="s">
        <v>127</v>
      </c>
    </row>
    <row r="237" spans="1:4" x14ac:dyDescent="0.4">
      <c r="A237">
        <v>243</v>
      </c>
      <c r="B237" t="s">
        <v>57</v>
      </c>
      <c r="C237" t="s">
        <v>16</v>
      </c>
      <c r="D237" t="s">
        <v>127</v>
      </c>
    </row>
    <row r="238" spans="1:4" x14ac:dyDescent="0.4">
      <c r="A238">
        <v>244</v>
      </c>
      <c r="B238" t="s">
        <v>57</v>
      </c>
      <c r="C238" t="s">
        <v>17</v>
      </c>
      <c r="D238" t="s">
        <v>127</v>
      </c>
    </row>
    <row r="239" spans="1:4" x14ac:dyDescent="0.4">
      <c r="A239">
        <v>245</v>
      </c>
      <c r="B239" t="s">
        <v>57</v>
      </c>
      <c r="C239" t="s">
        <v>18</v>
      </c>
      <c r="D239" t="s">
        <v>127</v>
      </c>
    </row>
    <row r="240" spans="1:4" x14ac:dyDescent="0.4">
      <c r="A240">
        <v>246</v>
      </c>
      <c r="B240" t="s">
        <v>57</v>
      </c>
      <c r="C240" t="s">
        <v>19</v>
      </c>
      <c r="D240" t="s">
        <v>127</v>
      </c>
    </row>
    <row r="241" spans="1:4" x14ac:dyDescent="0.4">
      <c r="A241">
        <v>247</v>
      </c>
      <c r="B241" t="s">
        <v>57</v>
      </c>
      <c r="C241" t="s">
        <v>20</v>
      </c>
      <c r="D241" t="s">
        <v>127</v>
      </c>
    </row>
    <row r="242" spans="1:4" x14ac:dyDescent="0.4">
      <c r="A242">
        <v>248</v>
      </c>
      <c r="B242" t="s">
        <v>57</v>
      </c>
      <c r="C242" t="s">
        <v>21</v>
      </c>
      <c r="D242" t="s">
        <v>127</v>
      </c>
    </row>
    <row r="243" spans="1:4" x14ac:dyDescent="0.4">
      <c r="A243">
        <v>249</v>
      </c>
      <c r="B243" t="s">
        <v>57</v>
      </c>
      <c r="C243" t="s">
        <v>22</v>
      </c>
      <c r="D243" t="s">
        <v>127</v>
      </c>
    </row>
    <row r="244" spans="1:4" x14ac:dyDescent="0.4">
      <c r="A244">
        <v>250</v>
      </c>
      <c r="B244" t="s">
        <v>59</v>
      </c>
      <c r="C244" t="s">
        <v>11</v>
      </c>
      <c r="D244" t="s">
        <v>128</v>
      </c>
    </row>
    <row r="245" spans="1:4" x14ac:dyDescent="0.4">
      <c r="A245">
        <v>251</v>
      </c>
      <c r="B245" t="s">
        <v>59</v>
      </c>
      <c r="C245" t="s">
        <v>13</v>
      </c>
      <c r="D245" t="s">
        <v>128</v>
      </c>
    </row>
    <row r="246" spans="1:4" x14ac:dyDescent="0.4">
      <c r="A246">
        <v>252</v>
      </c>
      <c r="B246" t="s">
        <v>59</v>
      </c>
      <c r="C246" t="s">
        <v>14</v>
      </c>
      <c r="D246" t="s">
        <v>128</v>
      </c>
    </row>
    <row r="247" spans="1:4" x14ac:dyDescent="0.4">
      <c r="A247">
        <v>253</v>
      </c>
      <c r="B247" t="s">
        <v>59</v>
      </c>
      <c r="C247" t="s">
        <v>15</v>
      </c>
      <c r="D247" t="s">
        <v>128</v>
      </c>
    </row>
    <row r="248" spans="1:4" x14ac:dyDescent="0.4">
      <c r="A248">
        <v>254</v>
      </c>
      <c r="B248" t="s">
        <v>59</v>
      </c>
      <c r="C248" t="s">
        <v>16</v>
      </c>
      <c r="D248" t="s">
        <v>128</v>
      </c>
    </row>
    <row r="249" spans="1:4" x14ac:dyDescent="0.4">
      <c r="A249">
        <v>255</v>
      </c>
      <c r="B249" t="s">
        <v>59</v>
      </c>
      <c r="C249" t="s">
        <v>17</v>
      </c>
      <c r="D249" t="s">
        <v>128</v>
      </c>
    </row>
    <row r="250" spans="1:4" x14ac:dyDescent="0.4">
      <c r="A250">
        <v>256</v>
      </c>
      <c r="B250" t="s">
        <v>59</v>
      </c>
      <c r="C250" t="s">
        <v>18</v>
      </c>
      <c r="D250" t="s">
        <v>128</v>
      </c>
    </row>
    <row r="251" spans="1:4" x14ac:dyDescent="0.4">
      <c r="A251">
        <v>257</v>
      </c>
      <c r="B251" t="s">
        <v>59</v>
      </c>
      <c r="C251" t="s">
        <v>19</v>
      </c>
      <c r="D251" t="s">
        <v>128</v>
      </c>
    </row>
    <row r="252" spans="1:4" x14ac:dyDescent="0.4">
      <c r="A252">
        <v>258</v>
      </c>
      <c r="B252" t="s">
        <v>59</v>
      </c>
      <c r="C252" t="s">
        <v>20</v>
      </c>
      <c r="D252" t="s">
        <v>128</v>
      </c>
    </row>
    <row r="253" spans="1:4" x14ac:dyDescent="0.4">
      <c r="A253">
        <v>259</v>
      </c>
      <c r="B253" t="s">
        <v>59</v>
      </c>
      <c r="C253" t="s">
        <v>21</v>
      </c>
      <c r="D253" t="s">
        <v>128</v>
      </c>
    </row>
    <row r="254" spans="1:4" x14ac:dyDescent="0.4">
      <c r="A254">
        <v>260</v>
      </c>
      <c r="B254" t="s">
        <v>59</v>
      </c>
      <c r="C254" t="s">
        <v>22</v>
      </c>
      <c r="D254" t="s">
        <v>128</v>
      </c>
    </row>
    <row r="255" spans="1:4" x14ac:dyDescent="0.4">
      <c r="A255">
        <v>261</v>
      </c>
      <c r="B255" t="s">
        <v>61</v>
      </c>
      <c r="C255" t="s">
        <v>11</v>
      </c>
      <c r="D255" t="s">
        <v>129</v>
      </c>
    </row>
    <row r="256" spans="1:4" x14ac:dyDescent="0.4">
      <c r="A256">
        <v>262</v>
      </c>
      <c r="B256" t="s">
        <v>61</v>
      </c>
      <c r="C256" t="s">
        <v>13</v>
      </c>
      <c r="D256" t="s">
        <v>129</v>
      </c>
    </row>
    <row r="257" spans="1:4" x14ac:dyDescent="0.4">
      <c r="A257">
        <v>263</v>
      </c>
      <c r="B257" t="s">
        <v>61</v>
      </c>
      <c r="C257" t="s">
        <v>14</v>
      </c>
      <c r="D257" t="s">
        <v>129</v>
      </c>
    </row>
    <row r="258" spans="1:4" x14ac:dyDescent="0.4">
      <c r="A258">
        <v>264</v>
      </c>
      <c r="B258" t="s">
        <v>61</v>
      </c>
      <c r="C258" t="s">
        <v>15</v>
      </c>
      <c r="D258" t="s">
        <v>129</v>
      </c>
    </row>
    <row r="259" spans="1:4" x14ac:dyDescent="0.4">
      <c r="A259">
        <v>265</v>
      </c>
      <c r="B259" t="s">
        <v>61</v>
      </c>
      <c r="C259" t="s">
        <v>16</v>
      </c>
      <c r="D259" t="s">
        <v>129</v>
      </c>
    </row>
    <row r="260" spans="1:4" x14ac:dyDescent="0.4">
      <c r="A260">
        <v>266</v>
      </c>
      <c r="B260" t="s">
        <v>61</v>
      </c>
      <c r="C260" t="s">
        <v>17</v>
      </c>
      <c r="D260" t="s">
        <v>129</v>
      </c>
    </row>
    <row r="261" spans="1:4" x14ac:dyDescent="0.4">
      <c r="A261">
        <v>267</v>
      </c>
      <c r="B261" t="s">
        <v>61</v>
      </c>
      <c r="C261" t="s">
        <v>18</v>
      </c>
      <c r="D261" t="s">
        <v>129</v>
      </c>
    </row>
    <row r="262" spans="1:4" x14ac:dyDescent="0.4">
      <c r="A262">
        <v>268</v>
      </c>
      <c r="B262" t="s">
        <v>61</v>
      </c>
      <c r="C262" t="s">
        <v>19</v>
      </c>
      <c r="D262" t="s">
        <v>129</v>
      </c>
    </row>
    <row r="263" spans="1:4" x14ac:dyDescent="0.4">
      <c r="A263">
        <v>269</v>
      </c>
      <c r="B263" t="s">
        <v>61</v>
      </c>
      <c r="C263" t="s">
        <v>20</v>
      </c>
      <c r="D263" t="s">
        <v>129</v>
      </c>
    </row>
    <row r="264" spans="1:4" x14ac:dyDescent="0.4">
      <c r="A264">
        <v>270</v>
      </c>
      <c r="B264" t="s">
        <v>61</v>
      </c>
      <c r="C264" t="s">
        <v>21</v>
      </c>
      <c r="D264" t="s">
        <v>129</v>
      </c>
    </row>
    <row r="265" spans="1:4" x14ac:dyDescent="0.4">
      <c r="A265">
        <v>271</v>
      </c>
      <c r="B265" t="s">
        <v>61</v>
      </c>
      <c r="C265" t="s">
        <v>22</v>
      </c>
      <c r="D265" t="s">
        <v>129</v>
      </c>
    </row>
    <row r="266" spans="1:4" x14ac:dyDescent="0.4">
      <c r="A266">
        <v>272</v>
      </c>
      <c r="B266" t="s">
        <v>63</v>
      </c>
      <c r="C266" t="s">
        <v>11</v>
      </c>
      <c r="D266" t="s">
        <v>130</v>
      </c>
    </row>
    <row r="267" spans="1:4" x14ac:dyDescent="0.4">
      <c r="A267">
        <v>273</v>
      </c>
      <c r="B267" t="s">
        <v>63</v>
      </c>
      <c r="C267" t="s">
        <v>13</v>
      </c>
      <c r="D267" t="s">
        <v>130</v>
      </c>
    </row>
    <row r="268" spans="1:4" x14ac:dyDescent="0.4">
      <c r="A268">
        <v>274</v>
      </c>
      <c r="B268" t="s">
        <v>63</v>
      </c>
      <c r="C268" t="s">
        <v>14</v>
      </c>
      <c r="D268" t="s">
        <v>130</v>
      </c>
    </row>
    <row r="269" spans="1:4" x14ac:dyDescent="0.4">
      <c r="A269">
        <v>275</v>
      </c>
      <c r="B269" t="s">
        <v>63</v>
      </c>
      <c r="C269" t="s">
        <v>15</v>
      </c>
      <c r="D269" t="s">
        <v>130</v>
      </c>
    </row>
    <row r="270" spans="1:4" x14ac:dyDescent="0.4">
      <c r="A270">
        <v>276</v>
      </c>
      <c r="B270" t="s">
        <v>63</v>
      </c>
      <c r="C270" t="s">
        <v>16</v>
      </c>
      <c r="D270" t="s">
        <v>130</v>
      </c>
    </row>
    <row r="271" spans="1:4" x14ac:dyDescent="0.4">
      <c r="A271">
        <v>277</v>
      </c>
      <c r="B271" t="s">
        <v>63</v>
      </c>
      <c r="C271" t="s">
        <v>17</v>
      </c>
      <c r="D271" t="s">
        <v>130</v>
      </c>
    </row>
    <row r="272" spans="1:4" x14ac:dyDescent="0.4">
      <c r="A272">
        <v>278</v>
      </c>
      <c r="B272" t="s">
        <v>63</v>
      </c>
      <c r="C272" t="s">
        <v>18</v>
      </c>
      <c r="D272" t="s">
        <v>130</v>
      </c>
    </row>
    <row r="273" spans="1:4" x14ac:dyDescent="0.4">
      <c r="A273">
        <v>279</v>
      </c>
      <c r="B273" t="s">
        <v>63</v>
      </c>
      <c r="C273" t="s">
        <v>19</v>
      </c>
      <c r="D273" t="s">
        <v>130</v>
      </c>
    </row>
    <row r="274" spans="1:4" x14ac:dyDescent="0.4">
      <c r="A274">
        <v>280</v>
      </c>
      <c r="B274" t="s">
        <v>63</v>
      </c>
      <c r="C274" t="s">
        <v>20</v>
      </c>
      <c r="D274" t="s">
        <v>130</v>
      </c>
    </row>
    <row r="275" spans="1:4" x14ac:dyDescent="0.4">
      <c r="A275">
        <v>281</v>
      </c>
      <c r="B275" t="s">
        <v>63</v>
      </c>
      <c r="C275" t="s">
        <v>21</v>
      </c>
      <c r="D275" t="s">
        <v>130</v>
      </c>
    </row>
    <row r="276" spans="1:4" x14ac:dyDescent="0.4">
      <c r="A276">
        <v>282</v>
      </c>
      <c r="B276" t="s">
        <v>63</v>
      </c>
      <c r="C276" t="s">
        <v>22</v>
      </c>
      <c r="D276" t="s">
        <v>130</v>
      </c>
    </row>
    <row r="277" spans="1:4" x14ac:dyDescent="0.4">
      <c r="A277">
        <v>284</v>
      </c>
      <c r="B277" t="s">
        <v>53</v>
      </c>
      <c r="C277" t="s">
        <v>44</v>
      </c>
      <c r="D277" t="s">
        <v>125</v>
      </c>
    </row>
    <row r="278" spans="1:4" x14ac:dyDescent="0.4">
      <c r="A278">
        <v>285</v>
      </c>
      <c r="B278" t="s">
        <v>55</v>
      </c>
      <c r="C278" t="s">
        <v>44</v>
      </c>
      <c r="D278" t="s">
        <v>126</v>
      </c>
    </row>
    <row r="279" spans="1:4" x14ac:dyDescent="0.4">
      <c r="A279">
        <v>286</v>
      </c>
      <c r="B279" t="s">
        <v>57</v>
      </c>
      <c r="C279" t="s">
        <v>44</v>
      </c>
      <c r="D279" t="s">
        <v>127</v>
      </c>
    </row>
    <row r="280" spans="1:4" x14ac:dyDescent="0.4">
      <c r="A280">
        <v>287</v>
      </c>
      <c r="B280" t="s">
        <v>59</v>
      </c>
      <c r="C280" t="s">
        <v>44</v>
      </c>
      <c r="D280" t="s">
        <v>128</v>
      </c>
    </row>
    <row r="281" spans="1:4" x14ac:dyDescent="0.4">
      <c r="A281">
        <v>288</v>
      </c>
      <c r="B281" t="s">
        <v>61</v>
      </c>
      <c r="C281" t="s">
        <v>44</v>
      </c>
      <c r="D281" t="s">
        <v>129</v>
      </c>
    </row>
    <row r="282" spans="1:4" x14ac:dyDescent="0.4">
      <c r="A282">
        <v>289</v>
      </c>
      <c r="B282" t="s">
        <v>63</v>
      </c>
      <c r="C282" t="s">
        <v>44</v>
      </c>
      <c r="D282" t="s">
        <v>130</v>
      </c>
    </row>
    <row r="283" spans="1:4" x14ac:dyDescent="0.4">
      <c r="A283">
        <v>291</v>
      </c>
      <c r="B283" t="s">
        <v>73</v>
      </c>
      <c r="C283" t="s">
        <v>74</v>
      </c>
      <c r="D283" t="s">
        <v>131</v>
      </c>
    </row>
    <row r="284" spans="1:4" x14ac:dyDescent="0.4">
      <c r="A284">
        <v>292</v>
      </c>
      <c r="B284" t="s">
        <v>76</v>
      </c>
      <c r="C284" t="s">
        <v>74</v>
      </c>
      <c r="D284" t="s">
        <v>132</v>
      </c>
    </row>
    <row r="285" spans="1:4" x14ac:dyDescent="0.4">
      <c r="A285">
        <v>293</v>
      </c>
      <c r="B285" t="s">
        <v>78</v>
      </c>
      <c r="C285" t="s">
        <v>74</v>
      </c>
      <c r="D285" t="s">
        <v>133</v>
      </c>
    </row>
    <row r="286" spans="1:4" x14ac:dyDescent="0.4">
      <c r="A286">
        <v>294</v>
      </c>
      <c r="B286" t="s">
        <v>80</v>
      </c>
      <c r="C286" t="s">
        <v>74</v>
      </c>
      <c r="D286" t="s">
        <v>134</v>
      </c>
    </row>
    <row r="287" spans="1:4" x14ac:dyDescent="0.4">
      <c r="A287">
        <v>295</v>
      </c>
      <c r="B287" t="s">
        <v>82</v>
      </c>
      <c r="C287" t="s">
        <v>83</v>
      </c>
      <c r="D287" t="s">
        <v>135</v>
      </c>
    </row>
    <row r="288" spans="1:4" x14ac:dyDescent="0.4">
      <c r="A288">
        <v>297</v>
      </c>
      <c r="B288" t="s">
        <v>86</v>
      </c>
      <c r="C288" t="s">
        <v>74</v>
      </c>
      <c r="D288" t="s">
        <v>136</v>
      </c>
    </row>
    <row r="289" spans="1:4" x14ac:dyDescent="0.4">
      <c r="A289">
        <v>298</v>
      </c>
      <c r="B289" t="s">
        <v>88</v>
      </c>
      <c r="C289" t="s">
        <v>74</v>
      </c>
      <c r="D289" t="s">
        <v>137</v>
      </c>
    </row>
    <row r="290" spans="1:4" x14ac:dyDescent="0.4">
      <c r="A290">
        <v>299</v>
      </c>
      <c r="B290" t="s">
        <v>90</v>
      </c>
      <c r="C290" t="s">
        <v>74</v>
      </c>
      <c r="D290" t="s">
        <v>138</v>
      </c>
    </row>
    <row r="291" spans="1:4" x14ac:dyDescent="0.4">
      <c r="A291">
        <v>301</v>
      </c>
      <c r="B291" t="s">
        <v>93</v>
      </c>
      <c r="C291" t="s">
        <v>74</v>
      </c>
      <c r="D291" t="s">
        <v>139</v>
      </c>
    </row>
    <row r="292" spans="1:4" x14ac:dyDescent="0.4">
      <c r="A292">
        <v>302</v>
      </c>
      <c r="B292" t="s">
        <v>95</v>
      </c>
      <c r="C292" t="s">
        <v>74</v>
      </c>
      <c r="D292" t="s">
        <v>140</v>
      </c>
    </row>
    <row r="293" spans="1:4" x14ac:dyDescent="0.4">
      <c r="A293">
        <v>303</v>
      </c>
      <c r="B293" t="s">
        <v>97</v>
      </c>
      <c r="C293" t="s">
        <v>74</v>
      </c>
      <c r="D293" t="s">
        <v>141</v>
      </c>
    </row>
    <row r="294" spans="1:4" x14ac:dyDescent="0.4">
      <c r="A294">
        <v>304</v>
      </c>
      <c r="B294" t="s">
        <v>99</v>
      </c>
      <c r="C294" t="s">
        <v>74</v>
      </c>
      <c r="D294" t="s">
        <v>142</v>
      </c>
    </row>
    <row r="295" spans="1:4" x14ac:dyDescent="0.4">
      <c r="A295">
        <v>305</v>
      </c>
      <c r="B295" t="s">
        <v>101</v>
      </c>
      <c r="C295" t="s">
        <v>74</v>
      </c>
      <c r="D295" t="s">
        <v>143</v>
      </c>
    </row>
    <row r="296" spans="1:4" x14ac:dyDescent="0.4">
      <c r="A296">
        <v>306</v>
      </c>
      <c r="B296" t="s">
        <v>103</v>
      </c>
      <c r="C296" t="s">
        <v>74</v>
      </c>
      <c r="D296" t="s">
        <v>144</v>
      </c>
    </row>
    <row r="297" spans="1:4" x14ac:dyDescent="0.4">
      <c r="A297">
        <v>308</v>
      </c>
      <c r="B297" t="s">
        <v>106</v>
      </c>
      <c r="C297" t="s">
        <v>11</v>
      </c>
      <c r="D297" t="s">
        <v>145</v>
      </c>
    </row>
    <row r="298" spans="1:4" x14ac:dyDescent="0.4">
      <c r="A298">
        <v>309</v>
      </c>
      <c r="B298" t="s">
        <v>108</v>
      </c>
      <c r="C298" t="s">
        <v>44</v>
      </c>
      <c r="D298" t="s">
        <v>145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CIQ_Data</vt:lpstr>
      <vt:lpstr>_RowMap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Yu29 Zhang</cp:lastModifiedBy>
  <dcterms:created xsi:type="dcterms:W3CDTF">2026-03-20T09:12:33Z</dcterms:created>
  <dcterms:modified xsi:type="dcterms:W3CDTF">2026-04-28T09:23:37Z</dcterms:modified>
</cp:coreProperties>
</file>