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angyu29\AD_CC_pilot\knowledge_base\ciq_fetches\"/>
    </mc:Choice>
  </mc:AlternateContent>
  <xr:revisionPtr revIDLastSave="0" documentId="13_ncr:1_{B294CBE0-FC7C-415E-8CD9-20FA4D2F3408}" xr6:coauthVersionLast="47" xr6:coauthVersionMax="47" xr10:uidLastSave="{00000000-0000-0000-0000-000000000000}"/>
  <bookViews>
    <workbookView xWindow="-96" yWindow="-96" windowWidth="19392" windowHeight="11472" firstSheet="1" activeTab="1" xr2:uid="{00000000-000D-0000-FFFF-FFFF00000000}"/>
  </bookViews>
  <sheets>
    <sheet name="_CIQHiddenCacheSheet" sheetId="6" state="veryHidden" r:id="rId1"/>
    <sheet name="CIQ_Data" sheetId="1" r:id="rId2"/>
    <sheet name="_RowMap" sheetId="2" r:id="rId3"/>
  </sheets>
  <definedNames>
    <definedName name="CIQWBGuid" hidden="1">"650b08f6-d362-4124-9a47-8d2045b454d8"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"03/06/2026 01:57:37"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8" i="1" l="1"/>
  <c r="C309" i="1"/>
  <c r="C299" i="1"/>
  <c r="C301" i="1"/>
  <c r="C304" i="1"/>
  <c r="C293" i="1"/>
  <c r="C294" i="1"/>
  <c r="C295" i="1"/>
  <c r="C305" i="1"/>
  <c r="C306" i="1"/>
  <c r="C287" i="1"/>
  <c r="C288" i="1"/>
  <c r="C289" i="1"/>
  <c r="C291" i="1"/>
  <c r="C302" i="1"/>
  <c r="C303" i="1"/>
  <c r="C282" i="1"/>
  <c r="C284" i="1"/>
  <c r="C285" i="1"/>
  <c r="C286" i="1"/>
  <c r="C297" i="1"/>
  <c r="C298" i="1"/>
  <c r="C278" i="1"/>
  <c r="C279" i="1"/>
  <c r="C280" i="1"/>
  <c r="C271" i="1"/>
  <c r="C292" i="1"/>
  <c r="C281" i="1"/>
  <c r="C274" i="1"/>
  <c r="C275" i="1"/>
  <c r="C266" i="1"/>
  <c r="C267" i="1"/>
  <c r="C276" i="1"/>
  <c r="C277" i="1"/>
  <c r="C270" i="1"/>
  <c r="C261" i="1"/>
  <c r="C262" i="1"/>
  <c r="C263" i="1"/>
  <c r="C272" i="1"/>
  <c r="C273" i="1"/>
  <c r="C256" i="1"/>
  <c r="C257" i="1"/>
  <c r="C258" i="1"/>
  <c r="C259" i="1"/>
  <c r="C268" i="1"/>
  <c r="C269" i="1"/>
  <c r="C252" i="1"/>
  <c r="C253" i="1"/>
  <c r="C254" i="1"/>
  <c r="C255" i="1"/>
  <c r="C264" i="1"/>
  <c r="C265" i="1"/>
  <c r="C233" i="1"/>
  <c r="C243" i="1"/>
  <c r="C246" i="1"/>
  <c r="C247" i="1"/>
  <c r="C260" i="1"/>
  <c r="C251" i="1"/>
  <c r="C7" i="1"/>
  <c r="C8" i="1"/>
  <c r="C18" i="1"/>
  <c r="C9" i="1"/>
  <c r="C10" i="1"/>
  <c r="C11" i="1"/>
  <c r="C12" i="1"/>
  <c r="C13" i="1"/>
  <c r="C6" i="1"/>
  <c r="C21" i="1"/>
  <c r="C22" i="1"/>
  <c r="C23" i="1"/>
  <c r="C14" i="1"/>
  <c r="C15" i="1"/>
  <c r="C16" i="1"/>
  <c r="C17" i="1"/>
  <c r="C24" i="1"/>
  <c r="C25" i="1"/>
  <c r="C26" i="1"/>
  <c r="C27" i="1"/>
  <c r="C28" i="1"/>
  <c r="C19" i="1"/>
  <c r="C20" i="1"/>
  <c r="C37" i="1"/>
  <c r="C38" i="1"/>
  <c r="C29" i="1"/>
  <c r="C30" i="1"/>
  <c r="C31" i="1"/>
  <c r="C32" i="1"/>
  <c r="C33" i="1"/>
  <c r="C40" i="1"/>
  <c r="C41" i="1"/>
  <c r="C42" i="1"/>
  <c r="C43" i="1"/>
  <c r="C34" i="1"/>
  <c r="C35" i="1"/>
  <c r="C36" i="1"/>
  <c r="C53" i="1"/>
  <c r="C44" i="1"/>
  <c r="C45" i="1"/>
  <c r="C46" i="1"/>
  <c r="C47" i="1"/>
  <c r="C48" i="1"/>
  <c r="C39" i="1"/>
  <c r="C56" i="1"/>
  <c r="C57" i="1"/>
  <c r="C58" i="1"/>
  <c r="C49" i="1"/>
  <c r="C50" i="1"/>
  <c r="C51" i="1"/>
  <c r="C52" i="1"/>
  <c r="C59" i="1"/>
  <c r="C60" i="1"/>
  <c r="C61" i="1"/>
  <c r="C62" i="1"/>
  <c r="C63" i="1"/>
  <c r="C54" i="1"/>
  <c r="C55" i="1"/>
  <c r="C72" i="1"/>
  <c r="C73" i="1"/>
  <c r="C64" i="1"/>
  <c r="C65" i="1"/>
  <c r="C66" i="1"/>
  <c r="C67" i="1"/>
  <c r="C68" i="1"/>
  <c r="C75" i="1"/>
  <c r="C76" i="1"/>
  <c r="C77" i="1"/>
  <c r="C78" i="1"/>
  <c r="C69" i="1"/>
  <c r="C70" i="1"/>
  <c r="C71" i="1"/>
  <c r="C88" i="1"/>
  <c r="C79" i="1"/>
  <c r="C80" i="1"/>
  <c r="C81" i="1"/>
  <c r="C82" i="1"/>
  <c r="C83" i="1"/>
  <c r="C74" i="1"/>
  <c r="C91" i="1"/>
  <c r="C92" i="1"/>
  <c r="C93" i="1"/>
  <c r="C84" i="1"/>
  <c r="C85" i="1"/>
  <c r="C86" i="1"/>
  <c r="C87" i="1"/>
  <c r="C94" i="1"/>
  <c r="C95" i="1"/>
  <c r="C96" i="1"/>
  <c r="C97" i="1"/>
  <c r="C98" i="1"/>
  <c r="C89" i="1"/>
  <c r="C90" i="1"/>
  <c r="C108" i="1"/>
  <c r="C99" i="1"/>
  <c r="C100" i="1"/>
  <c r="C101" i="1"/>
  <c r="C102" i="1"/>
  <c r="C103" i="1"/>
  <c r="C112" i="1"/>
  <c r="C113" i="1"/>
  <c r="C104" i="1"/>
  <c r="C105" i="1"/>
  <c r="C106" i="1"/>
  <c r="C107" i="1"/>
  <c r="C116" i="1"/>
  <c r="C117" i="1"/>
  <c r="C118" i="1"/>
  <c r="C109" i="1"/>
  <c r="C110" i="1"/>
  <c r="C111" i="1"/>
  <c r="C120" i="1"/>
  <c r="C121" i="1"/>
  <c r="C122" i="1"/>
  <c r="C123" i="1"/>
  <c r="C114" i="1"/>
  <c r="C115" i="1"/>
  <c r="C124" i="1"/>
  <c r="C125" i="1"/>
  <c r="C126" i="1"/>
  <c r="C128" i="1"/>
  <c r="C129" i="1"/>
  <c r="C119" i="1"/>
  <c r="C139" i="1"/>
  <c r="C130" i="1"/>
  <c r="C131" i="1"/>
  <c r="C132" i="1"/>
  <c r="C133" i="1"/>
  <c r="C134" i="1"/>
  <c r="C143" i="1"/>
  <c r="C144" i="1"/>
  <c r="C135" i="1"/>
  <c r="C136" i="1"/>
  <c r="C137" i="1"/>
  <c r="C138" i="1"/>
  <c r="C147" i="1"/>
  <c r="C148" i="1"/>
  <c r="C149" i="1"/>
  <c r="C140" i="1"/>
  <c r="C141" i="1"/>
  <c r="C142" i="1"/>
  <c r="C151" i="1"/>
  <c r="C152" i="1"/>
  <c r="C153" i="1"/>
  <c r="C154" i="1"/>
  <c r="C145" i="1"/>
  <c r="C146" i="1"/>
  <c r="C155" i="1"/>
  <c r="C156" i="1"/>
  <c r="C157" i="1"/>
  <c r="C158" i="1"/>
  <c r="C159" i="1"/>
  <c r="C150" i="1"/>
  <c r="C169" i="1"/>
  <c r="C160" i="1"/>
  <c r="C161" i="1"/>
  <c r="C162" i="1"/>
  <c r="C163" i="1"/>
  <c r="C164" i="1"/>
  <c r="C173" i="1"/>
  <c r="C174" i="1"/>
  <c r="C165" i="1"/>
  <c r="C166" i="1"/>
  <c r="C167" i="1"/>
  <c r="C168" i="1"/>
  <c r="C177" i="1"/>
  <c r="C178" i="1"/>
  <c r="C179" i="1"/>
  <c r="C170" i="1"/>
  <c r="C171" i="1"/>
  <c r="C172" i="1"/>
  <c r="C181" i="1"/>
  <c r="C182" i="1"/>
  <c r="C183" i="1"/>
  <c r="C184" i="1"/>
  <c r="C175" i="1"/>
  <c r="C176" i="1"/>
  <c r="C185" i="1"/>
  <c r="C186" i="1"/>
  <c r="C187" i="1"/>
  <c r="C188" i="1"/>
  <c r="C189" i="1"/>
  <c r="C180" i="1"/>
  <c r="C199" i="1"/>
  <c r="C190" i="1"/>
  <c r="C191" i="1"/>
  <c r="C192" i="1"/>
  <c r="C193" i="1"/>
  <c r="C194" i="1"/>
  <c r="C203" i="1"/>
  <c r="C204" i="1"/>
  <c r="C195" i="1"/>
  <c r="C196" i="1"/>
  <c r="C197" i="1"/>
  <c r="C198" i="1"/>
  <c r="C207" i="1"/>
  <c r="C208" i="1"/>
  <c r="C209" i="1"/>
  <c r="C200" i="1"/>
  <c r="C201" i="1"/>
  <c r="C202" i="1"/>
  <c r="C211" i="1"/>
  <c r="C212" i="1"/>
  <c r="C213" i="1"/>
  <c r="C214" i="1"/>
  <c r="C205" i="1"/>
  <c r="C206" i="1"/>
  <c r="C215" i="1"/>
  <c r="C217" i="1"/>
  <c r="C218" i="1"/>
  <c r="C219" i="1"/>
  <c r="C220" i="1"/>
  <c r="C210" i="1"/>
  <c r="C230" i="1"/>
  <c r="C221" i="1"/>
  <c r="C222" i="1"/>
  <c r="C223" i="1"/>
  <c r="C224" i="1"/>
  <c r="C225" i="1"/>
  <c r="C234" i="1"/>
  <c r="C235" i="1"/>
  <c r="C226" i="1"/>
  <c r="C227" i="1"/>
  <c r="C228" i="1"/>
  <c r="C229" i="1"/>
  <c r="C238" i="1"/>
  <c r="C239" i="1"/>
  <c r="C240" i="1"/>
  <c r="C231" i="1"/>
  <c r="C232" i="1"/>
  <c r="C242" i="1"/>
  <c r="C244" i="1"/>
  <c r="C245" i="1"/>
  <c r="C236" i="1"/>
  <c r="C237" i="1"/>
  <c r="C248" i="1"/>
  <c r="C249" i="1"/>
  <c r="C250" i="1"/>
  <c r="C241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4" i="1"/>
  <c r="D285" i="1"/>
  <c r="D286" i="1"/>
  <c r="D287" i="1"/>
  <c r="D288" i="1"/>
  <c r="D289" i="1"/>
  <c r="D291" i="1"/>
  <c r="D292" i="1"/>
  <c r="D293" i="1"/>
  <c r="D294" i="1"/>
  <c r="D295" i="1"/>
  <c r="D297" i="1"/>
  <c r="D298" i="1"/>
  <c r="D299" i="1"/>
  <c r="D301" i="1"/>
  <c r="D302" i="1"/>
  <c r="D303" i="1"/>
  <c r="D304" i="1"/>
  <c r="D305" i="1"/>
  <c r="D306" i="1"/>
  <c r="D308" i="1"/>
  <c r="D309" i="1"/>
</calcChain>
</file>

<file path=xl/sharedStrings.xml><?xml version="1.0" encoding="utf-8"?>
<sst xmlns="http://schemas.openxmlformats.org/spreadsheetml/2006/main" count="1868" uniqueCount="211">
  <si>
    <t>Ticker:</t>
  </si>
  <si>
    <t>← Change this ticker, then wait for CIQ to resolve all formulas, then Save.</t>
  </si>
  <si>
    <t>Instructions:</t>
  </si>
  <si>
    <t>1) Enter ticker in B1  2) Wait for #GETTING_DATA to disappear  3) Save (Ctrl+S)  4) Load in app</t>
  </si>
  <si>
    <t>Variable</t>
  </si>
  <si>
    <t>Period</t>
  </si>
  <si>
    <t>CIQ Formula</t>
  </si>
  <si>
    <t>Resolved Value</t>
  </si>
  <si>
    <t>Description</t>
  </si>
  <si>
    <t>INCOME STATEMENT (Annual)</t>
  </si>
  <si>
    <t>revenues</t>
  </si>
  <si>
    <t>IQ_FY-0</t>
  </si>
  <si>
    <t>Total Revenue</t>
  </si>
  <si>
    <t>IQ_FY-1</t>
  </si>
  <si>
    <t>IQ_FY-2</t>
  </si>
  <si>
    <t>IQ_FY-3</t>
  </si>
  <si>
    <t>IQ_FY-4</t>
  </si>
  <si>
    <t>IQ_FY-5</t>
  </si>
  <si>
    <t>IQ_FY-6</t>
  </si>
  <si>
    <t>IQ_FY-7</t>
  </si>
  <si>
    <t>IQ_FY-8</t>
  </si>
  <si>
    <t>IQ_FY-9</t>
  </si>
  <si>
    <t>IQ_FY-10</t>
  </si>
  <si>
    <t>ebit</t>
  </si>
  <si>
    <t>Operating Income (EBIT)</t>
  </si>
  <si>
    <t>ebitda</t>
  </si>
  <si>
    <t>EBITDA</t>
  </si>
  <si>
    <t>net_income</t>
  </si>
  <si>
    <t>Net Income</t>
  </si>
  <si>
    <t>interest_expense</t>
  </si>
  <si>
    <t>Interest Expense</t>
  </si>
  <si>
    <t>d_a</t>
  </si>
  <si>
    <t>Depreciation &amp; Amortization (from Cash Flow)</t>
  </si>
  <si>
    <t>r_and_d_expense</t>
  </si>
  <si>
    <t>R&amp;D Expense</t>
  </si>
  <si>
    <t>capex</t>
  </si>
  <si>
    <t>Capital Expenditures</t>
  </si>
  <si>
    <t>operating_lease_expense</t>
  </si>
  <si>
    <t>Operating Lease Payments</t>
  </si>
  <si>
    <t>earnings_before_tax</t>
  </si>
  <si>
    <t>Earnings Before Tax (excl unusual items)</t>
  </si>
  <si>
    <t>total_tax_expense</t>
  </si>
  <si>
    <t>Income Tax Expense</t>
  </si>
  <si>
    <t>INCOME STATEMENT (Quarterly — for LTM)</t>
  </si>
  <si>
    <t>IQ_FQ-0</t>
  </si>
  <si>
    <t>IQ_FQ-1</t>
  </si>
  <si>
    <t>IQ_FQ-2</t>
  </si>
  <si>
    <t>IQ_FQ-3</t>
  </si>
  <si>
    <t>IQ_FQ-4</t>
  </si>
  <si>
    <t>IQ_FQ-5</t>
  </si>
  <si>
    <t>IQ_FQ-6</t>
  </si>
  <si>
    <t>IQ_FQ-7</t>
  </si>
  <si>
    <t>BALANCE SHEET (Annual)</t>
  </si>
  <si>
    <t>cash_and_marketable_securities</t>
  </si>
  <si>
    <t>Cash &amp; Equivalents</t>
  </si>
  <si>
    <t>bv_equity</t>
  </si>
  <si>
    <t>Total Stockholders' Equity</t>
  </si>
  <si>
    <t>bv_debt</t>
  </si>
  <si>
    <t>Total Debt</t>
  </si>
  <si>
    <t>shares_outstanding</t>
  </si>
  <si>
    <t>Total Shares Outstanding (Filing Date)</t>
  </si>
  <si>
    <t>cross_holdings</t>
  </si>
  <si>
    <t>Long-term Investments (Cross Holdings)</t>
  </si>
  <si>
    <t>minority_interests</t>
  </si>
  <si>
    <t>Minority Interests</t>
  </si>
  <si>
    <t>BALANCE SHEET (Quarterly — latest 10-Q)</t>
  </si>
  <si>
    <t>Cash &amp; Equivalents (latest quarter)</t>
  </si>
  <si>
    <t>Total Stockholders' Equity (latest quarter)</t>
  </si>
  <si>
    <t>Total Debt (latest quarter)</t>
  </si>
  <si>
    <t>Total Shares Outstanding (Filing Date) (latest quarter)</t>
  </si>
  <si>
    <t>Long-term Investments (Cross Holdings) (latest quarter)</t>
  </si>
  <si>
    <t>Minority Interests (latest quarter)</t>
  </si>
  <si>
    <t>MARKET DATA (Current)</t>
  </si>
  <si>
    <t>stock_price</t>
  </si>
  <si>
    <t>current</t>
  </si>
  <si>
    <t>Closing Stock Price</t>
  </si>
  <si>
    <t>mv_equity</t>
  </si>
  <si>
    <t>Market Capitalization</t>
  </si>
  <si>
    <t>reporting_currency</t>
  </si>
  <si>
    <t>Filing/Reporting Currency</t>
  </si>
  <si>
    <t>primary_exchange</t>
  </si>
  <si>
    <t>Primary Exchange Listing</t>
  </si>
  <si>
    <t>effective_tax_rate_ciq</t>
  </si>
  <si>
    <t>IQ_FY</t>
  </si>
  <si>
    <t>Effective Tax Rate (CIQ, /100)</t>
  </si>
  <si>
    <t>EMPLOYEE OPTIONS (Current)</t>
  </si>
  <si>
    <t>options_outstanding</t>
  </si>
  <si>
    <t>Options Outstanding (End of Period)</t>
  </si>
  <si>
    <t>options_avg_strike</t>
  </si>
  <si>
    <t>Weighted Avg Strike Price (Outstanding)</t>
  </si>
  <si>
    <t>options_avg_maturity</t>
  </si>
  <si>
    <t>Weighted Avg Remaining Life</t>
  </si>
  <si>
    <t>OPERATING LEASE COMMITMENTS (Current)</t>
  </si>
  <si>
    <t>lease_commitment_yr1</t>
  </si>
  <si>
    <t>Op Lease Commitment Year 1</t>
  </si>
  <si>
    <t>lease_commitment_yr2</t>
  </si>
  <si>
    <t>Op Lease Commitment Year 2</t>
  </si>
  <si>
    <t>lease_commitment_yr3</t>
  </si>
  <si>
    <t>Op Lease Commitment Year 3</t>
  </si>
  <si>
    <t>lease_commitment_yr4</t>
  </si>
  <si>
    <t>Op Lease Commitment Year 4</t>
  </si>
  <si>
    <t>lease_commitment_yr5</t>
  </si>
  <si>
    <t>Op Lease Commitment Year 5</t>
  </si>
  <si>
    <t>lease_commitment_beyond</t>
  </si>
  <si>
    <t>Op Lease Commitment Beyond Year 5</t>
  </si>
  <si>
    <t>PERIOD DATES</t>
  </si>
  <si>
    <t>period_date_annual</t>
  </si>
  <si>
    <t>Most recent 10-K period end date</t>
  </si>
  <si>
    <t>period_date_quarterly</t>
  </si>
  <si>
    <t>Most recent 10-Q period end date</t>
  </si>
  <si>
    <t>row</t>
  </si>
  <si>
    <t>variable</t>
  </si>
  <si>
    <t>period</t>
  </si>
  <si>
    <t>mnemonic</t>
  </si>
  <si>
    <t>IQ_TOTAL_REV</t>
  </si>
  <si>
    <t>IQ_EBIT</t>
  </si>
  <si>
    <t>IQ_EBITDA</t>
  </si>
  <si>
    <t>IQ_NI</t>
  </si>
  <si>
    <t>IQ_INTEREST_EXP</t>
  </si>
  <si>
    <t>IQ_DA_CF</t>
  </si>
  <si>
    <t>IQ_RD_EXP</t>
  </si>
  <si>
    <t>IQ_CAPEX</t>
  </si>
  <si>
    <t>IQ_OPERATING_LEASE_PAYMENTS</t>
  </si>
  <si>
    <t>IQ_EBT_EXCL</t>
  </si>
  <si>
    <t>IQ_INC_TAX</t>
  </si>
  <si>
    <t>IQ_CASH_EQUIV</t>
  </si>
  <si>
    <t>IQ_TOTAL_EQUITY</t>
  </si>
  <si>
    <t>IQ_TOTAL_DEBT</t>
  </si>
  <si>
    <t>IQ_TOTAL_OUTSTANDING_FILING_DATE</t>
  </si>
  <si>
    <t>IQ_LT_INVEST</t>
  </si>
  <si>
    <t>IQ_MINORITY_INTEREST</t>
  </si>
  <si>
    <t>IQ_CLOSEPRICE</t>
  </si>
  <si>
    <t>IQ_MARKETCAP</t>
  </si>
  <si>
    <t>IQ_FILING_CURRENCY</t>
  </si>
  <si>
    <t>IQ_EXCHANGE</t>
  </si>
  <si>
    <t>IQ_EFFECT_TAX_RATE</t>
  </si>
  <si>
    <t>IQ_OPTIONS_END_OS</t>
  </si>
  <si>
    <t>IQ_OPTIONS_STRIKE_PRICE_OS</t>
  </si>
  <si>
    <t>IQ_OPTIONS_AVG_LIFE</t>
  </si>
  <si>
    <t>IQ_OL_COMM_CY</t>
  </si>
  <si>
    <t>IQ_OL_COMM_CY1</t>
  </si>
  <si>
    <t>IQ_OL_COMM_CY2</t>
  </si>
  <si>
    <t>IQ_OL_COMM_CY3</t>
  </si>
  <si>
    <t>IQ_OL_COMM_CY4</t>
  </si>
  <si>
    <t>IQ_OL_COMM_NEXT_FIVE</t>
  </si>
  <si>
    <t>IQ_PERIODDATE</t>
  </si>
  <si>
    <t>BAABTAVMT0NBTAFI/////wFQRQEAABhDSVEuOTkyLklRX0RBX0NGLklRX0ZRLTQBAAAACEIGAAIAAAAHMzEzLjY0MwEIAAAABQAAAAExAQAAAAstMTkwNzE2MDI4MQMAAAADMTYwAgAAAAQyMTYwBAAAAAEwBwAAAAk0LzI4LzIwMjYIAAAACjEyLzMxLzIwMjQJAAAAATBdGV9VSqXeCNPApopKpd4IGUNJUS45OTIuSVFfUkRfRVhQLklRX0ZZLTMBAAAACEIGAAIAAAAIMjA3My40NjEBCAAAAAUAAAABMQEAAAALLTIwMzk0NjA3MDIDAAAAAzE2MAIAAAADMTAwBAAAAAEwBwAAAAk0LzI4LzIwMjYIAAAACTMvMzEvMjAyMgkAAAABMFHyXlVKpd4I1Zqlikql3ggYQ0lRLjk5Mi5JUV9FQklULklRX0ZZLTEwAQAAAAhCBgACAAAABzk5Ni44ODkBCAAAAAUAAAABMQEAAAAKMTc5NTUzODU5OQMAAAADMTYwAgAAAAM0MDAEAAAAATAHAAAACTQvMjgvMjAyNggAAAAJMy8zMS8yMDE1CQAAAAEwUfJeVUql3ggc/qSKSqXeCBVDSVEuOTkyLklRX05JLklRX0ZRLTMBAAAACEIGAAIAAAAGODkuODc4AQgAAAAFAAAAATEBAAAACy0xOTM3NjY0NDkzAwAAAAMxNjACAAAAAjE1BAAAAAEwBwAAAAk0LzI4LzIwMjYIAAAACTMvMzEvMjAyNQkAAAABMF0ZX1VKpd4IdJmmikql3ggYQ0lRLjk5Mi5JUV9DQVBFWC5JUV9GUS0xAQAAAAhCBgADAAAAAABdGV9VSqXeCJznpopKpd4IF0NJUS45OTIuSVFfRUJJVC5JUV9GUS0xAQAAAAhC</t>
  </si>
  <si>
    <t>BgACAAAABzY0Mi45MjEBCAAAAAUAAAABMQEAAAALLTE5MTI2ODg0NzQDAAAAAzE2MAIAAAADNDAwBAAAAAEwBwAAAAk0LzI4LzIwMjYIAAAACTkvMzAvMjAyNQkAAAABMF0ZX1VKpd4IaHKmikql3ggaQ0lRLjk5Mi5JUV9JTkNfVEFYLklRX0ZZLTQBAAAACEIGAAIAAAAHNDYxLjE5OQEIAAAABQAAAAExAQAAAAstMjA5MTU3MDcwNgMAAAADMTYwAgAAAAI3NQQAAAABMAcAAAAJNC8yOC8yMDI2CAAAAAkzLzMxLzIwMjEJAAAAATBdGV9VSqXeCAwQpopKpd4IGENJUS45OTIuSVFfQ0FQRVguSVFfRlktNQEAAAAIQgYAAgAAAAgtNjY0LjIxNQEIAAAABQAAAAExAQAAAAstMjE0NjYxNjMyNQMAAAADMTYwAgAAAAQyMDIxBAAAAAEwBwAAAAk0LzI4LzIwMjYIAAAACTMvMzEvMjAyMAkAAAABMFHyXlVKpd4I/cGlikql3ggXQ0lRLjk5Mi5JUV9FQklULklRX0ZZLTcBAAAACEIGAAIAAAAHNzE0LjM2OQEIAAAABQAAAAExAQAAAAoxOTY3NDQ3OTI0AwAAAAMxNjACAAAAAzQwMAQAAAABMAcAAAAJNC8yOC8yMDI2CAAAAAkzLzMxLzIwMTgJAAAAATBR8l5VSqXeCBz+pIpKpd4IHENJUS45OTIuSVFfVE9UQUxfUkVWLklRX0ZZLTIBAAAACEIGAAIAAAAJNjE5NDYuODU0AQgAAAAFAAAAATEBAAAACy0xOTg5Mjg3NTEyAwAAAAMxNjACAAAAAjI4BAAAAAEwBwAAAAk0LzI4LzIwMjYIAAAACTMvMzEvMjAyMwkAAAABMFHy</t>
  </si>
  <si>
    <t>XlVKpd4ItNukikql3ggcQ0lRLjk5Mi5JUV9UT1RBTF9SRVYuSVFfRlktMQEAAAAIQgYAAgAAAAk1Njg2My43ODQBCAAAAAUAAAABMQEAAAALLTE5Mzc2NjQ4ODgDAAAAAzE2MAIAAAACMjgEAAAAATAHAAAACTQvMjgvMjAyNggAAAAJMy8zMS8yMDI0CQAAAAEwUfJeVUql3gg+v6SKSqXeCB9DSVEuOTkyLklRX0lOVEVSRVNUX0VYUC5JUV9GWS00AQAAAAhCBgACAAAACC0yNjcuMDE1AQgAAAAFAAAAATEBAAAACy0yMDkxNTcwNzA2AwAAAAMxNjACAAAAAjgyBAAAAAEwBwAAAAk0LzI4LzIwMjYIAAAACTMvMzEvMjAyMQkAAAABMFHyXlVKpd4I3nOlikql3ggfQ0lRLjk5Mi5JUV9UT1RBTF9FUVVJVFkuSVFfRlktMAEAAAAIQgYAAgAAAAg2NjU5LjkxNwEIAAAABQAAAAExAQAAAAstMTkzNzY2NDg4MAMAAAADMTYwAgAAAAQxMjc1BAAAAAEwBwAAAAk0LzI4LzIwMjYIAAAACTMvMzEvMjAyNQkAAAABMF0ZX1VKpd4IoHSnikql3ggdQ0lRLjk5Mi5JUV9UT1RBTF9ERUJULklRX0ZZLTEBAAAACEIGAAIAAAAIMzk2MS42ODkBCAAAAAUAAAABMQEAAAALLTE5Mzc2NjQ4ODgDAAAAAzE2MAIAAAAENDE3MwQAAAABMAcAAAAJNC8yOC8yMDI2CAAAAAkzLzMxLzIwMjQJAAAAATBdGV9VSqXeCKB0p4pKpd4IHUNJUS45OTIuSVFfQ0FTSF9FUVVJVi5JUV9GWS03AQAAAAhCBgACAAAACDE4NDguMDE3AQgAAAAFAAAAATEB</t>
  </si>
  <si>
    <t>AAAACjE5Njc0NDc5MjQDAAAAAzE2MAIAAAAEMTA5NgQAAAABMAcAAAAJNC8yOC8yMDI2CAAAAAkzLzMxLzIwMTgJAAAAATBdGV9VSqXeCIpNp4pKpd4IG0NJUS45OTIuSVFfRUJUX0VYQ0wuSVFfRlEtNwEAAAAIQgYAAgAAAAczMTIuMTQ0AQgAAAAFAAAAATEBAAAACy0xOTM3NjY0NTAwAwAAAAMxNjACAAAAATQEAAAAATAHAAAACTQvMjgvMjAyNggAAAAJMy8zMS8yMDI0CQAAAAEwXRlfVUql3ggFJqeKSqXeCBhDSVEuOTkyLklRX0NBUEVYLklRX0ZRLTcBAAAACEIGAAIAAAAILTIwNC40MjMBCAAAAAUAAAABMQEAAAALLTE5Mzc2NjQ1MDADAAAAAzE2MAIAAAAEMjAyMQQAAAABMAcAAAAJNC8yOC8yMDI2CAAAAAkzLzMxLzIwMjQJAAAAATBdGV9VSqXeCAkPp4pKpd4IGENJUS45OTIuSVFfREFfQ0YuSVFfRlEtNwEAAAAIQgYAAgAAAAcyOTUuMzM2AQgAAAAFAAAAATEBAAAACy0xOTM3NjY0NTAwAwAAAAMxNjACAAAABDIxNjAEAAAAATAHAAAACTQvMjgvMjAyNggAAAAJMy8zMS8yMDI0CQAAAAEwXRlfVUql3gic56aKSqXeCBVDSVEuOTkyLklRX05JLklRX0ZRLTcBAAAACEIGAAIAAAAHMjQ3LjcyNAEIAAAABQAAAAExAQAAAAstMTkzNzY2NDUwMAMAAAADMTYwAgAAAAIxNQQAAAABMAcAAAAJNC8yOC8yMDI2CAAAAAkzLzMxLzIwMjQJAAAAATBdGV9VSqXeCHSZpopKpd4IF0NJUS45OTIuSVFfRUJJVC5J</t>
  </si>
  <si>
    <t>UV9GUS03AQAAAAhCBgACAAAABjQ3My44MQEIAAAABQAAAAExAQAAAAstMTkzNzY2NDUwMAMAAAADMTYwAgAAAAM0MDAEAAAAATAHAAAACTQvMjgvMjAyNggAAAAJMy8zMS8yMDI0CQAAAAEwXRlfVUql3ggZS6aKSqXeCBtDSVEuOTkyLklRX0lOQ19UQVguSVFfRlktMTABAAAACEIGAAIAAAAHMTM0LjM2NAEIAAAABQAAAAExAQAAAAoxNzk1NTM4NTk5AwAAAAMxNjACAAAAAjc1BAAAAAEwBwAAAAk0LzI4LzIwMjYIAAAACTMvMzEvMjAxNQkAAAABMF0ZX1VKpd4IGUumikql3ggbQ0lRLjk5Mi5JUV9FQlRfRVhDTC5JUV9GWS01AQAAAAhCBgACAAAACDEwMjkuMTc0AQgAAAAFAAAAATEBAAAACy0yMTQ2NjE2MzI1AwAAAAMxNjACAAAAATQEAAAAATAHAAAACTQvMjgvMjAyNggAAAAJMy8zMS8yMDIwCQAAAAEwXRlfVUql3ggMEKaKSqXeCCtDSVEuOTkyLklRX09QRVJBVElOR19MRUFTRV9QQVlNRU5UUy5JUV9GWS0wAQAAAAhCBgACAAAACC0xMjEuMDcxAQgAAAAFAAAAATEBAAAACy0xOTM3NjY0ODgwAwAAAAMxNjACAAAABTQ4MzU5BAAAAAEwBwAAAAk0LzI4LzIwMjYIAAAACTMvMzEvMjAyNQkAAAABMFHyXlVKpd4I7+ilikql3ggZQ0lRLjk5Mi5JUV9SRF9FWFAuSVFfRlktNgEAAAAIQgYAAgAAAAgxMjY2LjM0MQEIAAAABQAAAAExAQAAAAoyMDQwMTU1ODMzAwAAAAMxNjACAAAAAzEwMAQAAAABMAcAAAAJ</t>
  </si>
  <si>
    <t>NC8yOC8yMDI2CAAAAAkzLzMxLzIwMTkJAAAAATBR8l5VSqXeCNWapYpKpd4IGENJUS45OTIuSVFfREFfQ0YuSVFfRlktMQEAAAAIQgYAAgAAAAgxMTg1LjcwOQEIAAAABQAAAAExAQAAAAstMTkzNzY2NDg4OAMAAAADMTYwAgAAAAQyMTYwBAAAAAEwBwAAAAk0LzI4LzIwMjYIAAAACTMvMzEvMjAyNAkAAAABMFHyXlVKpd4I3nOlikql3ggVQ0lRLjk5Mi5JUV9OSS5JUV9GWS03AQAAAAhCBgACAAAACC0xMzUuNjQzAQgAAAAFAAAAATEBAAAACjE5Njc0NDc5MjQDAAAAAzE2MAIAAAACMTUEAAAAATAHAAAACTQvMjgvMjAyNggAAAAJMy8zMS8yMDE4CQAAAAEwUfJeVUql3gipTKWKSqXeCBlDSVEuOTkyLklRX0VCSVREQS5JUV9GWS0yAQAAAAhCBgACAAAACDM0MDguNjI4AQgAAAAFAAAAATEBAAAACy0xOTg5Mjg3NTEyAwAAAAMxNjACAAAABDQwNTEEAAAAATAHAAAACTQvMjgvMjAyNggAAAAJMy8zMS8yMDIzCQAAAAEwUfJeVUql3gikJaWKSqXeCBxDSVEuOTkyLklRX1RPVEFMX1JFVi5JUV9GWS04AQAAAAhCBgACAAAACTQzMDM0LjczMQEIAAAABQAAAAExAQAAAAoxODkyMjQ1NzUyAwAAAAMxNjACAAAAAjI4BAAAAAEwBwAAAAk0LzI4LzIwMjYIAAAACTMvMzEvMjAxNwkAAAABMFHyXlVKpd4IHP6kikql3ggZQ0lRLjk5Mi5JUV9SRF9FWFAuSVFfRlktNAEAAAAIQgYAAgAAAAgxNDUzLjkxMgEIAAAABQAA</t>
  </si>
  <si>
    <t>AAExAQAAAAstMjA5MTU3MDcwNgMAAAADMTYwAgAAAAMxMDAEAAAAATAHAAAACTQvMjgvMjAyNggAAAAJMy8zMS8yMDIxCQAAAAEwUfJeVUql3gjVmqWKSqXeCBxDSVEuOTkyLklRX1RPVEFMX1JFVi5JUV9GWS02AQAAAAhCBgACAAAACTUxMDM3Ljk0MwEIAAAABQAAAAExAQAAAAoyMDQwMTU1ODMzAwAAAAMxNjACAAAAAjI4BAAAAAEwBwAAAAk0LzI4LzIwMjYIAAAACTMvMzEvMjAxOQkAAAABMFHyXlVKpd4Icuqkikql3ggdQ0lRLjk5Mi5JUV9DQVNIX0VRVUlWLklRX0ZZLTQBAAAACEIGAAIAAAAIMzA2OC4zODUBCAAAAAUAAAABMQEAAAALLTIwOTE1NzA3MDYDAAAAAzE2MAIAAAAEMTA5NgQAAAABMAcAAAAJNC8yOC8yMDI2CAAAAAkzLzMxLzIwMjEJAAAAATBdGV9VSqXeCIpNp4pKpd4IGkNJUS45OTIuSVFfSU5DX1RBWC5JUV9GWS03AQAAAAhCBgACAAAABzI3OS45NzcBCAAAAAUAAAABMQEAAAAKMTk2NzQ0NzkyNAMAAAADMTYwAgAAAAI3NQQAAAABMAcAAAAJNC8yOC8yMDI2CAAAAAkzLzMxLzIwMTgJAAAAATBdGV9VSqXeCAwQpopKpd4IF0NJUS45OTIuSVFfRUJJVC5JUV9GUS0zAQAAAAhCBgACAAAABjE3NC4xMwEIAAAABQAAAAExAQAAAAstMTkzNzY2NDQ5MwMAAAADMTYwAgAAAAM0MDAEAAAAATAHAAAACTQvMjgvMjAyNggAAAAJMy8zMS8yMDI1CQAAAAEwXRlfVUql3ggZS6aKSqXeCBdDSVEu</t>
  </si>
  <si>
    <t>OTkyLklRX0VCSVQuSVFfRlktOQEAAAAIQgYAAgAAAAc1NjYuNzU5AQgAAAAFAAAAATEBAAAACjE4NDYxNDc5ODMDAAAAAzE2MAIAAAADNDAwBAAAAAEwBwAAAAk0LzI4LzIwMjYIAAAACTMvMzEvMjAxNgkAAAABMFHyXlVKpd4IHP6kikql3ggbQ0lRLjk5Mi5JUV9FQlRfRVhDTC5JUV9GWS0wAQAAAAhCBgACAAAACDE0ODQuNDY2AQgAAAAFAAAAATEBAAAACy0xOTM3NjY0ODgwAwAAAAMxNjACAAAAATQEAAAAATAHAAAACTQvMjgvMjAyNggAAAAJMy8zMS8yMDI1CQAAAAEwXRlfVUql3ggMEKaKSqXeCBpDSVEuOTkyLklRX0VCSVREQS5JUV9GWS0xMAEAAAAIQgYAAgAAAAgxNDE0LjE4NwEIAAAABQAAAAExAQAAAAoxNzk1NTM4NTk5AwAAAAMxNjACAAAABDQwNTEEAAAAATAHAAAACTQvMjgvMjAyNggAAAAJMy8zMS8yMDE1CQAAAAEwUfJeVUql3gikJaWKSqXeCBxDSVEuOTkyLklRX1RPVEFMX1JFVi5JUV9GUS02AQAAAAhCBgACAAAACTE1NDQ3LjA1NgEIAAAABQAAAAExAQAAAAstMTk4MjgwNzg5MQMAAAADMTYwAgAAAAIyOAQAAAABMAcAAAAJNC8yOC8yMDI2CAAAAAk2LzMwLzIwMjQJAAAAATBdGV9VSqXeCBlLpopKpd4IGUNJUS45OTIuSVFfRUJJVERBLklRX0ZRLTQBAAAACEIGAAIAAAAHOTcwLjQ2MwEIAAAABQAAAAExAQAAAAstMTkwNzE2MDI4MQMAAAADMTYwAgAAAAQ0MDUxBAAAAAEwBwAAAAk0</t>
  </si>
  <si>
    <t>LzI4LzIwMjYIAAAACjEyLzMxLzIwMjQJAAAAATBdGV9VSqXeCGhypopKpd4IGkNJUS45OTIuSVFfSU5DX1RBWC5JUV9GUS0zAQAAAAhCBgACAAAABTUzLjI4AQgAAAAFAAAAATEBAAAACy0xOTM3NjY0NDkzAwAAAAMxNjACAAAAAjc1BAAAAAEwBwAAAAk0LzI4LzIwMjYIAAAACTMvMzEvMjAyNQkAAAABMF0ZX1VKpd4IBSanikql3ggfQ0lRLjk5Mi5JUV9JTlRFUkVTVF9FWFAuSVFfRlEtMwEAAAAIQgYAAgAAAActODIuODA3AQgAAAAFAAAAATEBAAAACy0xOTM3NjY0NDkzAwAAAAMxNjACAAAAAjgyBAAAAAEwBwAAAAk0LzI4LzIwMjYIAAAACTMvMzEvMjAyNQkAAAABMF0ZX1VKpd4I08Cmikql3ggbQ0lRLjk5Mi5JUV9FQlRfRVhDTC5JUV9GWS00AQAAAAhCBgACAAAACDE2NjQuMTk0AQgAAAAFAAAAATEBAAAACy0yMDkxNTcwNzA2AwAAAAMxNjACAAAAATQEAAAAATAHAAAACTQvMjgvMjAyNggAAAAJMy8zMS8yMDIxCQAAAAEwXRlfVUql3ggMEKaKSqXeCBVDSVEuOTkyLklRX05JLklRX0ZZLTYBAAAACEIGAAIAAAAHNjUwLjEwMwEIAAAABQAAAAExAQAAAAoyMDQwMTU1ODMzAwAAAAMxNjACAAAAAjE1BAAAAAEwBwAAAAk0LzI4LzIwMjYIAAAACTMvMzEvMjAxOQkAAAABMFHyXlVKpd4IqUylikql3ggaQ0lRLjk5Mi5JUV9JTkNfVEFYLklRX0ZZLTgBAAAACEIGAAIAAAAHLTQwLjUxNAEIAAAABQAAAAEx</t>
  </si>
  <si>
    <t>AQAAAAoxODkyMjQ1NzUyAwAAAAMxNjACAAAAAjc1BAAAAAEwBwAAAAk0LzI4LzIwMjYIAAAACTMvMzEvMjAxNwkAAAABMF0ZX1VKpd4IGUumikql3ggbQ0lRLjk5Mi5JUV9FQlRfRVhDTC5JUV9GUS00AQAAAAhCBgACAAAABzUxNi45OTEBCAAAAAUAAAABMQEAAAALLTE5MDcxNjAyODEDAAAAAzE2MAIAAAABNAQAAAABMAcAAAAJNC8yOC8yMDI2CAAAAAoxMi8zMS8yMDI0CQAAAAEwXRlfVUql3ggFJqeKSqXeCBtDSVEuOTkyLklRX0VCVF9FWENMLklRX0ZRLTIBAAAACEIGAAIAAAADNjIyAQgAAAAFAAAAATEBAAAACy0xOTMxMjY2MjQ1AwAAAAMxNjACAAAAATQEAAAAATAHAAAACTQvMjgvMjAyNggAAAAJNi8zMC8yMDI1CQAAAAEwXRlfVUql3ggFJqeKSqXeCBVDSVEuOTkyLklRX05JLklRX0ZRLTIBAAAACEIGAAIAAAADNTA1AQgAAAAFAAAAATEBAAAACy0xOTMxMjY2MjQ1AwAAAAMxNjACAAAAAjE1BAAAAAEwBwAAAAk0LzI4LzIwMjYIAAAACTYvMzAvMjAyNQkAAAABMF0ZX1VKpd4IdJmmikql3ggfQ0lRLjk5Mi5JUV9JTlRFUkVTVF9FWFAuSVFfRlktNwEAAAAIQgYAAgAAAAgtMTg3LjMwNAEIAAAABQAAAAExAQAAAAoxOTY3NDQ3OTI0AwAAAAMxNjACAAAAAjgyBAAAAAEwBwAAAAk0LzI4LzIwMjYIAAAACTMvMzEvMjAxOAkAAAABMFHyXlVKpd4IqUylikql3ggXQ0lRLjk5Mi5JUV9FQklULklRX0ZZ</t>
  </si>
  <si>
    <t>LTgBAAAACEIGAAIAAAAHNTgxLjc0MQEIAAAABQAAAAExAQAAAAoxODkyMjQ1NzUyAwAAAAMxNjACAAAAAzQwMAQAAAABMAcAAAAJNC8yOC8yMDI2CAAAAAkzLzMxLzIwMTcJAAAAATBR8l5VSqXeCBz+pIpKpd4IHUNJUS45OTIuSVFfQ0FTSF9FUVVJVi5JUV9GWS0wAQAAAAhCBgACAAAACDQ3MjguMTI0AQgAAAAFAAAAATEBAAAACy0xOTM3NjY0ODgwAwAAAAMxNjACAAAABDEwOTYEAAAAATAHAAAACTQvMjgvMjAyNggAAAAJMy8zMS8yMDI1CQAAAAEwXRlfVUql3giKTaeKSqXeCBVDSVEuOTkyLklRX05JLklRX0ZZLTABAAAACEIGAAIAAAAIMTM4NC40NDUBCAAAAAUAAAABMQEAAAALLTE5Mzc2NjQ4ODADAAAAAzE2MAIAAAACMTUEAAAAATAHAAAACTQvMjgvMjAyNggAAAAJMy8zMS8yMDI1CQAAAAEwUfJeVUql3gipTKWKSqXeCBhDSVEuOTkyLklRX0NBUEVYLklRX0ZZLTMBAAAACEIGAAIAAAAILTk5OC4zMDQBCAAAAAUAAAABMQEAAAALLTIwMzk0NjA3MDIDAAAAAzE2MAIAAAAEMjAyMQQAAAABMAcAAAAJNC8yOC8yMDI2CAAAAAkzLzMxLzIwMjIJAAAAATBR8l5VSqXeCO/opYpKpd4IHENJUS45OTIuSVFfVE9UQUxfUkVWLklRX0ZZLTABAAAACEIGAAIAAAAJNjkwNzYuOTY4AQgAAAAFAAAAATEBAAAACy0xOTM3NjY0ODgwAwAAAAMxNjACAAAAAjI4BAAAAAEwBwAAAAk0LzI4LzIwMjYIAAAACTMvMzEv</t>
  </si>
  <si>
    <t>MjAyNQkAAAABMFHyXlVKpd4Icuqkikql3ggZQ0lRLjk5Mi5JUV9FQklUREEuSVFfRlEtNgEAAAAIQgYAAgAAAAc3NTEuNjk2AQgAAAAFAAAAATEBAAAACy0xOTgyODA3ODkxAwAAAAMxNjACAAAABDQwNTEEAAAAATAHAAAACTQvMjgvMjAyNggAAAAJNi8zMC8yMDI0CQAAAAEwXRlfVUql3gh0maaKSqXeCBdDSVEuOTkyLklRX0VCSVQuSVFfRlktNAEAAAAIQgYAAgAAAAgyNDQxLjc2MQEIAAAABQAAAAExAQAAAAstMjA5MTU3MDcwNgMAAAADMTYwAgAAAAM0MDAEAAAAATAHAAAACTQvMjgvMjAyNggAAAAJMy8zMS8yMDIxCQAAAAEwUfJeVUql3ghy6qSKSqXeCCtDSVEuOTkyLklRX09QRVJBVElOR19MRUFTRV9QQVlNRU5UUy5JUV9GWS01AQAAAAhCBgACAAAACC0xMzAuOTkzAQgAAAAFAAAAATEBAAAACy0yMTQ2NjE2MzI1AwAAAAMxNjACAAAABTQ4MzU5BAAAAAEwBwAAAAk0LzI4LzIwMjYIAAAACTMvMzEvMjAyMAkAAAABMFHyXlVKpd4I7+ilikql3ggXQ0lRLjk5Mi5JUV9FQklULklRX0ZZLTIBAAAACEIGAAIAAAAIMjQ0NC4yNTYBCAAAAAUAAAABMQEAAAALLTE5ODkyODc1MTIDAAAAAzE2MAIAAAADNDAwBAAAAAEwBwAAAAk0LzI4LzIwMjYIAAAACTMvMzEvMjAyMwkAAAABMFHyXlVKpd4IHP6kikql3ggrQ0lRLjk5Mi5JUV9PUEVSQVRJTkdfTEVBU0VfUEFZTUVOVFMuSVFfRlEtMwEAAAAIQgYAAgAA</t>
  </si>
  <si>
    <t>AActMjkuMTM1AQgAAAAFAAAAATEBAAAACy0xOTM3NjY0NDkzAwAAAAMxNjACAAAABTQ4MzU5BAAAAAEwBwAAAAk0LzI4LzIwMjYIAAAACTMvMzEvMjAyNQkAAAABMF0ZX1VKpd4IBSanikql3ggYQ0lRLjk5Mi5JUV9EQV9DRi5JUV9GWS01AQAAAAhCBgACAAAABzgxNy43OTgBCAAAAAUAAAABMQEAAAALLTIxNDY2MTYzMjUDAAAAAzE2MAIAAAAEMjE2MAQAAAABMAcAAAAJNC8yOC8yMDI2CAAAAAkzLzMxLzIwMjAJAAAAATBR8l5VSqXeCNWapYpKpd4IG0NJUS45OTIuSVFfRUJUX0VYQ0wuSVFfRlktNwEAAAAIQgYAAgAAAAYyMDMuMDQBCAAAAAUAAAABMQEAAAAKMTk2NzQ0NzkyNAMAAAADMTYwAgAAAAE0BAAAAAEwBwAAAAk0LzI4LzIwMjYIAAAACTMvMzEvMjAxOAkAAAABMF0ZX1VKpd4IDBCmikql3ggVQ0lRLjk5Mi5JUV9OSS5JUV9GWS05AQAAAAhCBgACAAAACC0xMjguMTQ2AQgAAAAFAAAAATEBAAAACjE4NDYxNDc5ODMDAAAAAzE2MAIAAAACMTUEAAAAATAHAAAACTQvMjgvMjAyNggAAAAJMy8zMS8yMDE2CQAAAAEwUfJeVUql3gipTKWKSqXeCB1DSVEuOTkyLklRX0NBU0hfRVFVSVYuSVFfRlktOAEAAAAIQgYAAgAAAAgyNzU0LjU5OQEIAAAABQAAAAExAQAAAAoxODkyMjQ1NzUyAwAAAAMxNjACAAAABDEwOTYEAAAAATAHAAAACTQvMjgvMjAyNggAAAAJMy8zMS8yMDE3CQAAAAEwXRlfVUql3giK</t>
  </si>
  <si>
    <t>TaeKSqXeCB1DSVEuOTkyLklRX1RPVEFMX0RFQlQuSVFfRlktMAEAAAAIQgYAAgAAAAg1NzMyLjk1OAEIAAAABQAAAAExAQAAAAstMTkzNzY2NDg4MAMAAAADMTYwAgAAAAQ0MTczBAAAAAEwBwAAAAk0LzI4LzIwMjYIAAAACTMvMzEvMjAyNQkAAAABMF0ZX1VKpd4IoHSnikql3ggdQ0lRLjk5Mi5JUV9DQVNIX0VRVUlWLklRX0ZZLTYBAAAACEIGAAIAAAAIMjY2Mi44NTQBCAAAAAUAAAABMQEAAAAKMjA0MDE1NTgzMwMAAAADMTYwAgAAAAQxMDk2BAAAAAEwBwAAAAk0LzI4LzIwMjYIAAAACTMvMzEvMjAxOQkAAAABMF0ZX1VKpd4Iik2nikql3ggbQ0lRLjk5Mi5JUV9FQlRfRVhDTC5JUV9GUS02AQAAAAhCBgACAAAABzMxMi45OTUBCAAAAAUAAAABMQEAAAALLTE5ODI4MDc4OTEDAAAAAzE2MAIAAAABNAQAAAABMAcAAAAJNC8yOC8yMDI2CAAAAAk2LzMwLzIwMjQJAAAAATBdGV9VSqXeCIpNp4pKpd4IGENJUS45OTIuSVFfQ0FQRVguSVFfRlEtNgEAAAAIQgYAAgAAAAgtMTU0LjUzMwEIAAAABQAAAAExAQAAAAstMTk4MjgwNzg5MQMAAAADMTYwAgAAAAQyMDIxBAAAAAEwBwAAAAk0LzI4LzIwMjYIAAAACTYvMzAvMjAyNAkAAAABMF0ZX1VKpd4ICQ+nikql3ggYQ0lRLjk5Mi5JUV9EQV9DRi5JUV9GUS02AQAAAAhCBgACAAAABzI4Ni4xNDkBCAAAAAUAAAABMQEAAAALLTE5ODI4MDc4OTEDAAAAAzE2MAIA</t>
  </si>
  <si>
    <t>AAAEMjE2MAQAAAABMAcAAAAJNC8yOC8yMDI2CAAAAAk2LzMwLzIwMjQJAAAAATBdGV9VSqXeCNPApopKpd4IFUNJUS45OTIuSVFfTkkuSVFfRlEtNgEAAAAIQgYAAgAAAAcyNDMuMzY1AQgAAAAFAAAAATEBAAAACy0xOTgyODA3ODkxAwAAAAMxNjACAAAAAjE1BAAAAAEwBwAAAAk0LzI4LzIwMjYIAAAACTYvMzAvMjAyNAkAAAABMF0ZX1VKpd4IdJmmikql3ggXQ0lRLjk5Mi5JUV9FQklULklRX0ZRLTYBAAAACEIGAAIAAAAHNDk0LjQ2OQEIAAAABQAAAAExAQAAAAstMTk4MjgwNzg5MQMAAAADMTYwAgAAAAM0MDAEAAAAATAHAAAACTQvMjgvMjAyNggAAAAJNi8zMC8yMDI0CQAAAAEwXRlfVUql3ghocqaKSqXeCBpDSVEuOTkyLklRX0lOQ19UQVguSVFfRlktOQEAAAAIQgYAAgAAAAgtMTMyLjI3NgEIAAAABQAAAAExAQAAAAoxODQ2MTQ3OTgzAwAAAAMxNjACAAAAAjc1BAAAAAEwBwAAAAk0LzI4LzIwMjYIAAAACTMvMzEvMjAxNgkAAAABMF0ZX1VKpd4IGUumikql3ggZQ0lRLjk5Mi5JUV9DQVBFWC5JUV9GWS0xMAEAAAAIQgYAAgAAAAgtNjA2LjEwNQEIAAAABQAAAAExAQAAAAoxNzk1NTM4NTk5AwAAAAMxNjACAAAABDIwMjEEAAAAATAHAAAACTQvMjgvMjAyNggAAAAJMy8zMS8yMDE1CQAAAAEwUfJeVUql3gj9waWKSqXeCBlDSVEuOTkyLklRX1JEX0VYUC5JUV9GWS01AQAAAAhCBgACAAAACDEzMzUu</t>
  </si>
  <si>
    <t>NzQ0AQgAAAAFAAAAATEBAAAACy0yMTQ2NjE2MzI1AwAAAAMxNjACAAAAAzEwMAQAAAABMAcAAAAJNC8yOC8yMDI2CAAAAAkzLzMxLzIwMjAJAAAAATBR8l5VSqXeCNWapYpKpd4IGENJUS45OTIuSVFfREFfQ0YuSVFfRlktMAEAAAAIQgYAAgAAAAgxMTY4LjgwNgEIAAAABQAAAAExAQAAAAstMTkzNzY2NDg4MAMAAAADMTYwAgAAAAQyMTYwBAAAAAEwBwAAAAk0LzI4LzIwMjYIAAAACTMvMzEvMjAyNQkAAAABMFHyXlVKpd4I3nOlikql3ggZQ0lRLjk5Mi5JUV9FQklUREEuSVFfRlktMQEAAAAIQgYAAgAAAAgzMDI0LjYzMgEIAAAABQAAAAExAQAAAAstMTkzNzY2NDg4OAMAAAADMTYwAgAAAAQ0MDUxBAAAAAEwBwAAAAk0LzI4LzIwMjYIAAAACTMvMzEvMjAyNAkAAAABMFHyXlVKpd4IpCWlikql3ggcQ0lRLjk5Mi5JUV9UT1RBTF9SRVYuSVFfRlktNwEAAAAIQgYAAgAAAAk0NTM0OS45NDMBCAAAAAUAAAABMQEAAAAKMTk2NzQ0NzkyNAMAAAADMTYwAgAAAAIyOAQAAAABMAcAAAAJNC8yOC8yMDI2CAAAAAkzLzMxLzIwMTgJAAAAATBR8l5VSqXeCHLqpIpKpd4IG0NJUS45OTIuSVFfRUJUX0VYQ0wuSVFfRlktMwEAAAAIQgYAAgAAAAgyNzY5Ljk5NgEIAAAABQAAAAExAQAAAAstMjAzOTQ2MDcwMgMAAAADMTYwAgAAAAE0BAAAAAEwBwAAAAk0LzI4LzIwMjYIAAAACTMvMzEvMjAyMgkAAAABMF0ZX1VKpd4I</t>
  </si>
  <si>
    <t>7+ilikql3ggVQ0lRLjk5Mi5JUV9OSS5JUV9GWS01AQAAAAhCBgACAAAABzcxOC44NTEBCAAAAAUAAAABMQEAAAALLTIxNDY2MTYzMjUDAAAAAzE2MAIAAAACMTUEAAAAATAHAAAACTQvMjgvMjAyNggAAAAJMy8zMS8yMDIwCQAAAAEwUfJeVUql3gipTKWKSqXeCBhDSVEuOTkyLklRX0NBUEVYLklRX0ZZLTcBAAAACEIGAAIAAAAILTUwMy4yOTYBCAAAAAUAAAABMQEAAAAKMTk2NzQ0NzkyNAMAAAADMTYwAgAAAAQyMDIxBAAAAAEwBwAAAAk0LzI4LzIwMjYIAAAACTMvMzEvMjAxOAkAAAABMFHyXlVKpd4I7+ilikql3ggZQ0lRLjk5Mi5JUV9SRF9FWFAuSVFfRlktMgEAAAAIQgYAAgAAAAgyMTk1LjMyOQEIAAAABQAAAAExAQAAAAstMTk4OTI4NzUxMgMAAAADMTYwAgAAAAMxMDAEAAAAATAHAAAACTQvMjgvMjAyNggAAAAJMy8zMS8yMDIzCQAAAAEwUfJeVUql3gj9waWKSqXeCBdDSVEuOTkyLklRX0VCSVQuSVFfRlEtMgEAAAAIQgYAAgAAAAM3ODUBCAAAAAUAAAABMQEAAAALLTE5MzEyNjYyNDUDAAAAAzE2MAIAAAADNDAwBAAAAAEwBwAAAAk0LzI4LzIwMjYIAAAACTYvMzAvMjAyNQkAAAABMF0ZX1VKpd4IaHKmikql3ggZQ0lRLjk5Mi5JUV9SRF9FWFAuSVFfRlktMQEAAAAIQgYAAgAAAAgyMDI3LjUzMgEIAAAABQAAAAExAQAAAAstMTkzNzY2NDg4OAMAAAADMTYwAgAAAAMxMDAEAAAAATAHAAAACTQv</t>
  </si>
  <si>
    <t>MjgvMjAyNggAAAAJMy8zMS8yMDI0CQAAAAEwUfJeVUql3gjec6WKSqXeCBxDSVEuOTkyLklRX1RPVEFMX1JFVi5JUV9GWS0zAQAAAAhCBgACAAAACTcxNjE4LjIxNgEIAAAABQAAAAExAQAAAAstMjAzOTQ2MDcwMgMAAAADMTYwAgAAAAIyOAQAAAABMAcAAAAJNC8yOC8yMDI2CAAAAAkzLzMxLzIwMjIJAAAAATBR8l5VSqXeCLTbpIpKpd4IHUNJUS45OTIuSVFfQ0FTSF9FUVVJVi5JUV9GWS0xAQAAAAhCBgACAAAACDM1NTkuODMxAQgAAAAFAAAAATEBAAAACy0xOTM3NjY0ODg4AwAAAAMxNjACAAAABDEwOTYEAAAAATAHAAAACTQvMjgvMjAyNggAAAAJMy8zMS8yMDI0CQAAAAEwXRlfVUql3giKTaeKSqXeCB9DSVEuOTkyLklRX0lOVEVSRVNUX0VYUC5JUV9GWS02AQAAAAhCBgACAAAACC0yMzcuMzk4AQgAAAAFAAAAATEBAAAACjIwNDAxNTU4MzMDAAAAAzE2MAIAAAACODIEAAAAATAHAAAACTQvMjgvMjAyNggAAAAJMy8zMS8yMDE5CQAAAAEwUfJeVUql3gipTKWKSqXeCB9DSVEuOTkyLklRX0lOVEVSRVNUX0VYUC5JUV9GWS01AQAAAAhCBgACAAAACC0yNjEuNzAyAQgAAAAFAAAAATEBAAAACy0yMTQ2NjE2MzI1AwAAAAMxNjACAAAAAjgyBAAAAAEwBwAAAAk0LzI4LzIwMjYIAAAACTMvMzEvMjAyMAkAAAABMFHyXlVKpd4I3nOlikql3ggYQ0lRLjk5Mi5JUV9DQVBFWC5JUV9GWS0yAQAAAAhCBgACAAAA</t>
  </si>
  <si>
    <t>CS0xMTE3LjA2MgEIAAAABQAAAAExAQAAAAstMTk4OTI4NzUxMgMAAAADMTYwAgAAAAQyMDIxBAAAAAEwBwAAAAk0LzI4LzIwMjYIAAAACTMvMzEvMjAyMwkAAAABMFHyXlVKpd4I/cGlikql3ggaQ0lRLjk5Mi5JUV9JTkNfVEFYLklRX0ZRLTIBAAAACEIGAAIAAAACODQBCAAAAAUAAAABMQEAAAALLTE5MzEyNjYyNDUDAAAAAzE2MAIAAAACNzUEAAAAATAHAAAACTQvMjgvMjAyNggAAAAJNi8zMC8yMDI1CQAAAAEwXRlfVUql3giKTaeKSqXeCB9DSVEuOTkyLklRX0lOVEVSRVNUX0VYUC5JUV9GUS0wAQAAAAhCBgACAAAABy04MC44NjEBCAAAAAUAAAABMQEAAAALLTE5MDcxNjAyNzQDAAAAAzE2MAIAAAACODIEAAAAATAHAAAACTQvMjgvMjAyNggAAAAKMTIvMzEvMjAyNQkAAAABMF0ZX1VKpd4IdJmmikql3ggYQ0lRLjk5Mi5JUV9DQVBFWC5JUV9GWS05AQAAAAhCBgACAAAACC02MDMuODE2AQgAAAAFAAAAATEBAAAACjE4NDYxNDc5ODMDAAAAAzE2MAIAAAAEMjAyMQQAAAABMAcAAAAJNC8yOC8yMDI2CAAAAAkzLzMxLzIwMTYJAAAAATBR8l5VSqXeCP3BpYpKpd4IFUNJUS45OTIuSVFfTkkuSVFfRlktMQEAAAAIQgYAAgAAAAgxMDEwLjUwNgEIAAAABQAAAAExAQAAAAstMTkzNzY2NDg4OAMAAAADMTYwAgAAAAIxNQQAAAABMAcAAAAJNC8yOC8yMDI2CAAAAAkzLzMxLzIwMjQJAAAAATBR8l5VSqXeCKQl</t>
  </si>
  <si>
    <t>pYpKpd4IK0NJUS45OTIuSVFfT1BFUkFUSU5HX0xFQVNFX1BBWU1FTlRTLklRX0ZRLTYBAAAACEIGAAIAAAAHLTM0LjY3MQEIAAAABQAAAAExAQAAAAstMTk4MjgwNzg5MQMAAAADMTYwAgAAAAU0ODM1OQQAAAABMAcAAAAJNC8yOC8yMDI2CAAAAAk2LzMwLzIwMjQJAAAAATBdGV9VSqXeCAUmp4pKpd4IHENJUS45OTIuSVFfVE9UQUxfUkVWLklRX0ZRLTQBAAAACEIGAAIAAAAIMTg3OTYuMjgBCAAAAAUAAAABMQEAAAALLTE5MDcxNjAyODEDAAAAAzE2MAIAAAACMjgEAAAAATAHAAAACTQvMjgvMjAyNggAAAAKMTIvMzEvMjAyNAkAAAABMF0ZX1VKpd4IGUumikql3ggbQ0lRLjk5Mi5JUV9FQlRfRVhDTC5JUV9GWS05AQAAAAhCBgACAAAABzMxMS44MjgBCAAAAAUAAAABMQEAAAAKMTg0NjE0Nzk4MwMAAAADMTYwAgAAAAE0BAAAAAEwBwAAAAk0LzI4LzIwMjYIAAAACTMvMzEvMjAxNgkAAAABMF0ZX1VKpd4IDBCmikql3ggeQ0lRLjk5Mi5JUV9DQVNIX0VRVUlWLklRX0ZZLTEwAQAAAAhCBgACAAAACDI4NTUuMjIzAQgAAAAFAAAAATEBAAAACjE3OTU1Mzg1OTkDAAAAAzE2MAIAAAAEMTA5NgQAAAABMAcAAAAJNC8yOC8yMDI2CAAAAAkzLzMxLzIwMTUJAAAAATBdGV9VSqXeCKB0p4pKpd4IF0NJUS45OTIuSVFfRUJJVC5JUV9GWS0wAQAAAAhCBgACAAAACDIwMDYuOTAyAQgAAAAFAAAAATEBAAAACy0xOTM3</t>
  </si>
  <si>
    <t>NjY0ODgwAwAAAAMxNjACAAAAAzQwMAQAAAABMAcAAAAJNC8yOC8yMDI2CAAAAAkzLzMxLzIwMjUJAAAAATBR8l5VSqXeCBz+pIpKpd4IIENJUS45OTIuSVFfVE9UQUxfRVFVSVRZLklRX0ZZLTEwAQAAAAhCBgACAAAACDQxMDYuMTIxAQgAAAAFAAAAATEBAAAACjE3OTU1Mzg1OTkDAAAAAzE2MAIAAAAEMTI3NQQAAAABMAcAAAAJNC8yOC8yMDI2CAAAAAkzLzMxLzIwMTUJAAAAATBdGV9VSqXeCKB0p4pKpd4IHUNJUS45OTIuSVFfQ0FTSF9FUVVJVi5JUV9GWS01AQAAAAhCBgACAAAABzM1NTAuOTkBCAAAAAUAAAABMQEAAAALLTIxNDY2MTYzMjUDAAAAAzE2MAIAAAAEMTA5NgQAAAABMAcAAAAJNC8yOC8yMDI2CAAAAAkzLzMxLzIwMjAJAAAAATBdGV9VSqXeCIpNp4pKpd4IG0NJUS45OTIuSVFfRUJUX0VYQ0wuSVFfRlEtNQEAAAAIQgYAAgAAAAc0NzMuMTg2AQgAAAAFAAAAATEBAAAACy0xOTEyNjg4NDkyAwAAAAMxNjACAAAAATQEAAAAATAHAAAACTQvMjgvMjAyNggAAAAJOS8zMC8yMDI0CQAAAAEwXRlfVUql3ggFJqeKSqXeCBhDSVEuOTkyLklRX0NBUEVYLklRX0ZRLTUBAAAACEIGAAIAAAAILTE1Mi4yMzQBCAAAAAUAAAABMQEAAAALLTE5MTI2ODg0OTIDAAAAAzE2MAIAAAAEMjAyMQQAAAABMAcAAAAJNC8yOC8yMDI2CAAAAAk5LzMwLzIwMjQJAAAAATBdGV9VSqXeCJznpopKpd4IGENJUS45OTIu</t>
  </si>
  <si>
    <t>SVFfREFfQ0YuSVFfRlEtNQEAAAAIQgYAAgAAAAcyOTUuMjQ2AQgAAAAFAAAAATEBAAAACy0xOTEyNjg4NDkyAwAAAAMxNjACAAAABDIxNjAEAAAAATAHAAAACTQvMjgvMjAyNggAAAAJOS8zMC8yMDI0CQAAAAEwXRlfVUql3gjTwKaKSqXeCBVDSVEuOTkyLklRX05JLklRX0ZRLTUBAAAACEIGAAIAAAAHMzU4LjUzMgEIAAAABQAAAAExAQAAAAstMTkxMjY4ODQ5MgMAAAADMTYwAgAAAAIxNQQAAAABMAcAAAAJNC8yOC8yMDI2CAAAAAk5LzMwLzIwMjQJAAAAATBdGV9VSqXeCHSZpopKpd4IF0NJUS45OTIuSVFfRUJJVC5JUV9GUS01AQAAAAhCBgACAAAABzY1MC41OTkBCAAAAAUAAAABMQEAAAALLTE5MTI2ODg0OTIDAAAAAzE2MAIAAAADNDAwBAAAAAEwBwAAAAk0LzI4LzIwMjYIAAAACTkvMzAvMjAyNAkAAAABMF0ZX1VKpd4IaHKmikql3gggQ0lRLjk5Mi5JUV9JTlRFUkVTVF9FWFAuSVFfRlktMTABAAAACEIGAAIAAAAHLTExNy4yNQEIAAAABQAAAAExAQAAAAoxNzk1NTM4NTk5AwAAAAMxNjACAAAAAjgyBAAAAAEwBwAAAAk0LzI4LzIwMjYIAAAACTMvMzEvMjAxNQkAAAABMFHyXlVKpd4I3nOlikql3ggZQ0lRLjk5Mi5JUV9FQklUREEuSVFfRlktMAEAAAAIQgYAAgAAAAgzMDU5Ljc0MwEIAAAABQAAAAExAQAAAAstMTkzNzY2NDg4MAMAAAADMTYwAgAAAAQ0MDUxBAAAAAEwBwAAAAk0LzI4LzIwMjYI</t>
  </si>
  <si>
    <t>AAAACTMvMzEvMjAyNQkAAAABMFHyXlVKpd4IHP6kikql3ggYQ0lRLjk5Mi5JUV9DQVBFWC5JUV9GUS00AQAAAAhCBgACAAAABy0xNzQuMzMBCAAAAAUAAAABMQEAAAALLTE5MDcxNjAyODEDAAAAAzE2MAIAAAAEMjAyMQQAAAABMAcAAAAJNC8yOC8yMDI2CAAAAAoxMi8zMS8yMDI0CQAAAAEwXRlfVUql3gic56aKSqXeCBdDSVEuOTkyLklRX0VCSVQuSVFfRlEtNAEAAAAIQgYAAgAAAAc2ODcuNzA0AQgAAAAFAAAAATEBAAAACy0xOTA3MTYwMjgxAwAAAAMxNjACAAAAAzQwMAQAAAABMAcAAAAJNC8yOC8yMDI2CAAAAAoxMi8zMS8yMDI0CQAAAAEwXRlfVUql3ghocqaKSqXeCBtDSVEuOTkyLklRX0VCVF9FWENMLklRX0ZZLTIBAAAACEIGAAIAAAAIMjEzNi4wMjMBCAAAAAUAAAABMQEAAAALLTE5ODkyODc1MTIDAAAAAzE2MAIAAAABNAQAAAABMAcAAAAJNC8yOC8yMDI2CAAAAAkzLzMxLzIwMjMJAAAAATBdGV9VSqXeCAwQpopKpd4IH0NJUS45OTIuSVFfSU5URVJFU1RfRVhQLklRX0ZZLTkBAAAACEIGAAIAAAAILTE3OC42MTgBCAAAAAUAAAABMQEAAAAKMTg0NjE0Nzk4MwMAAAADMTYwAgAAAAI4MgQAAAABMAcAAAAJNC8yOC8yMDI2CAAAAAkzLzMxLzIwMTYJAAAAATBR8l5VSqXeCN5zpYpKpd4IGkNJUS45OTIuSVFfSU5DX1RBWC5JUV9GWS02AQAAAAhCBgACAAAABjE5OS40NgEIAAAABQAAAAExAQAA</t>
  </si>
  <si>
    <t>AAoyMDQwMTU1ODMzAwAAAAMxNjACAAAAAjc1BAAAAAEwBwAAAAk0LzI4LzIwMjYIAAAACTMvMzEvMjAxOQkAAAABMF0ZX1VKpd4IDBCmikql3ggeQ0lRLjk5Mi5JUV9UT1RBTF9ERUJULklRX0ZZLTEwAQAAAAhCBgACAAAACDMwNTQuMTIyAQgAAAAFAAAAATEBAAAACjE3OTU1Mzg1OTkDAAAAAzE2MAIAAAAENDE3MwQAAAABMAcAAAAJNC8yOC8yMDI2CAAAAAkzLzMxLzIwMTUJAAAAATBdGV9VSqXeCJ2Ip4pKpd4IK0NJUS45OTIuSVFfT1BFUkFUSU5HX0xFQVNFX1BBWU1FTlRTLklRX0ZZLTkBAAAACEIGAAMAAAAAAF0ZX1VKpd4IDBCmikql3ggYQ0lRLjk5Mi5JUV9EQV9DRi5JUV9GWS05AQAAAAhCBgACAAAABzYzNS45MDYBCAAAAAUAAAABMQEAAAAKMTg0NjE0Nzk4MwMAAAADMTYwAgAAAAQyMTYwBAAAAAEwBwAAAAk0LzI4LzIwMjYIAAAACTMvMzEvMjAxNgkAAAABMFHyXlVKpd4I1Zqlikql3ggdQ0lRLjk5Mi5JUV9UT1RBTF9ERUJULklRX0ZZLTYBAAAACEIGAAIAAAAINDM3OS44MTMBCAAAAAUAAAABMQEAAAAKMjA0MDE1NTgzMwMAAAADMTYwAgAAAAQ0MTczBAAAAAEwBwAAAAk0LzI4LzIwMjYIAAAACTMvMzEvMjAxOQkAAAABMF0ZX1VKpd4InYinikql3ggYQ0lRLjk5Mi5JUV9DQVBFWC5JUV9GWS0wAQAAAAhCBgACAAAACC02NjYuNDc4AQgAAAAFAAAAATEBAAAACy0xOTM3NjY0ODgwAwAAAAMx</t>
  </si>
  <si>
    <t>NjACAAAABDIwMjEEAAAAATAHAAAACTQvMjgvMjAyNggAAAAJMy8zMS8yMDI1CQAAAAEwUfJeVUql3gj9waWKSqXeCB9DSVEuOTkyLklRX0lOVEVSRVNUX0VYUC5JUV9GWS0wAQAAAAhCBgACAAAACC0yOTMuNTk1AQgAAAAFAAAAATEBAAAACy0xOTM3NjY0ODgwAwAAAAMxNjACAAAAAjgyBAAAAAEwBwAAAAk0LzI4LzIwMjYIAAAACTMvMzEvMjAyNQkAAAABMFHyXlVKpd4IqUylikql3ggVQ0lRLjk5Mi5JUV9OSS5JUV9GWS00AQAAAAhCBgACAAAACDEyMTAuODM5AQgAAAAFAAAAATEBAAAACy0yMDkxNTcwNzA2AwAAAAMxNjACAAAAAjE1BAAAAAEwBwAAAAk0LzI4LzIwMjYIAAAACTMvMzEvMjAyMQkAAAABMFHyXlVKpd4IpCWlikql3ggdQ0lRLjk5Mi5JUV9DQVNIX0VRVUlWLklRX0ZZLTIBAAAACEIGAAIAAAAINDI1MC4wODUBCAAAAAUAAAABMQEAAAALLTE5ODkyODc1MTIDAAAAAzE2MAIAAAAEMTA5NgQAAAABMAcAAAAJNC8yOC8yMDI2CAAAAAkzLzMxLzIwMjMJAAAAATBdGV9VSqXeCIpNp4pKpd4IGENJUS45OTIuSVFfQ0FQRVguSVFfRlktNgEAAAAIQgYAAgAAAAgtNTM3LjcyNwEIAAAABQAAAAExAQAAAAoyMDQwMTU1ODMzAwAAAAMxNjACAAAABDIwMjEEAAAAATAHAAAACTQvMjgvMjAyNggAAAAJMy8zMS8yMDE5CQAAAAEwUfJeVUql3gjv6KWKSqXeCBdDSVEuOTkyLklRX0VCSVQuSVFfRlEtMAEA</t>
  </si>
  <si>
    <t>AAAIQgYAAgAAAAc5NDguNDU4AQgAAAAFAAAAATEBAAAACy0xOTA3MTYwMjc0AwAAAAMxNjACAAAAAzQwMAQAAAABMAcAAAAJNC8yOC8yMDI2CAAAAAoxMi8zMS8yMDI1CQAAAAEwXRlfVUql3ghocqaKSqXeCBhDSVEuOTkyLklRX0NBUEVYLklRX0ZZLTQBAAAACEIGAAIAAAAILTY5Ny4wMDQBCAAAAAUAAAABMQEAAAALLTIwOTE1NzA3MDYDAAAAAzE2MAIAAAAEMjAyMQQAAAABMAcAAAAJNC8yOC8yMDI2CAAAAAkzLzMxLzIwMjEJAAAAATBR8l5VSqXeCO/opYpKpd4IGUNJUS45OTIuSVFfRUJJVERBLklRX0ZZLTMBAAAACEIGAAIAAAAIMzg4MC42NDYBCAAAAAUAAAABMQEAAAALLTIwMzk0NjA3MDIDAAAAAzE2MAIAAAAENDA1MQQAAAABMAcAAAAJNC8yOC8yMDI2CAAAAAkzLzMxLzIwMjIJAAAAATBR8l5VSqXeCKQlpYpKpd4IH0NJUS45OTIuSVFfVE9UQUxfRVFVSVRZLklRX0ZZLTkBAAAACEIGAAIAAAAIMzAyNi4yNDkBCAAAAAUAAAABMQEAAAAKMTg0NjE0Nzk4MwMAAAADMTYwAgAAAAQxMjc1BAAAAAEwBwAAAAk0LzI4LzIwMjYIAAAACTMvMzEvMjAxNgkAAAABMF0ZX1VKpd4InYinikql3ggVQ0lRLjk5Mi5JUV9OSS5JUV9GUS00AQAAAAhCBgACAAAABjY5Mi42NwEIAAAABQAAAAExAQAAAAstMTkwNzE2MDI4MQMAAAADMTYwAgAAAAIxNQQAAAABMAcAAAAJNC8yOC8yMDI2CAAAAAoxMi8zMS8yMDI0</t>
  </si>
  <si>
    <t>CQAAAAEwXRlfVUql3gh0maaKSqXeCBhDSVEuOTkyLklRX0NBUEVYLklRX0ZZLTgBAAAACEIGAAIAAAAILTQ2My41NTgBCAAAAAUAAAABMQEAAAAKMTg5MjI0NTc1MgMAAAADMTYwAgAAAAQyMDIxBAAAAAEwBwAAAAk0LzI4LzIwMjYIAAAACTMvMzEvMjAxNwkAAAABMFHyXlVKpd4I/cGlikql3ggcQ0lRLjk5Mi5JUV9UT1RBTF9SRVYuSVFfRlktNQEAAAAIQgYAAgAAAAk1MDcxNi4zNDkBCAAAAAUAAAABMQEAAAALLTIxNDY2MTYzMjUDAAAAAzE2MAIAAAACMjgEAAAAATAHAAAACTQvMjgvMjAyNggAAAAJMy8zMS8yMDIwCQAAAAEwUfJeVUql3ghy6qSKSqXeCB9DSVEuOTkyLklRX0lOVEVSRVNUX0VYUC5JUV9GWS04AQAAAAhCBgACAAAACC0xOTguMjE1AQgAAAAFAAAAATEBAAAACjE4OTIyNDU3NTIDAAAAAzE2MAIAAAACODIEAAAAATAHAAAACTQvMjgvMjAyNggAAAAJMy8zMS8yMDE3CQAAAAEwUfJeVUql3gipTKWKSqXeCBxDSVEuOTkyLklRX1RPVEFMX1JFVi5JUV9GWS00AQAAAAhCBgACAAAACTYwNzQyLjMxMgEIAAAABQAAAAExAQAAAAstMjA5MTU3MDcwNgMAAAADMTYwAgAAAAIyOAQAAAABMAcAAAAJNC8yOC8yMDI2CAAAAAkzLzMxLzIwMjEJAAAAATBR8l5VSqXeCLTbpIpKpd4IGENJUS45OTIuSVFfREFfQ0YuSVFfRlEtMgEAAAAIQgYAAwAAAAAAXRlfVUql3gjTwKaKSqXeCB9DSVEuOTkyLklR</t>
  </si>
  <si>
    <t>X1RPVEFMX0VRVUlUWS5JUV9GWS02AQAAAAhCBgACAAAACDQwOTcuMDYzAQgAAAAFAAAAATEBAAAACjIwNDAxNTU4MzMDAAAAAzE2MAIAAAAEMTI3NQQAAAABMAcAAAAJNC8yOC8yMDI2CAAAAAkzLzMxLzIwMTkJAAAAATBdGV9VSqXeCIpNp4pKpd4IGENJUS45OTIuSVFfREFfQ0YuSVFfRlEtMQEAAAAIQgYAAwAAAAAAXRlfVUql3gh0maaKSqXeCBlDSVEuOTkyLklRX1JEX0VYUC5JUV9GWS0wAQAAAAhCBgACAAAACDIyODguMjA0AQgAAAAFAAAAATEBAAAACy0xOTM3NjY0ODgwAwAAAAMxNjACAAAAAzEwMAQAAAABMAcAAAAJNC8yOC8yMDI2CAAAAAkzLzMxLzIwMjUJAAAAATBR8l5VSqXeCN5zpYpKpd4IF0NJUS45OTIuSVFfRUJJVC5JUV9GWS02AQAAAAhCBgACAAAABzEwNDkuOTIBCAAAAAUAAAABMQEAAAAKMjA0MDE1NTgzMwMAAAADMTYwAgAAAAM0MDAEAAAAATAHAAAACTQvMjgvMjAyNggAAAAJMy8zMS8yMDE5CQAAAAEwUfJeVUql3ghy6qSKSqXeCB9DSVEuOTkyLklRX0lOVEVSRVNUX0VYUC5JUV9GUS02AQAAAAhCBgACAAAABy02OS41NzUBCAAAAAUAAAABMQEAAAALLTE5ODI4MDc4OTEDAAAAAzE2MAIAAAACODIEAAAAATAHAAAACTQvMjgvMjAyNggAAAAJNi8zMC8yMDI0CQAAAAEwXRlfVUql3gjTwKaKSqXeCCtDSVEuOTkyLklRX09QRVJBVElOR19MRUFTRV9QQVlNRU5UUy5JUV9GUS0yAQAA</t>
  </si>
  <si>
    <t>AAhCBgADAAAAAABdGV9VSqXeCAkPp4pKpd4IH0NJUS45OTIuSVFfVE9UQUxfRVFVSVRZLklRX0ZZLTgBAAAACEIGAAIAAAAINDA5NS4yMjIBCAAAAAUAAAABMQEAAAAKMTg5MjI0NTc1MgMAAAADMTYwAgAAAAQxMjc1BAAAAAEwBwAAAAk0LzI4LzIwMjYIAAAACTMvMzEvMjAxNwkAAAABMF0ZX1VKpd4InYinikql3ggbQ0lRLjk5Mi5JUV9FQlRfRVhDTC5JUV9GWS0xAQAAAAhCBgACAAAACDEzNjQuODcyAQgAAAAFAAAAATEBAAAACy0xOTM3NjY0ODg4AwAAAAMxNjACAAAAATQEAAAAATAHAAAACTQvMjgvMjAyNggAAAAJMy8zMS8yMDI0CQAAAAEwXRlfVUql3ggMEKaKSqXeCB9DSVEuOTkyLklRX1RPVEFMX0VRVUlUWS5JUV9GWS03AQAAAAhCBgACAAAACDQ1NDUuOTg4AQgAAAAFAAAAATEBAAAACjE5Njc0NDc5MjQDAAAAAzE2MAIAAAAEMTI3NQQAAAABMAcAAAAJNC8yOC8yMDI2CAAAAAkzLzMxLzIwMTgJAAAAATBdGV9VSqXeCIpNp4pKpd4IGENJUS45OTIuSVFfREFfQ0YuSVFfRlEtMAEAAAAIQgYAAgAAAAczMjguMjMzAQgAAAAFAAAAATEBAAAACy0xOTA3MTYwMjc0AwAAAAMxNjACAAAABDIxNjAEAAAAATAHAAAACTQvMjgvMjAyNggAAAAKMTIvMzEvMjAyNQkAAAABMF0ZX1VKpd4I08Cmikql3ggZQ0lRLjk5Mi5JUV9SRF9FWFAuSVFfRlEtNgEAAAAIQgYAAgAAAAc0NzUuOTk1AQgAAAAFAAAAATEB</t>
  </si>
  <si>
    <t>AAAACy0xOTgyODA3ODkxAwAAAAMxNjACAAAAAzEwMAQAAAABMAcAAAAJNC8yOC8yMDI2CAAAAAk2LzMwLzIwMjQJAAAAATBdGV9VSqXeCJznpopKpd4IH0NJUS45OTIuSVFfSU5URVJFU1RfRVhQLklRX0ZZLTMBAAAACEIGAAIAAAAILTI1OC41NTMBCAAAAAUAAAABMQEAAAALLTIwMzk0NjA3MDIDAAAAAzE2MAIAAAACODIEAAAAATAHAAAACTQvMjgvMjAyNggAAAAJMy8zMS8yMDIyCQAAAAEwUfJeVUql3gipTKWKSqXeCBhDSVEuOTkyLklRX0RBX0NGLklRX0ZZLTMBAAAACEIGAAIAAAAIMTA0Ni4zMjQBCAAAAAUAAAABMQEAAAALLTIwMzk0NjA3MDIDAAAAAzE2MAIAAAAEMjE2MAQAAAABMAcAAAAJNC8yOC8yMDI2CAAAAAkzLzMxLzIwMjIJAAAAATBR8l5VSqXeCN5zpYpKpd4IHENJUS45OTIuSVFfVE9UQUxfUkVWLklRX0ZRLTABAAAACEIGAAIAAAAJMjIyMDQuMzM0AQgAAAAFAAAAATEBAAAACy0xOTA3MTYwMjc0AwAAAAMxNjACAAAAAjI4BAAAAAEwBwAAAAk0LzI4LzIwMjYIAAAACjEyLzMxLzIwMjUJAAAAATBdGV9VSqXeCBlLpopKpd4IHUNJUS45OTIuSVFfQ0FTSF9FUVVJVi5JUV9GWS0zAQAAAAhCBgACAAAACDM5MzAuMjg3AQgAAAAFAAAAATEBAAAACy0yMDM5NDYwNzAyAwAAAAMxNjACAAAABDEwOTYEAAAAATAHAAAACTQvMjgvMjAyNggAAAAJMy8zMS8yMDIyCQAAAAEwXRlfVUql3giKTaeK</t>
  </si>
  <si>
    <t>SqXeCBtDSVEuOTkyLklRX0VCVF9FWENMLklRX0ZRLTMBAAAACEIGAAIAAAAHMTgxLjI5NAEIAAAABQAAAAExAQAAAAstMTkzNzY2NDQ5MwMAAAADMTYwAgAAAAE0BAAAAAEwBwAAAAk0LzI4LzIwMjYIAAAACTMvMzEvMjAyNQkAAAABMF0ZX1VKpd4ICQ+nikql3ggYQ0lRLjk5Mi5JUV9DQVBFWC5JUV9GUS0zAQAAAAhCBgACAAAACC0xODUuMzgxAQgAAAAFAAAAATEBAAAACy0xOTM3NjY0NDkzAwAAAAMxNjACAAAABDIwMjEEAAAAATAHAAAACTQvMjgvMjAyNggAAAAJMy8zMS8yMDI1CQAAAAEwXRlfVUql3gic56aKSqXeCBhDSVEuOTkyLklRX0RBX0NGLklRX0ZRLTMBAAAACEIGAAIAAAAHMjczLjc2OAEIAAAABQAAAAExAQAAAAstMTkzNzY2NDQ5MwMAAAADMTYwAgAAAAQyMTYwBAAAAAEwBwAAAAk0LzI4LzIwMjYIAAAACTMvMzEvMjAyNQkAAAABMF0ZX1VKpd4I08Cmikql3ggVQ0lRLjk5Mi5JUV9OSS5JUV9GWS0zAQAAAAhCBgACAAAACDIwMjkuODE4AQgAAAAFAAAAATEBAAAACy0yMDM5NDYwNzAyAwAAAAMxNjACAAAAAjE1BAAAAAEwBwAAAAk0LzI4LzIwMjYIAAAACTMvMzEvMjAyMgkAAAABMFHyXlVKpd4IpCWlikql3ggYQ0lRLjk5Mi5JUV9DQVBFWC5JUV9GUS0yAQAAAAhCBgADAAAAAABdGV9VSqXeCJznpopKpd4IGkNJUS45OTIuSVFfSU5DX1RBWC5JUV9GWS01AQAAAAhCBgACAAAABzIxMy4y</t>
  </si>
  <si>
    <t>MDQBCAAAAAUAAAABMQEAAAALLTIxNDY2MTYzMjUDAAAAAzE2MAIAAAACNzUEAAAAATAHAAAACTQvMjgvMjAyNggAAAAJMy8zMS8yMDIwCQAAAAEwXRlfVUql3ggMEKaKSqXeCBtDSVEuOTkyLklRX0VCVF9FWENMLklRX0ZRLTEBAAAACEIGAAIAAAAHNDk0LjI4NQEIAAAABQAAAAExAQAAAAstMTkxMjY4ODQ3NAMAAAADMTYwAgAAAAE0BAAAAAEwBwAAAAk0LzI4LzIwMjYIAAAACTkvMzAvMjAyNQkAAAABMF0ZX1VKpd4IBSanikql3ggVQ0lRLjk5Mi5JUV9OSS5JUV9GUS0xAQAAAAhCBgACAAAABzM0MC4yNzYBCAAAAAUAAAABMQEAAAALLTE5MTI2ODg0NzQDAAAAAzE2MAIAAAACMTUEAAAAATAHAAAACTQvMjgvMjAyNggAAAAJOS8zMC8yMDI1CQAAAAEwXRlfVUql3gh0maaKSqXeCCxDSVEuOTkyLklRX09QRVJBVElOR19MRUFTRV9QQVlNRU5UUy5JUV9GWS0xMAEAAAAIQgYAAwAAAAAAXRlfVUql3ggMEKaKSqXeCBhDSVEuOTkyLklRX0NBUEVYLklRX0ZRLTABAAAACEIGAAIAAAAILTQwNC44MjUBCAAAAAUAAAABMQEAAAALLTE5MDcxNjAyNzQDAAAAAzE2MAIAAAAEMjAyMQQAAAABMAcAAAAJNC8yOC8yMDI2CAAAAAoxMi8zMS8yMDI1CQAAAAEwXRlfVUql3gic56aKSqXeCBhDSVEuOTkyLklRX0RBX0NGLklRX0ZZLTgBAAAACEIGAAIAAAAHNTk5LjgzNgEIAAAABQAAAAExAQAAAAoxODkyMjQ1NzUyAwAA</t>
  </si>
  <si>
    <t>AAMxNjACAAAABDIxNjAEAAAAATAHAAAACTQvMjgvMjAyNggAAAAJMy8zMS8yMDE3CQAAAAEwUfJeVUql3gjVmqWKSqXeCBVDSVEuOTkyLklRX05JLklRX0ZZLTIBAAAACEIGAAIAAAAIMTYwNy43MjIBCAAAAAUAAAABMQEAAAALLTE5ODkyODc1MTIDAAAAAzE2MAIAAAACMTUEAAAAATAHAAAACTQvMjgvMjAyNggAAAAJMy8zMS8yMDIzCQAAAAEwUfJeVUql3gikJaWKSqXeCDBDSVEuOTkyLklRX1RPVEFMX09VVFNUQU5ESU5HX0ZJTElOR19EQVRFLklRX0ZZLTABAAAACEIGAAIAAAAMMTI0MDQuNjU5MzAyAQQAAAAFAAAAATUBAAAACy0xOTM3NjY0ODgwAgAAAAUyNDE1MwYAAAABMF0ZX1VKpd4InYinikql3ggbQ0lRLjk5Mi5JUV9FQlRfRVhDTC5JUV9GUS0wAQAAAAhCBgACAAAABzgxOC4xODUBCAAAAAUAAAABMQEAAAALLTE5MDcxNjAyNzQDAAAAAzE2MAIAAAABNAQAAAABMAcAAAAJNC8yOC8yMDI2CAAAAAoxMi8zMS8yMDI1CQAAAAEwXRlfVUql3ggFJqeKSqXeCBpDSVEuOTkyLklRX0lOQ19UQVguSVFfRlktMwEAAAAIQgYAAgAAAAc2MjIuMzk5AQgAAAAFAAAAATEBAAAACy0yMDM5NDYwNzAyAwAAAAMxNjACAAAAAjc1BAAAAAEwBwAAAAk0LzI4LzIwMjYIAAAACTMvMzEvMjAyMgkAAAABMF0ZX1VKpd4IGUumikql3ggrQ0lRLjk5Mi5JUV9PUEVSQVRJTkdfTEVBU0VfUEFZTUVOVFMuSVFfRlktNwEA</t>
  </si>
  <si>
    <t>AAAIQgYAAwAAAAAAXRlfVUql3ggMEKaKSqXeCBlDSVEuOTkyLklRX1JEX0VYUC5JUV9GUS00AQAAAAhCBgACAAAABzYyMC43ODkBCAAAAAUAAAABMQEAAAALLTE5MDcxNjAyODEDAAAAAzE2MAIAAAADMTAwBAAAAAEwBwAAAAk0LzI4LzIwMjYIAAAACjEyLzMxLzIwMjQJAAAAATBdGV9VSqXeCJznpopKpd4IH0NJUS45OTIuSVFfSU5URVJFU1RfRVhQLklRX0ZZLTEBAAAACEIGAAIAAAAILTI3NS4yMDMBCAAAAAUAAAABMQEAAAALLTE5Mzc2NjQ4ODgDAAAAAzE2MAIAAAACODIEAAAAATAHAAAACTQvMjgvMjAyNggAAAAJMy8zMS8yMDI0CQAAAAEwUfJeVUql3gipTKWKSqXeCBlDSVEuOTkyLklRX0VCSVREQS5JUV9GUS0zAQAAAAhCBgACAAAABzQxOS4xMDYBCAAAAAUAAAABMQEAAAALLTE5Mzc2NjQ0OTMDAAAAAzE2MAIAAAAENDA1MQQAAAABMAcAAAAJNC8yOC8yMDI2CAAAAAkzLzMxLzIwMjUJAAAAATBdGV9VSqXeCGhypopKpd4IGUNJUS45OTIuSVFfRUJJVERBLklRX0ZZLTYBAAAACEIGAAIAAAAIMTcxNi40MDIBCAAAAAUAAAABMQEAAAAKMjA0MDE1NTgzMwMAAAADMTYwAgAAAAQ0MDUxBAAAAAEwBwAAAAk0LzI4LzIwMjYIAAAACTMvMzEvMjAxOQkAAAABMFHyXlVKpd4IpCWlikql3ggZQ0lRLjk5Mi5JUV9SRF9FWFAuSVFfRlEtMgEAAAAIQgYAAgAAAAM1MjQBCAAAAAUAAAABMQEAAAALLTE5MzEy</t>
  </si>
  <si>
    <t>NjYyNDUDAAAAAzE2MAIAAAADMTAwBAAAAAEwBwAAAAk0LzI4LzIwMjYIAAAACTYvMzAvMjAyNQkAAAABMF0ZX1VKpd4I08Cmikql3ggaQ0lRLjk5Mi5JUV9JTkNfVEFYLklRX0ZZLTEBAAAACEIGAAIAAAAHMjYzLjE0MgEIAAAABQAAAAExAQAAAAstMTkzNzY2NDg4OAMAAAADMTYwAgAAAAI3NQQAAAABMAcAAAAJNC8yOC8yMDI2CAAAAAkzLzMxLzIwMjQJAAAAATBdGV9VSqXeCAwQpopKpd4IH0NJUS45OTIuSVFfSU5URVJFU1RfRVhQLklRX0ZRLTQBAAAACEIGAAIAAAAHLTc2Ljk2MgEIAAAABQAAAAExAQAAAAstMTkwNzE2MDI4MQMAAAADMTYwAgAAAAI4MgQAAAABMAcAAAAJNC8yOC8yMDI2CAAAAAoxMi8zMS8yMDI0CQAAAAEwXRlfVUql3gjTwKaKSqXeCBxDSVEuOTkyLklRX0VCVF9FWENMLklRX0ZZLTEwAQAAAAhCBgACAAAABzk2OS45NDQBCAAAAAUAAAABMQEAAAAKMTc5NTUzODU5OQMAAAADMTYwAgAAAAE0BAAAAAEwBwAAAAk0LzI4LzIwMjYIAAAACTMvMzEvMjAxNQkAAAABMF0ZX1VKpd4IGUumikql3ggbQ0lRLjk5Mi5JUV9FQlRfRVhDTC5JUV9GWS02AQAAAAhCBgACAAAABzg2MS42MzQBCAAAAAUAAAABMQEAAAAKMjA0MDE1NTgzMwMAAAADMTYwAgAAAAE0BAAAAAEwBwAAAAk0LzI4LzIwMjYIAAAACTMvMzEvMjAxOQkAAAABMF0ZX1VKpd4IDBCmikql3ggcQ0lRLjk5Mi5JUV9UT1RBTF9S</t>
  </si>
  <si>
    <t>RVYuSVFfRlktOQEAAAAIQgYAAgAAAAk0NDkxMi4wOTcBCAAAAAUAAAABMQEAAAAKMTg0NjE0Nzk4MwMAAAADMTYwAgAAAAIyOAQAAAABMAcAAAAJNC8yOC8yMDI2CAAAAAkzLzMxLzIwMTYJAAAAATBR8l5VSqXeCBz+pIpKpd4IGUNJUS45OTIuSVFfRUJJVERBLklRX0ZZLTkBAAAACEIGAAIAAAAIMTIwMi42NjUBCAAAAAUAAAABMQEAAAAKMTg0NjE0Nzk4MwMAAAADMTYwAgAAAAQ0MDUxBAAAAAEwBwAAAAk0LzI4LzIwMjYIAAAACTMvMzEvMjAxNgkAAAABMFHyXlVKpd4IHP6kikql3ggYQ0lRLjk5Mi5JUV9EQV9DRi5JUV9GWS02AQAAAAhCBgACAAAABzY2Ni40ODIBCAAAAAUAAAABMQEAAAAKMjA0MDE1NTgzMwMAAAADMTYwAgAAAAQyMTYwBAAAAAEwBwAAAAk0LzI4LzIwMjYIAAAACTMvMzEvMjAxOQkAAAABMFHyXlVKpd4I1Zqlikql3ggZQ0lRLjk5Mi5JUV9FQklUREEuSVFfRlEtMQEAAAAIQgYAAgAAAAc5MDkuNjQ3AQgAAAAFAAAAATEBAAAACy0xOTEyNjg4NDc0AwAAAAMxNjACAAAABDQwNTEEAAAAATAHAAAACTQvMjgvMjAyNggAAAAJOS8zMC8yMDI1CQAAAAEwXRlfVUql3gh0maaKSqXeCCtDSVEuOTkyLklRX09QRVJBVElOR19MRUFTRV9QQVlNRU5UUy5JUV9GWS0yAQAAAAhCBgACAAAACC0xNjguNjM4AQgAAAAFAAAAATEBAAAACy0xOTg5Mjg3NTEyAwAAAAMxNjACAAAABTQ4MzU5BAAAAAEw</t>
  </si>
  <si>
    <t>BwAAAAk0LzI4LzIwMjYIAAAACTMvMzEvMjAyMwkAAAABMFHyXlVKpd4I7+ilikql3ggZQ0lRLjk5Mi5JUV9SRF9FWFAuSVFfRlEtMAEAAAAIQgYAAgAAAAc2MzcuNzI3AQgAAAAFAAAAATEBAAAACy0xOTA3MTYwMjc0AwAAAAMxNjACAAAAAzEwMAQAAAABMAcAAAAJNC8yOC8yMDI2CAAAAAoxMi8zMS8yMDI1CQAAAAEwXRlfVUql3gic56aKSqXeCBVDSVEuOTkyLklRX05JLklRX0ZRLTABAAAACEIGAAIAAAAHNTQ1LjUzNgEIAAAABQAAAAExAQAAAAstMTkwNzE2MDI3NAMAAAADMTYwAgAAAAIxNQQAAAABMAcAAAAJNC8yOC8yMDI2CAAAAAoxMi8zMS8yMDI1CQAAAAEwXRlfVUql3ghocqaKSqXeCBpDSVEuOTkyLklRX0lOQ19UQVguSVFfRlEtNAEAAAAIQgYAAgAAAAgtMTgzLjc3MgEIAAAABQAAAAExAQAAAAstMTkwNzE2MDI4MQMAAAADMTYwAgAAAAI3NQQAAAABMAcAAAAJNC8yOC8yMDI2CAAAAAoxMi8zMS8yMDI0CQAAAAEwXRlfVUql3ggFJqeKSqXeCBlDSVEuOTkyLklRX1JEX0VYUC5JUV9GUS0zAQAAAAhCBgACAAAABzY0My44OTIBCAAAAAUAAAABMQEAAAALLTE5Mzc2NjQ0OTMDAAAAAzE2MAIAAAADMTAwBAAAAAEwBwAAAAk0LzI4LzIwMjYIAAAACTMvMzEvMjAyNQkAAAABMF0ZX1VKpd4I08Cmikql3ggrQ0lRLjk5Mi5JUV9PUEVSQVRJTkdfTEVBU0VfUEFZTUVOVFMuSVFfRlktNAEAAAAIQgYA</t>
  </si>
  <si>
    <t>AgAAAActMTY1LjE1AQgAAAAFAAAAATEBAAAACy0yMDkxNTcwNzA2AwAAAAMxNjACAAAABTQ4MzU5BAAAAAEwBwAAAAk0LzI4LzIwMjYIAAAACTMvMzEvMjAyMQkAAAABMFHyXlVKpd4I7+ilikql3ggZQ0lRLjk5Mi5JUV9EQV9DRi5JUV9GWS0xMAEAAAAIQgYAAgAAAAc0MTcuMjk4AQgAAAAFAAAAATEBAAAACjE3OTU1Mzg1OTkDAAAAAzE2MAIAAAAEMjE2MAQAAAABMAcAAAAJNC8yOC8yMDI2CAAAAAkzLzMxLzIwMTUJAAAAATBR8l5VSqXeCNWapYpKpd4IGENJUS45OTIuSVFfREFfQ0YuSVFfRlktNAEAAAAIQgYAAgAAAAc4NjkuMjMyAQgAAAAFAAAAATEBAAAACy0yMDkxNTcwNzA2AwAAAAMxNjACAAAABDIxNjAEAAAAATAHAAAACTQvMjgvMjAyNggAAAAJMy8zMS8yMDIxCQAAAAEwUfJeVUql3gjec6WKSqXeCCtDSVEuOTkyLklRX09QRVJBVElOR19MRUFTRV9QQVlNRU5UUy5JUV9GWS0xAQAAAAhCBgACAAAACC0xMzQuNTQ1AQgAAAAFAAAAATEBAAAACy0xOTM3NjY0ODg4AwAAAAMxNjACAAAABTQ4MzU5BAAAAAEwBwAAAAk0LzI4LzIwMjYIAAAACTMvMzEvMjAyNAkAAAABMFHyXlVKpd4I7+ilikql3ggfQ0lRLjk5Mi5JUV9UT1RBTF9FUVVJVFkuSVFfRlktNAEAAAAIQgYAAgAAAAgzNjEwLjUzMwEIAAAABQAAAAExAQAAAAstMjA5MTU3MDcwNgMAAAADMTYwAgAAAAQxMjc1BAAAAAEwBwAAAAk0LzI4</t>
  </si>
  <si>
    <t>LzIwMjYIAAAACTMvMzEvMjAyMQkAAAABMF0ZX1VKpd4InYinikql3ggZQ0lRLjk5Mi5JUV9SRF9FWFAuSVFfRlEtNwEAAAAIQgYAAgAAAAY1MzEuNzQBCAAAAAUAAAABMQEAAAALLTE5Mzc2NjQ1MDADAAAAAzE2MAIAAAADMTAwBAAAAAEwBwAAAAk0LzI4LzIwMjYIAAAACTMvMzEvMjAyNAkAAAABMF0ZX1VKpd4InOemikql3ggfQ0lRLjk5Mi5JUV9JTlRFUkVTVF9FWFAuSVFfRlEtNwEAAAAIQgYAAgAAAActNzQuNzg3AQgAAAAFAAAAATEBAAAACy0xOTM3NjY0NTAwAwAAAAMxNjACAAAAAjgyBAAAAAEwBwAAAAk0LzI4LzIwMjYIAAAACTMvMzEvMjAyNAkAAAABMF0ZX1VKpd4I08Cmikql3ggcQ0lRLjk5Mi5JUV9UT1RBTF9SRVYuSVFfRlEtNwEAAAAIQgYAAgAAAAkxMzgzMy4xMTcBCAAAAAUAAAABMQEAAAALLTE5Mzc2NjQ1MDADAAAAAzE2MAIAAAACMjgEAAAAATAHAAAACTQvMjgvMjAyNggAAAAJMy8zMS8yMDI0CQAAAAEwXRlfVUql3ghocqaKSqXeCBpDSVEuOTkyLklRX0lOQ19UQVguSVFfRlktMgEAAAAIQgYAAgAAAAc0NTUuMTU2AQgAAAAFAAAAATEBAAAACy0xOTg5Mjg3NTEyAwAAAAMxNjACAAAAAjc1BAAAAAEwBwAAAAk0LzI4LzIwMjYIAAAACTMvMzEvMjAyMwkAAAABMF0ZX1VKpd4IDBCmikql3ggXQ0lRLjk5Mi5JUV9FQklULklRX0ZZLTUBAAAACEIGAAIAAAAIMTQwMC4zODEBCAAAAAUA</t>
  </si>
  <si>
    <t>AAABMQEAAAALLTIxNDY2MTYzMjUDAAAAAzE2MAIAAAADNDAwBAAAAAEwBwAAAAk0LzI4LzIwMjYIAAAACTMvMzEvMjAyMAkAAAABMFHyXlVKpd4Icuqkikql3ggfQ0lRLjk5Mi5JUV9UT1RBTF9FUVVJVFkuSVFfRlktMQEAAAAIQgYAAgAAAAg2MDgxLjE4NwEIAAAABQAAAAExAQAAAAstMTkzNzY2NDg4OAMAAAADMTYwAgAAAAQxMjc1BAAAAAEwBwAAAAk0LzI4LzIwMjYIAAAACTMvMzEvMjAyNAkAAAABMF0ZX1VKpd4IoHSnikql3ggcQ0lRLjk5Mi5JUV9UT1RBTF9SRVYuSVFfRlEtMwEAAAAIQgYAAgAAAAkxNjk4My41MzgBCAAAAAUAAAABMQEAAAALLTE5Mzc2NjQ0OTMDAAAAAzE2MAIAAAACMjgEAAAAATAHAAAACTQvMjgvMjAyNggAAAAJMy8zMS8yMDI1CQAAAAEwXRlfVUql3ggZS6aKSqXeCBdDSVEuOTkyLklRX0VCSVQuSVFfRlktMQEAAAAIQgYAAgAAAAgxOTkwLjgyMgEIAAAABQAAAAExAQAAAAstMTkzNzY2NDg4OAMAAAADMTYwAgAAAAM0MDAEAAAAATAHAAAACTQvMjgvMjAyNggAAAAJMy8zMS8yMDI0CQAAAAEwUfJeVUql3gi026SKSqXeCCtDSVEuOTkyLklRX09QRVJBVElOR19MRUFTRV9QQVlNRU5UUy5JUV9GWS0zAQAAAAhCBgACAAAACC0xNDYuNDg1AQgAAAAFAAAAATEBAAAACy0yMDM5NDYwNzAyAwAAAAMxNjACAAAABTQ4MzU5BAAAAAEwBwAAAAk0LzI4LzIwMjYIAAAACTMvMzEvMjAy</t>
  </si>
  <si>
    <t>MgkAAAABMFHyXlVKpd4I7+ilikql3ggrQ0lRLjk5Mi5JUV9PUEVSQVRJTkdfTEVBU0VfUEFZTUVOVFMuSVFfRlEtMAEAAAAIQgYAAgAAAAYtMjYuNTMBCAAAAAUAAAABMQEAAAALLTE5MDcxNjAyNzQDAAAAAzE2MAIAAAAFNDgzNTkEAAAAATAHAAAACTQvMjgvMjAyNggAAAAKMTIvMzEvMjAyNQkAAAABMF0ZX1VKpd4ICQ+nikql3ggYQ0lRLjk5Mi5JUV9EQV9DRi5JUV9GWS0yAQAAAAhCBgACAAAACDExMTUuNjk4AQgAAAAFAAAAATEBAAAACy0xOTg5Mjg3NTEyAwAAAAMxNjACAAAABDIxNjAEAAAAATAHAAAACTQvMjgvMjAyNggAAAAJMy8zMS8yMDIzCQAAAAEwUfJeVUql3gjec6WKSqXeCB1DSVEuOTkyLklRX1RPVEFMX0RFQlQuSVFfRlktOQEAAAAIQgYAAgAAAAgzMjUwLjkyNwEIAAAABQAAAAExAQAAAAoxODQ2MTQ3OTgzAwAAAAMxNjACAAAABDQxNzMEAAAAATAHAAAACTQvMjgvMjAyNggAAAAJMy8zMS8yMDE2CQAAAAEwXRlfVUql3gidiKeKSqXeCBpDSVEuOTkyLklRX0lOQ19UQVguSVFfRlEtNwEAAAAIQgYAAgAAAAY1NS42MzMBCAAAAAUAAAABMQEAAAALLTE5Mzc2NjQ1MDADAAAAAzE2MAIAAAACNzUEAAAAATAHAAAACTQvMjgvMjAyNggAAAAJMy8zMS8yMDI0CQAAAAEwXRlfVUql3giKTaeKSqXeCCtDSVEuOTkyLklRX09QRVJBVElOR19MRUFTRV9QQVlNRU5UUy5JUV9GUS03AQAAAAhCBgAC</t>
  </si>
  <si>
    <t>AAAABy0zOS4yMzkBCAAAAAUAAAABMQEAAAALLTE5Mzc2NjQ1MDADAAAAAzE2MAIAAAAFNDgzNTkEAAAAATAHAAAACTQvMjgvMjAyNggAAAAJMy8zMS8yMDI0CQAAAAEwXRlfVUql3ggJD6eKSqXeCBlDSVEuOTkyLklRX0VCSVREQS5JUV9GUS03AQAAAAhCBgACAAAABzc0MS45NjYBCAAAAAUAAAABMQEAAAALLTE5Mzc2NjQ1MDADAAAAAzE2MAIAAAAENDA1MQQAAAABMAcAAAAJNC8yOC8yMDI2CAAAAAkzLzMxLzIwMjQJAAAAATBdGV9VSqXeCGhypopKpd4IK0NJUS45OTIuSVFfT1BFUkFUSU5HX0xFQVNFX1BBWU1FTlRTLklRX0ZZLTgBAAAACEIGAAMAAAAAAF0ZX1VKpd4IDBCmikql3ggrQ0lRLjk5Mi5JUV9PUEVSQVRJTkdfTEVBU0VfUEFZTUVOVFMuSVFfRlEtNAEAAAAIQgYAAgAAAActMjkuNjc4AQgAAAAFAAAAATEBAAAACy0xOTA3MTYwMjgxAwAAAAMxNjACAAAABTQ4MzU5BAAAAAEwBwAAAAk0LzI4LzIwMjYIAAAACjEyLzMxLzIwMjQJAAAAATBdGV9VSqXeCAUmp4pKpd4IH0NJUS45OTIuSVFfSU5URVJFU1RfRVhQLklRX0ZRLTIBAAAACEIGAAMAAAAAAF0ZX1VKpd4IdJmmikql3ggZQ0lRLjk5Mi5JUV9FQklUREEuSVFfRlEtMgEAAAAIQgYAAgAAAAoxMDQ4LjIxMDI1AQgAAAAFAAAAATEBAAAACy0xOTMxMjY2MjQ1AwAAAAMxNjACAAAABDQwNTEEAAAAATAHAAAACTQvMjgvMjAyNggAAAAJNi8z</t>
  </si>
  <si>
    <t>MC8yMDI1CQAAAAEwXRlfVUql3gh0maaKSqXeCBtDSVEuOTkyLklRX0VCVF9FWENMLklRX0ZZLTgBAAAACEIGAAIAAAAHMzAyLjY2NgEIAAAABQAAAAExAQAAAAoxODkyMjQ1NzUyAwAAAAMxNjACAAAAATQEAAAAATAHAAAACTQvMjgvMjAyNggAAAAJMy8zMS8yMDE3CQAAAAEwXRlfVUql3ggMEKaKSqXeCBlDSVEuOTkyLklRX0VCSVREQS5JUV9GWS00AQAAAAhCBgACAAAACDMyMTEuMTk4AQgAAAAFAAAAATEBAAAACy0yMDkxNTcwNzA2AwAAAAMxNjACAAAABDQwNTEEAAAAATAHAAAACTQvMjgvMjAyNggAAAAJMy8zMS8yMDIxCQAAAAEwUfJeVUql3gikJaWKSqXeCBlDSVEuOTkyLklRX0VCSVREQS5JUV9GUS0wAQAAAAhCBgACAAAACDEyNDYuMDM1AQgAAAAFAAAAATEBAAAACy0xOTA3MTYwMjc0AwAAAAMxNjACAAAABDQwNTEEAAAAATAHAAAACTQvMjgvMjAyNggAAAAKMTIvMzEvMjAyNQkAAAABMF0ZX1VKpd4IaHKmikql3ggZQ0lRLjk5Mi5JUV9SRF9FWFAuSVFfRlktNwEAAAAIQgYAAgAAAAgxMjczLjcyOQEIAAAABQAAAAExAQAAAAoxOTY3NDQ3OTI0AwAAAAMxNjACAAAAAzEwMAQAAAABMAcAAAAJNC8yOC8yMDI2CAAAAAkzLzMxLzIwMTgJAAAAATBR8l5VSqXeCP3BpYpKpd4IH0NJUS45OTIuSVFfVE9UQUxfRVFVSVRZLklRX0ZZLTMBAAAACEIGAAIAAAAINTM5NC43MDEBCAAAAAUAAAABMQEAAAAL</t>
  </si>
  <si>
    <t>LTIwMzk0NjA3MDIDAAAAAzE2MAIAAAAEMTI3NQQAAAABMAcAAAAJNC8yOC8yMDI2CAAAAAkzLzMxLzIwMjIJAAAAATBdGV9VSqXeCJ2Ip4pKpd4IGkNJUS45OTIuSVFfSU5DX1RBWC5JUV9GUS02AQAAAAhCBgACAAAABDU5LjUBCAAAAAUAAAABMQEAAAALLTE5ODI4MDc4OTEDAAAAAzE2MAIAAAACNzUEAAAAATAHAAAACTQvMjgvMjAyNggAAAAJNi8zMC8yMDI0CQAAAAEwXRlfVUql3ggFJqeKSqXeCBlDSVEuOTkyLklRX1JEX0VYUC5JUV9GWS05AQAAAAhCBgACAAAABzE0OTEuMzcBCAAAAAUAAAABMQEAAAAKMTg0NjE0Nzk4MwMAAAADMTYwAgAAAAMxMDAEAAAAATAHAAAACTQvMjgvMjAyNggAAAAJMy8zMS8yMDE2CQAAAAEwUfJeVUql3gj9waWKSqXeCBpDSVEuOTkyLklRX0lOQ19UQVguSVFfRlktMAEAAAAIQgYAAgAAAAYxOC45MTgBCAAAAAUAAAABMQEAAAALLTE5Mzc2NjQ4ODADAAAAAzE2MAIAAAACNzUEAAAAATAHAAAACTQvMjgvMjAyNggAAAAJMy8zMS8yMDI1CQAAAAEwXRlfVUql3ggMEKaKSqXeCBhDSVEuOTkyLklRX0RBX0NGLklRX0ZZLTcBAAAACEIGAAIAAAAHNjQzLjM3MwEIAAAABQAAAAExAQAAAAoxOTY3NDQ3OTI0AwAAAAMxNjACAAAABDIxNjAEAAAAATAHAAAACTQvMjgvMjAyNggAAAAJMy8zMS8yMDE4CQAAAAEwUfJeVUql3gjVmqWKSqXeCB9DSVEuOTkyLklRX0lOVEVSRVNUX0VY</t>
  </si>
  <si>
    <t>UC5JUV9GWS0yAQAAAAhCBgACAAAACC0zMTYuMTEyAQgAAAAFAAAAATEBAAAACy0xOTg5Mjg3NTEyAwAAAAMxNjACAAAAAjgyBAAAAAEwBwAAAAk0LzI4LzIwMjYIAAAACTMvMzEvMjAyMwkAAAABMFHyXlVKpd4I3nOlikql3ggZQ0lRLjk5Mi5JUV9FQklUREEuSVFfRlktOAEAAAAIQgYAAgAAAAgxMTgxLjU3NwEIAAAABQAAAAExAQAAAAoxODkyMjQ1NzUyAwAAAAMxNjACAAAABDQwNTEEAAAAATAHAAAACTQvMjgvMjAyNggAAAAJMy8zMS8yMDE3CQAAAAEwUfJeVUql3gikJaWKSqXeCBdDSVEuOTkyLklRX0VCSVQuSVFfRlktMwEAAAAIQgYAAgAAAAgyOTcxLjMxNQEIAAAABQAAAAExAQAAAAstMjAzOTQ2MDcwMgMAAAADMTYwAgAAAAM0MDAEAAAAATAHAAAACTQvMjgvMjAyNggAAAAJMy8zMS8yMDIyCQAAAAEwUfJeVUql3ggc/qSKSqXeCB9DSVEuOTkyLklRX1RPVEFMX0VRVUlUWS5JUV9GWS0yAQAAAAhCBgACAAAACDYwNDcuMDIxAQgAAAAFAAAAATEBAAAACy0xOTg5Mjg3NTEyAwAAAAMxNjACAAAABDEyNzUEAAAAATAHAAAACTQvMjgvMjAyNggAAAAJMy8zMS8yMDIzCQAAAAEwXRlfVUql3giKTaeKSqXeCBpDSVEuOTkyLklRX0lOQ19UQVguSVFfRlEtNQEAAAAIQgYAAgAAAAU4OS45MQEIAAAABQAAAAExAQAAAAstMTkxMjY4ODQ5MgMAAAADMTYwAgAAAAI3NQQAAAABMAcAAAAJNC8yOC8yMDI2CAAA</t>
  </si>
  <si>
    <t>AAk5LzMwLzIwMjQJAAAAATBdGV9VSqXeCAUmp4pKpd4IK0NJUS45OTIuSVFfT1BFUkFUSU5HX0xFQVNFX1BBWU1FTlRTLklRX0ZRLTUBAAAACEIGAAIAAAAHLTI3LjU4NwEIAAAABQAAAAExAQAAAAstMTkxMjY4ODQ5MgMAAAADMTYwAgAAAAU0ODM1OQQAAAABMAcAAAAJNC8yOC8yMDI2CAAAAAk5LzMwLzIwMjQJAAAAATBdGV9VSqXeCAUmp4pKpd4IGUNJUS45OTIuSVFfUkRfRVhQLklRX0ZRLTUBAAAACEIGAAIAAAAHNTQ3LjUyOAEIAAAABQAAAAExAQAAAAstMTkxMjY4ODQ5MgMAAAADMTYwAgAAAAMxMDAEAAAAATAHAAAACTQvMjgvMjAyNggAAAAJOS8zMC8yMDI0CQAAAAEwXRlfVUql3gic56aKSqXeCB9DSVEuOTkyLklRX0lOVEVSRVNUX0VYUC5JUV9GUS01AQAAAAhCBgACAAAABy02NC4yNTEBCAAAAAUAAAABMQEAAAALLTE5MTI2ODg0OTIDAAAAAzE2MAIAAAACODIEAAAAATAHAAAACTQvMjgvMjAyNggAAAAJOS8zMC8yMDI0CQAAAAEwXRlfVUql3gjTwKaKSqXeCBlDSVEuOTkyLklRX0VCSVREQS5JUV9GUS01AQAAAAhCBgACAAAABzkxOC40NzgBCAAAAAUAAAABMQEAAAALLTE5MTI2ODg0OTIDAAAAAzE2MAIAAAAENDA1MQQAAAABMAcAAAAJNC8yOC8yMDI2CAAAAAk5LzMwLzIwMjQJAAAAATBdGV9VSqXeCGhypopKpd4IHENJUS45OTIuSVFfVE9UQUxfUkVWLklRX0ZRLTUBAAAACEIGAAIAAAAJ</t>
  </si>
  <si>
    <t>MTc4NTAuMDk0AQgAAAAFAAAAATEBAAAACy0xOTEyNjg4NDkyAwAAAAMxNjACAAAAAjI4BAAAAAEwBwAAAAk0LzI4LzIwMjYIAAAACTkvMzAvMjAyNAkAAAABMF0ZX1VKpd4IGUumikql3ggrQ0lRLjk5Mi5JUV9PUEVSQVRJTkdfTEVBU0VfUEFZTUVOVFMuSVFfRlktNgEAAAAIQgYAAwAAAAAAUfJeVUql3gjv6KWKSqXeCBhDSVEuOTkyLklRX0NBUEVYLklRX0ZZLTEBAAAACEIGAAIAAAAILTcyOS43NzcBCAAAAAUAAAABMQEAAAALLTE5Mzc2NjQ4ODgDAAAAAzE2MAIAAAAEMjAyMQQAAAABMAcAAAAJNC8yOC8yMDI2CAAAAAkzLzMxLzIwMjQJAAAAATBR8l5VSqXeCP3BpYpKpd4IGUNJUS45OTIuSVFfRUJJVERBLklRX0ZZLTcBAAAACEIGAAIAAAAIMTM1Ny43NDIBCAAAAAUAAAABMQEAAAAKMTk2NzQ0NzkyNAMAAAADMTYwAgAAAAQ0MDUxBAAAAAEwBwAAAAk0LzI4LzIwMjYIAAAACTMvMzEvMjAxOAkAAAABMFHyXlVKpd4IpCWlikql3ggWQ0lRLjk5Mi5JUV9OSS5JUV9GWS0xMAEAAAAIQgYAAgAAAAc4MjguNzE1AQgAAAAFAAAAATEBAAAACjE3OTU1Mzg1OTkDAAAAAzE2MAIAAAACMTUEAAAAATAHAAAACTQvMjgvMjAyNggAAAAJMy8zMS8yMDE1CQAAAAEwUfJeVUql3gipTKWKSqXeCBlDSVEuOTkyLklRX0VCSVREQS5JUV9GWS01AQAAAAhCBgACAAAACDIxMTQuNTc5AQgAAAAFAAAAATEBAAAACy0yMTQ2</t>
  </si>
  <si>
    <t>NjE2MzI1AwAAAAMxNjACAAAABDQwNTEEAAAAATAHAAAACTQvMjgvMjAyNggAAAAJMy8zMS8yMDIwCQAAAAEwUfJeVUql3gikJaWKSqXeCB1DSVEuOTkyLklRX1RPVEFMX0RFQlQuSVFfRlktNQEAAAAIQgYAAgAAAAg1Mjk4LjM4MQEIAAAABQAAAAExAQAAAAstMjE0NjYxNjMyNQMAAAADMTYwAgAAAAQ0MTczBAAAAAEwBwAAAAk0LzI4LzIwMjYIAAAACTMvMzEvMjAyMAkAAAABMF0ZX1VKpd4InYinikql3ggaQ0lRLjk5Mi5JUV9SRF9FWFAuSVFfRlktMTABAAAACEIGAAIAAAAIMTIyMC45MTkBCAAAAAUAAAABMQEAAAAKMTc5NTUzODU5OQMAAAADMTYwAgAAAAMxMDAEAAAAATAHAAAACTQvMjgvMjAyNggAAAAJMy8zMS8yMDE1CQAAAAEwUfJeVUql3gj9waWKSqXeCBxDSVEuOTkyLklRX1RPVEFMX1JFVi5JUV9GUS0yAQAAAAhCBgACAAAABTE4ODMwAQgAAAAFAAAAATEBAAAACy0xOTMxMjY2MjQ1AwAAAAMxNjACAAAAAjI4BAAAAAEwBwAAAAk0LzI4LzIwMjYIAAAACTYvMzAvMjAyNQkAAAABMF0ZX1VKpd4IGUumikql3ggdQ0lRLjk5Mi5JUV9UT1RBTF9SRVYuSVFfRlktMTABAAAACEIGAAIAAAAJNDYyOTUuNTkzAQgAAAAFAAAAATEBAAAACjE3OTU1Mzg1OTkDAAAAAzE2MAIAAAACMjgEAAAAATAHAAAACTQvMjgvMjAyNggAAAAJMy8zMS8yMDE1CQAAAAEwUfJeVUql3ggc/qSKSqXeCBpDSVEuOTkyLklR</t>
  </si>
  <si>
    <t>X0lOQ19UQVguSVFfRlEtMAEAAAAIQgYAAgAAAAcxNzAuMjE1AQgAAAAFAAAAATEBAAAACy0xOTA3MTYwMjc0AwAAAAMxNjACAAAAAjc1BAAAAAEwBwAAAAk0LzI4LzIwMjYIAAAACjEyLzMxLzIwMjUJAAAAATBdGV9VSqXeCAUmp4pKpd4IHUNJUS45OTIuSVFfVE9UQUxfREVCVC5JUV9GWS0zAQAAAAhCBgACAAAACDM4MjkuMjY3AQgAAAAFAAAAATEBAAAACy0yMDM5NDYwNzAyAwAAAAMxNjACAAAABDQxNzMEAAAAATAHAAAACTQvMjgvMjAyNggAAAAJMy8zMS8yMDIyCQAAAAEwXRlfVUql3gidiKeKSqXeCB1DSVEuOTkyLklRX0NBU0hfRVFVSVYuSVFfRlktOQEAAAAIQgYAAgAAAAcxOTI2Ljg4AQgAAAAFAAAAATEBAAAACjE4NDYxNDc5ODMDAAAAAzE2MAIAAAAEMTA5NgQAAAABMAcAAAAJNC8yOC8yMDI2CAAAAAkzLzMxLzIwMTYJAAAAATBdGV9VSqXeCKB0p4pKpd4IGkNJUS45OTIuSVFfSU5DX1RBWC5JUV9GUS0xAQAAAAhCBgACAAAABzExMy45OTMBCAAAAAUAAAABMQEAAAALLTE5MTI2ODg0NzQDAAAAAzE2MAIAAAACNzUEAAAAATAHAAAACTQvMjgvMjAyNggAAAAJOS8zMC8yMDI1CQAAAAEwXRlfVUql3ggFJqeKSqXeCCtDSVEuOTkyLklRX09QRVJBVElOR19MRUFTRV9QQVlNRU5UUy5JUV9GUS0xAQAAAAhCBgADAAAAAABdGV9VSqXeCAkPp4pKpd4IGUNJUS45OTIuSVFfUkRfRVhQLklRX0ZRLTEB</t>
  </si>
  <si>
    <t>AAAACEIGAAIAAAAHNTgwLjU4NQEIAAAABQAAAAExAQAAAAstMTkxMjY4ODQ3NAMAAAADMTYwAgAAAAMxMDAEAAAAATAHAAAACTQvMjgvMjAyNggAAAAJOS8zMC8yMDI1CQAAAAEwXRlfVUql3gjTwKaKSqXeCBxDSVEuOTkyLklRX1RPVEFMX1JFVi5JUV9GUS0xAQAAAAhCBgACAAAACTIwNDUyLjAyMgEIAAAABQAAAAExAQAAAAstMTkxMjY4ODQ3NAMAAAADMTYwAgAAAAIyOAQAAAABMAcAAAAJNC8yOC8yMDI2CAAAAAk5LzMwLzIwMjUJAAAAATBdGV9VSqXeCBlLpopKpd4IGUNJUS45OTIuSVFfUkRfRVhQLklRX0ZZLTgBAAAACEIGAAIAAAAIMTM2MS42OTEBCAAAAAUAAAABMQEAAAAKMTg5MjI0NTc1MgMAAAADMTYwAgAAAAMxMDAEAAAAATAHAAAACTQvMjgvMjAyNggAAAAJMy8zMS8yMDE3CQAAAAEwUfJeVUql3gj9waWKSqXeCB1DSVEuOTkyLklRX1RPVEFMX0RFQlQuSVFfRlktMgEAAAAIQgYAAgAAAAc0MzU5LjM1AQgAAAAFAAAAATEBAAAACy0xOTg5Mjg3NTEyAwAAAAMxNjACAAAABDQxNzMEAAAAATAHAAAACTQvMjgvMjAyNggAAAAJMy8zMS8yMDIzCQAAAAEwXRlfVUql3gidiKeKSqXeCBVDSVEuOTkyLklRX05JLklRX0ZZLTgBAAAACEIGAAIAAAAHNTM2Ljk1NgEIAAAABQAAAAExAQAAAAoxODkyMjQ1NzUyAwAAAAMxNjACAAAAAjE1BAAAAAEwBwAAAAk0LzI4LzIwMjYIAAAACTMvMzEvMjAxNwkA</t>
  </si>
  <si>
    <t>AAABMFHyXlVKpd4IqUylikql3ggfQ0lRLjk5Mi5JUV9JTlRFUkVTVF9FWFAuSVFfRlEtMQEAAAAIQgYAAgAAAActNzQuNjMyAQgAAAAFAAAAATEBAAAACy0xOTEyNjg4NDc0AwAAAAMxNjACAAAAAjgyBAAAAAEwBwAAAAk0LzI4LzIwMjYIAAAACTkvMzAvMjAyNQkAAAABMF0ZX1VKpd4IdJmmikql3ggcQ0lRLk1TRlQuSVFfT1BUSU9OU19BVkdfTElGRQUAAAAAAAAACAAAABYoSW52YWxpZCBGb3JtdWxhIE5hbWUpVmYphUql3ggRWmSFSqXeCBRDSVEuTVNGVC5JUV9FWENIQU5HRQEAAABLVQAAAwAAAAhOYXNkYXFHUwBWZimFSqXeCEkvZIVKpd4IFkNJUS5NU0ZULklRX0NMT1NFUFJJQ0UBAAAAS1UAAAIAAAAGNDI0LjgyAFZmKYVKpd4ISS9khUql3ggVQ0lRLk1TRlQuSVFfTUFSS0VUQ0FQAQAAAEtVAAACAAAADjMxNTQ1NTUuNzQ0MDY2AQYAAAAFAAAAATEBAAAACy0xOTA4NjcxNTMxAwAAAAMxNjACAAAABjEwMDA1NAQAAAABMAcAAAAJNC8yNy8yMDI2VmYphUql3ggAE2SFSqXeCBdDSVEuTVNGVC5JUV9PTF9DT01NX0NZNAEAAABLVQAAAwAAAAAAVmYphUql3ghJL2SFSqXeCB1DSVEuTVNGVC5JUV9PTF9DT01NX05FWFRfRklWRQEAAABLVQAAAwAAAAAAVmYphUql3ghJL2SFSqXeCB5DSVEuTVNGVC5JUV9QRVJJT0REQVRFLklRX0ZZLTABAAAAS1UAAAUAAAAJMjAyNS82LzMwAFZmKYVKpd4ISS9khUql</t>
  </si>
  <si>
    <t>3ggeQ0lRLk1TRlQuSVFfUEVSSU9EREFURS5JUV9GUS0wAQAAAEtVAAAFAAAACjIwMjUvMTIvMzEAVmYphUql3ghJL2SFSqXeCBZDSVEuTVNGVC5JUV9PTF9DT01NX0NZAQAAAEtVAAADAAAAAABWZimFSqXeCBFaZIVKpd4IF0NJUS5NU0ZULklRX09MX0NPTU1fQ1kxAQAAAEtVAAADAAAAAABWZimFSqXeCEkvZIVKpd4IF0NJUS5NU0ZULklRX09MX0NPTU1fQ1kyAQAAAEtVAAADAAAAAABWZimFSqXeCEkvZIVKpd4IF0NJUS5NU0ZULklRX09MX0NPTU1fQ1kzAQAAAEtVAAADAAAAAABWZimFSqXeCEkvZIVKpd4IG0NJUS5NU0ZULklRX0ZJTElOR19DVVJSRU5DWQEAAABLVQAAAwAAAANVU0QAVmYphUql3ghJL2SFSqXeCCFDSVEuTVNGVC5JUV9FRkZFQ1RfVEFYX1JBVEUuSVFfRlkBAAAAS1UAAAIAAAAHMTcuNjI5NgEIAAAABQAAAAExAQAAAAstMTkzNDI1NDIxNgMAAAADMTYwAgAAAAQ0Mzc2BAAAAAEwBwAAAAk0LzI4LzIwMjYIAAAACTYvMzAvMjAyNQkAAAABMFZmKYVKpd4ISS9khUql3ggaQ0lRLk1TRlQuSVFfT1BUSU9OU19FTkRfT1MBAAAAS1UAAAMAAAAAAFZmKYVKpd4IABNkhUql3ggjQ0lRLk1TRlQuSVFfT1BUSU9OU19TVFJJS0VfUFJJQ0VfT1MBAAAAS1UAAAMAAAAAAFZmKYVKpd4IABNkhUql3ggxQ0lRLk1TRlQuSVFfVE9UQUxfT1VUU1RBTkRJTkdfRklMSU5HX0RBVEUuSVFfRlEtMAEAAABL</t>
  </si>
  <si>
    <t>VQAAAgAAAAs3NDI1LjYyOTA3NgEEAAAABQAAAAE1AQAAAAstMTkwODY3MTUzMQIAAAAFMjQxNTMGAAAAATBWZimFSqXeCEkvZIVKpd4IHUNJUS5NU0ZULklRX0xUX0lOVkVTVC5JUV9GUS0wAQAAAEtVAAACAAAABTIxMjAyAQgAAAAFAAAAATEBAAAACy0xOTA4NjcxNTMxAwAAAAMxNjACAAAABDEwNTQEAAAAATAHAAAACTQvMjgvMjAyNggAAAAKMTIvMzEvMjAyNQkAAAABMFZmKYVKpd4ISS9khUql3gglQ0lRLk1TRlQuSVFfTUlOT1JJVFlfSU5URVJFU1QuSVFfRlEtMAEAAABLVQAAAwAAAAAAVmYphUql3ghJL2SFSqXeCCVDSVEuTVNGVC5JUV9NSU5PUklUWV9JTlRFUkVTVC5JUV9GWS05AQAAAEtVAAADAAAAAABWZimFSqXeCAATZIVKpd4IJkNJUS5NU0ZULklRX01JTk9SSVRZX0lOVEVSRVNULklRX0ZZLTEwAQAAAEtVAAADAAAAAABWZimFSqXeCAATZIVKpd4IHkNJUS5NU0ZULklRX0NBU0hfRVFVSVYuSVFfRlEtMAEAAABLVQAAAgAAAAUyNDI5NgEIAAAABQAAAAExAQAAAAstMTkwODY3MTUzMQMAAAADMTYwAgAAAAQxMDk2BAAAAAEwBwAAAAk0LzI4LzIwMjYIAAAACjEyLzMxLzIwMjUJAAAAATBWZimFSqXeCAATZIVKpd4IIENJUS5NU0ZULklRX1RPVEFMX0VRVUlUWS5JUV9GUS0wAQAAAEtVAAACAAAABjM5MDg3NQEIAAAABQAAAAExAQAAAAstMTkwODY3MTUzMQMAAAADMTYwAgAAAAQxMjc1BAAA</t>
  </si>
  <si>
    <t>AAEwBwAAAAk0LzI4LzIwMjYIAAAACjEyLzMxLzIwMjUJAAAAATBWZimFSqXeCAATZIVKpd4IHkNJUS5NU0ZULklRX1RPVEFMX0RFQlQuSVFfRlEtMAEAAABLVQAAAgAAAAYxMjMyNzgBCAAAAAUAAAABMQEAAAALLTE5MDg2NzE1MzEDAAAAAzE2MAIAAAAENDE3MwQAAAABMAcAAAAJNC8yOC8yMDI2CAAAAAoxMi8zMS8yMDI1CQAAAAEwVmYphUql3ggAE2SFSqXeCCVDSVEuTVNGVC5JUV9NSU5PUklUWV9JTlRFUkVTVC5JUV9GWS0yAQAAAEtVAAADAAAAAABWZimFSqXeCD3sY4VKpd4IJUNJUS5NU0ZULklRX01JTk9SSVRZX0lOVEVSRVNULklRX0ZZLTMBAAAAS1UAAAMAAAAAAFZmKYVKpd4IPexjhUql3ggdQ0lRLk1TRlQuSVFfTFRfSU5WRVNULklRX0ZZLTUBAAAAS1UAAAIAAAAEMjk2NQEIAAAABQAAAAExAQAAAAstMjA4NzQ5NjYyNwMAAAADMTYwAgAAAAQxMDU0BAAAAAEwBwAAAAk0LzI4LzIwMjYIAAAACTYvMzAvMjAyMAkAAAABMFZmKYVKpd4IPexjhUql3ggdQ0lRLk1TRlQuSVFfTFRfSU5WRVNULklRX0ZZLTYBAAAAS1UAAAIAAAAEMjY0OQEIAAAABQAAAAExAQAAAAstMjE0MDk4MTQ2OQMAAAADMTYwAgAAAAQxMDU0BAAAAAEwBwAAAAk0LzI4LzIwMjYIAAAACTYvMzAvMjAxOQkAAAABMFZmKYVKpd4IPexjhUql3ggbQ0lRLjk5Mi5JUV9PUFRJT05TX0FWR19MSUZFBQAAAAAAAAAIAAAAFihJbnZh</t>
  </si>
  <si>
    <t>bGlkIEZvcm11bGEgTmFtZSk2WvOKSqXeCKa1BItKpd4IE0NJUS45OTIuSVFfRVhDSEFOR0UBAAAACEIGAAMAAAAEU0VISwA2WvOKSqXeCKa1BItKpd4IFENJUS45OTIuSVFfTUFSS0VUQ0FQAQAAAAhCBgACAAAADTE0Njc0Ny4xMTk1NDMBBgAAAAUAAAABMQEAAAALLTE5MDcxNjAyNzQDAAAAAjY0AgAAAAYxMDAwNTQEAAAAATAHAAAACTQvMjgvMjAyNjZa84pKpd4IpfAEi0ql3ggVQ0lRLjk5Mi5JUV9DTE9TRVBSSUNFAQAAAAhCBgACAAAABTExLjgzADZa84pKpd4IpfAEi0ql3ggfQ0lRLjk5Mi5JUV9UT1RBTF9FUVVJVFkuSVFfRlktNQEAAAAIQgYAAgAAAAg0MDU5LjI5NQEIAAAABQAAAAExAQAAAAstMjE0NjYxNjMyNQMAAAADMTYwAgAAAAQxMjc1BAAAAAEwBwAAAAk0LzI4LzIwMjYIAAAACTMvMzEvMjAyMAkAAAABMDZa84pKpd4IPz8Fi0ql3ggdQ0lRLjk5Mi5JUV9UT1RBTF9ERUJULklRX0ZZLTQBAAAACEIGAAIAAAAINDQ2NC43NzkBCAAAAAUAAAABMQEAAAALLTIwOTE1NzA3MDYDAAAAAzE2MAIAAAAENDE3MwQAAAABMAcAAAAJNC8yOC8yMDI2CAAAAAkzLzMxLzIwMjEJAAAAATA2WvOKSqXeCD8/BYtKpd4IHUNJUS45OTIuSVFfVE9UQUxfREVCVC5JUV9GWS03AQAAAAhCBgACAAAACDM4MTUuNDE3AQgAAAAFAAAAATEBAAAACjE5Njc0NDc5MjQDAAAAAzE2MAIAAAAENDE3MwQAAAABMAcAAAAJ</t>
  </si>
  <si>
    <t>NC8yOC8yMDI2CAAAAAkzLzMxLzIwMTgJAAAAATA2WvOKSqXeCD8/BYtKpd4IHUNJUS45OTIuSVFfVE9UQUxfREVCVC5JUV9GWS04AQAAAAhCBgACAAAACDMwMzYuNjk1AQgAAAAFAAAAATEBAAAACjE4OTIyNDU3NTIDAAAAAzE2MAIAAAAENDE3MwQAAAABMAcAAAAJNC8yOC8yMDI2CAAAAAkzLzMxLzIwMTcJAAAAATA2WvOKSqXeCD8/BYtKpd4IMUNJUS45OTIuSVFfVE9UQUxfT1VUU1RBTkRJTkdfRklMSU5HX0RBVEUuSVFfRlktMTABAAAACEIGAAIAAAAMMTExMDguNjU0NzI0AQQAAAAFAAAAATUBAAAACjE3OTU1Mzg1OTkCAAAABTI0MTUzBgAAAAEwNlrzikql3gg/PwWLSqXeCDBDSVEuOTkyLklRX1RPVEFMX09VVFNUQU5ESU5HX0ZJTElOR19EQVRFLklRX0ZZLTEBAAAACEIGAAIAAAAMMTI0MDQuNjU5MzAyAQQAAAAFAAAAATUBAAAACy0xOTM3NjY0ODg4AgAAAAUyNDE1MwYAAAABMDZa84pKpd4IPz8Fi0ql3ggwQ0lRLjk5Mi5JUV9UT1RBTF9PVVRTVEFORElOR19GSUxJTkdfREFURS5JUV9GWS0yAQAAAAhCBgACAAAADDEyMTI4LjEzMDI5MQEEAAAABQAAAAE1AQAAAAstMTk4OTI4NzUxMgIAAAAFMjQxNTMGAAAAATA2WvOKSqXeCD8/BYtKpd4IMENJUS45OTIuSVFfVE9UQUxfT1VUU1RBTkRJTkdfRklMSU5HX0RBVEUuSVFfRlktMwEAAAAIQgYAAgAAAAwxMjA0MS43MDU2MTQBBAAAAAUAAAABNQEA</t>
  </si>
  <si>
    <t>AAALLTIwMzk0NjA3MDICAAAABTI0MTUzBgAAAAEwNlrzikql3gg/PwWLSqXeCDBDSVEuOTkyLklRX1RPVEFMX09VVFNUQU5ESU5HX0ZJTElOR19EQVRFLklRX0ZZLTQBAAAACEIGAAIAAAAMMTIwNDEuNzA1NjE0AQQAAAAFAAAAATUBAAAACy0yMDkxNTcwNzA2AgAAAAUyNDE1MwYAAAABMDZa84pKpd4IPz8Fi0ql3ggwQ0lRLjk5Mi5JUV9UT1RBTF9PVVRTVEFORElOR19GSUxJTkdfREFURS5JUV9GWS01AQAAAAhCBgACAAAADDEyMDE0Ljc5MTYxNAEEAAAABQAAAAE1AQAAAAstMjE0NjYxNjMyNQIAAAAFMjQxNTMGAAAAATA2WvOKSqXeCD8/BYtKpd4IHENJUS45OTIuSVFfTFRfSU5WRVNULklRX0ZZLTMBAAAACEIGAAIAAAAIMTUwOC41MjcBCAAAAAUAAAABMQEAAAALLTIwMzk0NjA3MDIDAAAAAzE2MAIAAAAEMTA1NAQAAAABMAcAAAAJNC8yOC8yMDI2CAAAAAkzLzMxLzIwMjIJAAAAATA2WvOKSqXeCD8/BYtKpd4IHENJUS45OTIuSVFfTFRfSU5WRVNULklRX0ZZLTQBAAAACEIGAAIAAAAHOTU1LjI2NAEIAAAABQAAAAExAQAAAAstMjA5MTU3MDcwNgMAAAADMTYwAgAAAAQxMDU0BAAAAAEwBwAAAAk0LzI4LzIwMjYIAAAACTMvMzEvMjAyMQkAAAABMDZa84pKpd4IPz8Fi0ql3ggwQ0lRLjk5Mi5JUV9UT1RBTF9PVVRTVEFORElOR19GSUxJTkdfREFURS5JUV9GWS02AQAAAAhCBgACAAAADDEyMDE0Ljc5</t>
  </si>
  <si>
    <t>MTYxNAEEAAAABQAAAAE1AQAAAAoyMDQwMTU1ODMzAgAAAAUyNDE1MwYAAAABMDZa84pKpd4IFBgFi0ql3ggwQ0lRLjk5Mi5JUV9UT1RBTF9PVVRTVEFORElOR19GSUxJTkdfREFURS5JUV9GWS03AQAAAAhCBgACAAAADDEyMDE0Ljc5MTYxNAEEAAAABQAAAAE1AQAAAAoxOTY3NDQ3OTI0AgAAAAUyNDE1MwYAAAABMDZa84pKpd4IFBgFi0ql3ggwQ0lRLjk5Mi5JUV9UT1RBTF9PVVRTVEFORElOR19GSUxJTkdfREFURS5JUV9GWS04AQAAAAhCBgACAAAADDExMTA4LjY1NDcyNAEEAAAABQAAAAE1AQAAAAoxODkyMjQ1NzUyAgAAAAUyNDE1MwYAAAABMCiB84pKpd4IFBgFi0ql3ggwQ0lRLjk5Mi5JUV9UT1RBTF9PVVRTVEFORElOR19GSUxJTkdfREFURS5JUV9GWS05AQAAAAhCBgACAAAADDExMTA4LjY1NDcyNAEEAAAABQAAAAE1AQAAAAoxODQ2MTQ3OTgzAgAAAAUyNDE1MwYAAAABMCiB84pKpd4IFBgFi0ql3ggcQ0lRLjk5Mi5JUV9MVF9JTlZFU1QuSVFfRlktNwEAAAAIQgYAAgAAAAc0MDguNzQzAQgAAAAFAAAAATEBAAAACjE5Njc0NDc5MjQDAAAAAzE2MAIAAAAEMTA1NAQAAAABMAcAAAAJNC8yOC8yMDI2CAAAAAkzLzMxLzIwMTgJAAAAATAogfOKSqXeCD8/BYtKpd4IHENJUS45OTIuSVFfTFRfSU5WRVNULklRX0ZZLTgBAAAACEIGAAIAAAAHMjg4LjQ2NQEIAAAABQAAAAExAQAAAAoxODkyMjQ1NzUy</t>
  </si>
  <si>
    <t>AwAAAAMxNjACAAAABDEwNTQEAAAAATAHAAAACTQvMjgvMjAyNggAAAAJMy8zMS8yMDE3CQAAAAEwKIHzikql3gg/PwWLSqXeCBxDSVEuOTkyLklRX0xUX0lOVkVTVC5JUV9GWS05AQAAAAhCBgACAAAABzE4MC4wMTEBCAAAAAUAAAABMQEAAAAKMTg0NjE0Nzk4MwMAAAADMTYwAgAAAAQxMDU0BAAAAAEwBwAAAAk0LzI4LzIwMjYIAAAACTMvMzEvMjAxNgkAAAABMCiB84pKpd4IFBgFi0ql3ggcQ0lRLjk5Mi5JUV9MVF9JTlZFU1QuSVFfRlktMAEAAAAIQgYAAgAAAAcxODI1LjQ3AQgAAAAFAAAAATEBAAAACy0xOTM3NjY0ODgwAwAAAAMxNjACAAAABDEwNTQEAAAAATAHAAAACTQvMjgvMjAyNggAAAAJMy8zMS8yMDI1CQAAAAEwKIHzikql3ggUGAWLSqXeCBxDSVEuOTkyLklRX0xUX0lOVkVTVC5JUV9GWS0xAQAAAAhCBgACAAAACDE3NjguNDQyAQgAAAAFAAAAATEBAAAACy0xOTM3NjY0ODg4AwAAAAMxNjACAAAABDEwNTQEAAAAATAHAAAACTQvMjgvMjAyNggAAAAJMy8zMS8yMDI0CQAAAAEwKIHzikql3ggUGAWLSqXeCBxDSVEuOTkyLklRX0xUX0lOVkVTVC5JUV9GWS0yAQAAAAhCBgACAAAACDE3MzguNDE0AQgAAAAFAAAAATEBAAAACy0xOTg5Mjg3NTEyAwAAAAMxNjACAAAABDEwNTQEAAAAATAHAAAACTQvMjgvMjAyNggAAAAJMy8zMS8yMDIzCQAAAAEwKIHzikql3ggUGAWLSqXeCCRDSVEuOTkyLklR</t>
  </si>
  <si>
    <t>X01JTk9SSVRZX0lOVEVSRVNULklRX0ZZLTABAAAACEIGAAIAAAAIMTEzOC4yODMBCAAAAAUAAAABMQEAAAALLTE5Mzc2NjQ4ODADAAAAAzE2MAIAAAAEMTA1MgQAAAABMAcAAAAJNC8yOC8yMDI2CAAAAAkzLzMxLzIwMjUJAAAAATAogfOKSqXeCBQYBYtKpd4IJENJUS45OTIuSVFfTUlOT1JJVFlfSU5URVJFU1QuSVFfRlktMQEAAAAIQgYAAgAAAAgxMDQ1Ljk0NwEIAAAABQAAAAExAQAAAAstMTkzNzY2NDg4OAMAAAADMTYwAgAAAAQxMDUyBAAAAAEwBwAAAAk0LzI4LzIwMjYIAAAACTMvMzEvMjAyNAkAAAABMCiB84pKpd4IFBgFi0ql3ggkQ0lRLjk5Mi5JUV9NSU5PUklUWV9JTlRFUkVTVC5JUV9GWS0yAQAAAAhCBgACAAAACDEwMDYuNzg0AQgAAAAFAAAAATEBAAAACy0xOTg5Mjg3NTEyAwAAAAMxNjACAAAABDEwNTIEAAAAATAHAAAACTQvMjgvMjAyNggAAAAJMy8zMS8yMDIzCQAAAAEwKIHzikql3ggUGAWLSqXeCCRDSVEuOTkyLklRX01JTk9SSVRZX0lOVEVSRVNULklRX0ZZLTMBAAAACEIGAAIAAAAHOTUxLjQxNQEIAAAABQAAAAExAQAAAAstMjAzOTQ2MDcwMgMAAAADMTYwAgAAAAQxMDUyBAAAAAEwBwAAAAk0LzI4LzIwMjYIAAAACTMvMzEvMjAyMgkAAAABMCiB84pKpd4IFBgFi0ql3ggcQ0lRLjk5Mi5JUV9MVF9JTlZFU1QuSVFfRlktNQEAAAAIQgYAAgAAAAY2MTEuMjUBCAAAAAUAAAABMQEA</t>
  </si>
  <si>
    <t>AAALLTIxNDY2MTYzMjUDAAAAAzE2MAIAAAAEMTA1NAQAAAABMAcAAAAJNC8yOC8yMDI2CAAAAAkzLzMxLzIwMjAJAAAAATAogfOKSqXeCBQYBYtKpd4IHENJUS45OTIuSVFfTFRfSU5WRVNULklRX0ZZLTYBAAAACEIGAAIAAAAGNTk5LjkxAQgAAAAFAAAAATEBAAAACjIwNDAxNTU4MzMDAAAAAzE2MAIAAAAEMTA1NAQAAAABMAcAAAAJNC8yOC8yMDI2CAAAAAkzLzMxLzIwMTkJAAAAATAogfOKSqXeCBQYBYtKpd4IJENJUS45OTIuSVFfTUlOT1JJVFlfSU5URVJFU1QuSVFfRlktNAEAAAAIQgYAAgAAAAc4MTcuNzM1AQgAAAAFAAAAATEBAAAACy0yMDkxNTcwNzA2AwAAAAMxNjACAAAABDEwNTIEAAAAATAHAAAACTQvMjgvMjAyNggAAAAJMy8zMS8yMDIxCQAAAAEwKIHzikql3ggUGAWLSqXeCCRDSVEuOTkyLklRX01JTk9SSVRZX0lOVEVSRVNULklRX0ZZLTUBAAAACEIGAAIAAAAIMTYyNy45OTEBCAAAAAUAAAABMQEAAAALLTIxNDY2MTYzMjUDAAAAAzE2MAIAAAAEMTA1MgQAAAABMAcAAAAJNC8yOC8yMDI2CAAAAAkzLzMxLzIwMjAJAAAAATAogfOKSqXeCBQYBYtKpd4IJENJUS45OTIuSVFfTUlOT1JJVFlfSU5URVJFU1QuSVFfRlktNgEAAAAIQgYAAgAAAAgxNDY2Ljg0OAEIAAAABQAAAAExAQAAAAoyMDQwMTU1ODMzAwAAAAMxNjACAAAABDEwNTIEAAAAATAHAAAACTQvMjgvMjAyNggAAAAJMy8zMS8y</t>
  </si>
  <si>
    <t>MDE5CQAAAAEwKIHzikql3gil8ASLSqXeCCRDSVEuOTkyLklRX01JTk9SSVRZX0lOVEVSRVNULklRX0ZZLTcBAAAACEIGAAIAAAAIMTI0MC4yNjgBCAAAAAUAAAABMQEAAAAKMTk2NzQ0NzkyNAMAAAADMTYwAgAAAAQxMDUyBAAAAAEwBwAAAAk0LzI4LzIwMjYIAAAACTMvMzEvMjAxOAkAAAABMCiB84pKpd4IpfAEi0ql3ggkQ0lRLjk5Mi5JUV9NSU5PUklUWV9JTlRFUkVTVC5JUV9GWS04AQAAAAhCBgACAAAACDEwODQuNTIxAQgAAAAFAAAAATEBAAAACjE4OTIyNDU3NTIDAAAAAzE2MAIAAAAEMTA1MgQAAAABMAcAAAAJNC8yOC8yMDI2CAAAAAkzLzMxLzIwMTcJAAAAATAogfOKSqXeCKXwBItKpd4IHUNJUS45OTIuSVFfTFRfSU5WRVNULklRX0ZZLTEwAQAAAAhCBgACAAAABzExOS4xMTkBCAAAAAUAAAABMQEAAAAKMTc5NTUzODU5OQMAAAADMTYwAgAAAAQxMDU0BAAAAAEwBwAAAAk0LzI4LzIwMjYIAAAACTMvMzEvMjAxNQkAAAABMCiB84pKpd4IpfAEi0ql3ggkQ0lRLjk5Mi5JUV9NSU5PUklUWV9JTlRFUkVTVC5JUV9GWS05AQAAAAhCBgACAAAABzIzOC45NDkBCAAAAAUAAAABMQEAAAAKMTg0NjE0Nzk4MwMAAAADMTYwAgAAAAQxMDUyBAAAAAEwBwAAAAk0LzI4LzIwMjYIAAAACTMvMzEvMjAxNgkAAAABMCiB84pKpd4IFBgFi0ql3gglQ0lRLjk5Mi5JUV9NSU5PUklUWV9JTlRFUkVTVC5JUV9GWS0x</t>
  </si>
  <si>
    <t>MAEAAAAIQgYAAgAAAAcyMzUuMzc4AQgAAAAFAAAAATEBAAAACjE3OTU1Mzg1OTkDAAAAAzE2MAIAAAAEMTA1MgQAAAABMAcAAAAJNC8yOC8yMDI2CAAAAAkzLzMxLzIwMTUJAAAAATAogfOKSqXeCKXwBItKpd4IHUNJUS45OTIuSVFfQ0FTSF9FUVVJVi5JUV9GUS0wAQAAAAhCBgACAAAABzUyMjEuNDEBCAAAAAUAAAABMQEAAAALLTE5MDcxNjAyNzQDAAAAAzE2MAIAAAAEMTA5NgQAAAABMAcAAAAJNC8yOC8yMDI2CAAAAAoxMi8zMS8yMDI1CQAAAAEwKIHzikql3gil8ASLSqXeCB9DSVEuOTkyLklRX1RPVEFMX0VRVUlUWS5JUV9GUS0wAQAAAAhCBgACAAAACDc4NDYuMDc3AQgAAAAFAAAAATEBAAAACy0xOTA3MTYwMjc0AwAAAAMxNjACAAAABDEyNzUEAAAAATAHAAAACTQvMjgvMjAyNggAAAAKMTIvMzEvMjAyNQkAAAABMCiB84pKpd4IpfAEi0ql3ggdQ0lRLjk5Mi5JUV9UT1RBTF9ERUJULklRX0ZRLTABAAAACEIGAAIAAAAINTA1Mi40NjgBCAAAAAUAAAABMQEAAAALLTE5MDcxNjAyNzQDAAAAAzE2MAIAAAAENDE3MwQAAAABMAcAAAAJNC8yOC8yMDI2CAAAAAoxMi8zMS8yMDI1CQAAAAEwKIHzikql3gil8ASLSqXeCBlDSVEuOTkyLklRX09QVElPTlNfRU5EX09TAQAAAAhCBgADAAAAAAAogfOKSqXeCKXwBItKpd4IIkNJUS45OTIuSVFfT1BUSU9OU19TVFJJS0VfUFJJQ0VfT1MBAAAACEIGAAMAAAAA</t>
  </si>
  <si>
    <t>ACiB84pKpd4IpfAEi0ql3ggwQ0lRLjk5Mi5JUV9UT1RBTF9PVVRTVEFORElOR19GSUxJTkdfREFURS5JUV9GUS0wAQAAAAhCBgACAAAADDEyNDA0LjY1OTMwMgEEAAAABQAAAAE1AQAAAAstMTkwNzE2MDI3NAIAAAAFMjQxNTMGAAAAATAogfOKSqXeCKXwBItKpd4IHENJUS45OTIuSVFfTFRfSU5WRVNULklRX0ZRLTABAAAACEIGAAIAAAAIMjIxMC44NjUBCAAAAAUAAAABMQEAAAALLTE5MDcxNjAyNzQDAAAAAzE2MAIAAAAEMTA1NAQAAAABMAcAAAAJNC8yOC8yMDI2CAAAAAoxMi8zMS8yMDI1CQAAAAEwKIHzikql3gil8ASLSqXeCCRDSVEuOTkyLklRX01JTk9SSVRZX0lOVEVSRVNULklRX0ZRLTABAAAACEIGAAIAAAAIMTMyMS44NjQBCAAAAAUAAAABMQEAAAALLTE5MDcxNjAyNzQDAAAAAzE2MAIAAAAEMTA1MgQAAAABMAcAAAAJNC8yOC8yMDI2CAAAAAoxMi8zMS8yMDI1CQAAAAEwKIHzikql3gil8ASLSqXeCBZDSVEuOTkyLklRX09MX0NPTU1fQ1kxAQAAAAhCBgADAAAAAAAogfOKSqXeCKXwBItKpd4IFkNJUS45OTIuSVFfT0xfQ09NTV9DWTIBAAAACEIGAAMAAAAAACiB84pKpd4IpfAEi0ql3ggWQ0lRLjk5Mi5JUV9PTF9DT01NX0NZMwEAAAAIQgYAAwAAAAAAKIHzikql3gimtQSLSqXeCBpDSVEuOTkyLklRX0ZJTElOR19DVVJSRU5DWQEAAAAIQgYAAwAAAANVU0QAKIHzikql3gimtQSLSqXeCCBD</t>
  </si>
  <si>
    <t>SVEuOTkyLklRX0VGRkVDVF9UQVhfUkFURS5JUV9GWQEAAAAIQgYAAgAAAAYxLjI3NzQBCAAAAAUAAAABMQEAAAALLTE5Mzc2NjQ4ODADAAAAAzE2MAIAAAAENDM3NgQAAAABMAcAAAAJNC8yOC8yMDI2CAAAAAkzLzMxLzIwMjUJAAAAATAogfOKSqXeCKa1BItKpd4IFkNJUS45OTIuSVFfT0xfQ09NTV9DWTQBAAAACEIGAAMAAAAAACiB84pKpd4IprUEi0ql3ggcQ0lRLjk5Mi5JUV9PTF9DT01NX05FWFRfRklWRQEAAAAIQgYAAwAAAAAAKIHzikql3gimtQSLSqXeCB1DSVEuOTkyLklRX1BFUklPRERBVEUuSVFfRlktMAEAAAAIQgYABQAAAAkyMDI1LzMvMzEAKIHzikql3gimtQSLSqXeCB1DSVEuOTkyLklRX1BFUklPRERBVEUuSVFfRlEtMAEAAAAIQgYABQAAAAoyMDI1LzEyLzMxACiB84pKpd4IprUEi0ql3ggVQ0lRLjk5Mi5JUV9PTF9DT01NX0NZAQAAAAhCBgADAAAAAAAogfOKSqXeCKa1BItKpd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</si>
</sst>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4"/>
      <name val="宋体"/>
      <family val="3"/>
      <charset val="134"/>
    </font>
    <font>
      <i/>
      <sz val="11"/>
      <color rgb="FF666666"/>
      <name val="宋体"/>
      <family val="3"/>
      <charset val="134"/>
    </font>
    <font>
      <i/>
      <sz val="11"/>
      <color rgb="FF444444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10"/>
      <color rgb="FF0000CC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0" fontId="7" fillId="0" borderId="1" xfId="0" applyFont="1" applyBorder="1"/>
    <xf numFmtId="4" fontId="0" fillId="0" borderId="1" xfId="0" applyNumberFormat="1" applyBorder="1"/>
    <xf numFmtId="0" fontId="6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4C18-147F-458A-B3FE-4FCA3EA4124B}">
  <dimension ref="A1:BN1"/>
  <sheetViews>
    <sheetView workbookViewId="0"/>
  </sheetViews>
  <sheetFormatPr defaultRowHeight="14.1" x14ac:dyDescent="0.4"/>
  <sheetData>
    <row r="1" spans="1:66" x14ac:dyDescent="0.4">
      <c r="A1">
        <v>66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169</v>
      </c>
      <c r="Z1" t="s">
        <v>170</v>
      </c>
      <c r="AA1" t="s">
        <v>171</v>
      </c>
      <c r="AB1" t="s">
        <v>172</v>
      </c>
      <c r="AC1" t="s">
        <v>173</v>
      </c>
      <c r="AD1" t="s">
        <v>174</v>
      </c>
      <c r="AE1" t="s">
        <v>175</v>
      </c>
      <c r="AF1" t="s">
        <v>176</v>
      </c>
      <c r="AG1" t="s">
        <v>177</v>
      </c>
      <c r="AH1" t="s">
        <v>178</v>
      </c>
      <c r="AI1" t="s">
        <v>179</v>
      </c>
      <c r="AJ1" t="s">
        <v>180</v>
      </c>
      <c r="AK1" t="s">
        <v>181</v>
      </c>
      <c r="AL1" t="s">
        <v>182</v>
      </c>
      <c r="AM1" t="s">
        <v>183</v>
      </c>
      <c r="AN1" t="s">
        <v>184</v>
      </c>
      <c r="AO1" t="s">
        <v>185</v>
      </c>
      <c r="AP1" t="s">
        <v>186</v>
      </c>
      <c r="AQ1" t="s">
        <v>187</v>
      </c>
      <c r="AR1" t="s">
        <v>188</v>
      </c>
      <c r="AS1" t="s">
        <v>189</v>
      </c>
      <c r="AT1" t="s">
        <v>190</v>
      </c>
      <c r="AU1" t="s">
        <v>191</v>
      </c>
      <c r="AV1" t="s">
        <v>192</v>
      </c>
      <c r="AW1" t="s">
        <v>193</v>
      </c>
      <c r="AX1" t="s">
        <v>194</v>
      </c>
      <c r="AY1" t="s">
        <v>195</v>
      </c>
      <c r="AZ1" t="s">
        <v>196</v>
      </c>
      <c r="BA1" t="s">
        <v>197</v>
      </c>
      <c r="BB1" t="s">
        <v>198</v>
      </c>
      <c r="BC1" t="s">
        <v>199</v>
      </c>
      <c r="BD1" t="s">
        <v>200</v>
      </c>
      <c r="BE1" t="s">
        <v>201</v>
      </c>
      <c r="BF1" t="s">
        <v>202</v>
      </c>
      <c r="BG1" t="s">
        <v>203</v>
      </c>
      <c r="BH1" t="s">
        <v>204</v>
      </c>
      <c r="BI1" t="s">
        <v>205</v>
      </c>
      <c r="BJ1" t="s">
        <v>206</v>
      </c>
      <c r="BK1" t="s">
        <v>207</v>
      </c>
      <c r="BL1" t="s">
        <v>208</v>
      </c>
      <c r="BM1" t="s">
        <v>209</v>
      </c>
      <c r="BN1" t="s">
        <v>210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9"/>
  <sheetViews>
    <sheetView tabSelected="1" workbookViewId="0">
      <selection activeCell="B1" sqref="B1"/>
    </sheetView>
  </sheetViews>
  <sheetFormatPr defaultRowHeight="14.1" x14ac:dyDescent="0.4"/>
  <cols>
    <col min="1" max="1" width="30" customWidth="1"/>
    <col min="2" max="2" width="12" customWidth="1"/>
    <col min="3" max="3" width="55" customWidth="1"/>
    <col min="4" max="4" width="20" customWidth="1"/>
    <col min="5" max="5" width="40" customWidth="1"/>
  </cols>
  <sheetData>
    <row r="1" spans="1:5" ht="18.3" x14ac:dyDescent="0.55000000000000004">
      <c r="A1" s="1" t="s">
        <v>0</v>
      </c>
      <c r="B1" s="2">
        <v>992</v>
      </c>
      <c r="C1" s="3" t="s">
        <v>1</v>
      </c>
    </row>
    <row r="2" spans="1:5" x14ac:dyDescent="0.4">
      <c r="A2" t="s">
        <v>2</v>
      </c>
      <c r="B2" s="4" t="s">
        <v>3</v>
      </c>
    </row>
    <row r="4" spans="1:5" x14ac:dyDescent="0.4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4">
      <c r="A5" s="9" t="s">
        <v>9</v>
      </c>
      <c r="B5" s="10"/>
      <c r="C5" s="10"/>
      <c r="D5" s="10"/>
      <c r="E5" s="10"/>
    </row>
    <row r="6" spans="1:5" x14ac:dyDescent="0.4">
      <c r="A6" s="6" t="s">
        <v>10</v>
      </c>
      <c r="B6" s="6" t="s">
        <v>11</v>
      </c>
      <c r="C6" s="7">
        <f>_xll.ciqfunctions.udf.CIQ($B$1,"IQ_TOTAL_REV","IQ_FY-0")</f>
        <v>69076.967999999993</v>
      </c>
      <c r="D6" s="8">
        <f t="shared" ref="D6:D37" si="0">C6</f>
        <v>69076.967999999993</v>
      </c>
      <c r="E6" s="6" t="s">
        <v>12</v>
      </c>
    </row>
    <row r="7" spans="1:5" x14ac:dyDescent="0.4">
      <c r="A7" s="6" t="s">
        <v>10</v>
      </c>
      <c r="B7" s="6" t="s">
        <v>13</v>
      </c>
      <c r="C7" s="7">
        <f>_xll.ciqfunctions.udf.CIQ($B$1,"IQ_TOTAL_REV","IQ_FY-1")</f>
        <v>56863.784</v>
      </c>
      <c r="D7" s="8">
        <f t="shared" si="0"/>
        <v>56863.784</v>
      </c>
      <c r="E7" s="6" t="s">
        <v>12</v>
      </c>
    </row>
    <row r="8" spans="1:5" x14ac:dyDescent="0.4">
      <c r="A8" s="6" t="s">
        <v>10</v>
      </c>
      <c r="B8" s="6" t="s">
        <v>14</v>
      </c>
      <c r="C8" s="7">
        <f>_xll.ciqfunctions.udf.CIQ($B$1,"IQ_TOTAL_REV","IQ_FY-2")</f>
        <v>61946.853999999999</v>
      </c>
      <c r="D8" s="8">
        <f t="shared" si="0"/>
        <v>61946.853999999999</v>
      </c>
      <c r="E8" s="6" t="s">
        <v>12</v>
      </c>
    </row>
    <row r="9" spans="1:5" x14ac:dyDescent="0.4">
      <c r="A9" s="6" t="s">
        <v>10</v>
      </c>
      <c r="B9" s="6" t="s">
        <v>15</v>
      </c>
      <c r="C9" s="7">
        <f>_xll.ciqfunctions.udf.CIQ($B$1,"IQ_TOTAL_REV","IQ_FY-3")</f>
        <v>71618.216</v>
      </c>
      <c r="D9" s="8">
        <f t="shared" si="0"/>
        <v>71618.216</v>
      </c>
      <c r="E9" s="6" t="s">
        <v>12</v>
      </c>
    </row>
    <row r="10" spans="1:5" x14ac:dyDescent="0.4">
      <c r="A10" s="6" t="s">
        <v>10</v>
      </c>
      <c r="B10" s="6" t="s">
        <v>16</v>
      </c>
      <c r="C10" s="7">
        <f>_xll.ciqfunctions.udf.CIQ($B$1,"IQ_TOTAL_REV","IQ_FY-4")</f>
        <v>60742.311999999998</v>
      </c>
      <c r="D10" s="8">
        <f t="shared" si="0"/>
        <v>60742.311999999998</v>
      </c>
      <c r="E10" s="6" t="s">
        <v>12</v>
      </c>
    </row>
    <row r="11" spans="1:5" x14ac:dyDescent="0.4">
      <c r="A11" s="6" t="s">
        <v>10</v>
      </c>
      <c r="B11" s="6" t="s">
        <v>17</v>
      </c>
      <c r="C11" s="7">
        <f>_xll.ciqfunctions.udf.CIQ($B$1,"IQ_TOTAL_REV","IQ_FY-5")</f>
        <v>50716.349000000002</v>
      </c>
      <c r="D11" s="8">
        <f t="shared" si="0"/>
        <v>50716.349000000002</v>
      </c>
      <c r="E11" s="6" t="s">
        <v>12</v>
      </c>
    </row>
    <row r="12" spans="1:5" x14ac:dyDescent="0.4">
      <c r="A12" s="6" t="s">
        <v>10</v>
      </c>
      <c r="B12" s="6" t="s">
        <v>18</v>
      </c>
      <c r="C12" s="7">
        <f>_xll.ciqfunctions.udf.CIQ($B$1,"IQ_TOTAL_REV","IQ_FY-6")</f>
        <v>51037.942999999999</v>
      </c>
      <c r="D12" s="8">
        <f t="shared" si="0"/>
        <v>51037.942999999999</v>
      </c>
      <c r="E12" s="6" t="s">
        <v>12</v>
      </c>
    </row>
    <row r="13" spans="1:5" x14ac:dyDescent="0.4">
      <c r="A13" s="6" t="s">
        <v>10</v>
      </c>
      <c r="B13" s="6" t="s">
        <v>19</v>
      </c>
      <c r="C13" s="7">
        <f>_xll.ciqfunctions.udf.CIQ($B$1,"IQ_TOTAL_REV","IQ_FY-7")</f>
        <v>45349.942999999999</v>
      </c>
      <c r="D13" s="8">
        <f t="shared" si="0"/>
        <v>45349.942999999999</v>
      </c>
      <c r="E13" s="6" t="s">
        <v>12</v>
      </c>
    </row>
    <row r="14" spans="1:5" x14ac:dyDescent="0.4">
      <c r="A14" s="6" t="s">
        <v>10</v>
      </c>
      <c r="B14" s="6" t="s">
        <v>20</v>
      </c>
      <c r="C14" s="7">
        <f>_xll.ciqfunctions.udf.CIQ($B$1,"IQ_TOTAL_REV","IQ_FY-8")</f>
        <v>43034.731</v>
      </c>
      <c r="D14" s="8">
        <f t="shared" si="0"/>
        <v>43034.731</v>
      </c>
      <c r="E14" s="6" t="s">
        <v>12</v>
      </c>
    </row>
    <row r="15" spans="1:5" x14ac:dyDescent="0.4">
      <c r="A15" s="6" t="s">
        <v>10</v>
      </c>
      <c r="B15" s="6" t="s">
        <v>21</v>
      </c>
      <c r="C15" s="7">
        <f>_xll.ciqfunctions.udf.CIQ($B$1,"IQ_TOTAL_REV","IQ_FY-9")</f>
        <v>44912.097000000002</v>
      </c>
      <c r="D15" s="8">
        <f t="shared" si="0"/>
        <v>44912.097000000002</v>
      </c>
      <c r="E15" s="6" t="s">
        <v>12</v>
      </c>
    </row>
    <row r="16" spans="1:5" x14ac:dyDescent="0.4">
      <c r="A16" s="6" t="s">
        <v>10</v>
      </c>
      <c r="B16" s="6" t="s">
        <v>22</v>
      </c>
      <c r="C16" s="7">
        <f>_xll.ciqfunctions.udf.CIQ($B$1,"IQ_TOTAL_REV","IQ_FY-10")</f>
        <v>46295.593000000001</v>
      </c>
      <c r="D16" s="8">
        <f t="shared" si="0"/>
        <v>46295.593000000001</v>
      </c>
      <c r="E16" s="6" t="s">
        <v>12</v>
      </c>
    </row>
    <row r="17" spans="1:5" x14ac:dyDescent="0.4">
      <c r="A17" s="6" t="s">
        <v>23</v>
      </c>
      <c r="B17" s="6" t="s">
        <v>11</v>
      </c>
      <c r="C17" s="7">
        <f>_xll.ciqfunctions.udf.CIQ($B$1,"IQ_EBIT","IQ_FY-0")</f>
        <v>2006.902</v>
      </c>
      <c r="D17" s="8">
        <f t="shared" si="0"/>
        <v>2006.902</v>
      </c>
      <c r="E17" s="6" t="s">
        <v>24</v>
      </c>
    </row>
    <row r="18" spans="1:5" x14ac:dyDescent="0.4">
      <c r="A18" s="6" t="s">
        <v>23</v>
      </c>
      <c r="B18" s="6" t="s">
        <v>13</v>
      </c>
      <c r="C18" s="7">
        <f>_xll.ciqfunctions.udf.CIQ($B$1,"IQ_EBIT","IQ_FY-1")</f>
        <v>1990.8219999999999</v>
      </c>
      <c r="D18" s="8">
        <f t="shared" si="0"/>
        <v>1990.8219999999999</v>
      </c>
      <c r="E18" s="6" t="s">
        <v>24</v>
      </c>
    </row>
    <row r="19" spans="1:5" x14ac:dyDescent="0.4">
      <c r="A19" s="6" t="s">
        <v>23</v>
      </c>
      <c r="B19" s="6" t="s">
        <v>14</v>
      </c>
      <c r="C19" s="7">
        <f>_xll.ciqfunctions.udf.CIQ($B$1,"IQ_EBIT","IQ_FY-2")</f>
        <v>2444.2559999999999</v>
      </c>
      <c r="D19" s="8">
        <f t="shared" si="0"/>
        <v>2444.2559999999999</v>
      </c>
      <c r="E19" s="6" t="s">
        <v>24</v>
      </c>
    </row>
    <row r="20" spans="1:5" x14ac:dyDescent="0.4">
      <c r="A20" s="6" t="s">
        <v>23</v>
      </c>
      <c r="B20" s="6" t="s">
        <v>15</v>
      </c>
      <c r="C20" s="7">
        <f>_xll.ciqfunctions.udf.CIQ($B$1,"IQ_EBIT","IQ_FY-3")</f>
        <v>2971.3150000000001</v>
      </c>
      <c r="D20" s="8">
        <f t="shared" si="0"/>
        <v>2971.3150000000001</v>
      </c>
      <c r="E20" s="6" t="s">
        <v>24</v>
      </c>
    </row>
    <row r="21" spans="1:5" x14ac:dyDescent="0.4">
      <c r="A21" s="6" t="s">
        <v>23</v>
      </c>
      <c r="B21" s="6" t="s">
        <v>16</v>
      </c>
      <c r="C21" s="7">
        <f>_xll.ciqfunctions.udf.CIQ($B$1,"IQ_EBIT","IQ_FY-4")</f>
        <v>2441.761</v>
      </c>
      <c r="D21" s="8">
        <f t="shared" si="0"/>
        <v>2441.761</v>
      </c>
      <c r="E21" s="6" t="s">
        <v>24</v>
      </c>
    </row>
    <row r="22" spans="1:5" x14ac:dyDescent="0.4">
      <c r="A22" s="6" t="s">
        <v>23</v>
      </c>
      <c r="B22" s="6" t="s">
        <v>17</v>
      </c>
      <c r="C22" s="7">
        <f>_xll.ciqfunctions.udf.CIQ($B$1,"IQ_EBIT","IQ_FY-5")</f>
        <v>1400.3810000000001</v>
      </c>
      <c r="D22" s="8">
        <f t="shared" si="0"/>
        <v>1400.3810000000001</v>
      </c>
      <c r="E22" s="6" t="s">
        <v>24</v>
      </c>
    </row>
    <row r="23" spans="1:5" x14ac:dyDescent="0.4">
      <c r="A23" s="6" t="s">
        <v>23</v>
      </c>
      <c r="B23" s="6" t="s">
        <v>18</v>
      </c>
      <c r="C23" s="7">
        <f>_xll.ciqfunctions.udf.CIQ($B$1,"IQ_EBIT","IQ_FY-6")</f>
        <v>1049.92</v>
      </c>
      <c r="D23" s="8">
        <f t="shared" si="0"/>
        <v>1049.92</v>
      </c>
      <c r="E23" s="6" t="s">
        <v>24</v>
      </c>
    </row>
    <row r="24" spans="1:5" x14ac:dyDescent="0.4">
      <c r="A24" s="6" t="s">
        <v>23</v>
      </c>
      <c r="B24" s="6" t="s">
        <v>19</v>
      </c>
      <c r="C24" s="7">
        <f>_xll.ciqfunctions.udf.CIQ($B$1,"IQ_EBIT","IQ_FY-7")</f>
        <v>714.36900000000003</v>
      </c>
      <c r="D24" s="8">
        <f t="shared" si="0"/>
        <v>714.36900000000003</v>
      </c>
      <c r="E24" s="6" t="s">
        <v>24</v>
      </c>
    </row>
    <row r="25" spans="1:5" x14ac:dyDescent="0.4">
      <c r="A25" s="6" t="s">
        <v>23</v>
      </c>
      <c r="B25" s="6" t="s">
        <v>20</v>
      </c>
      <c r="C25" s="7">
        <f>_xll.ciqfunctions.udf.CIQ($B$1,"IQ_EBIT","IQ_FY-8")</f>
        <v>581.74099999999999</v>
      </c>
      <c r="D25" s="8">
        <f t="shared" si="0"/>
        <v>581.74099999999999</v>
      </c>
      <c r="E25" s="6" t="s">
        <v>24</v>
      </c>
    </row>
    <row r="26" spans="1:5" x14ac:dyDescent="0.4">
      <c r="A26" s="6" t="s">
        <v>23</v>
      </c>
      <c r="B26" s="6" t="s">
        <v>21</v>
      </c>
      <c r="C26" s="7">
        <f>_xll.ciqfunctions.udf.CIQ($B$1,"IQ_EBIT","IQ_FY-9")</f>
        <v>566.75900000000001</v>
      </c>
      <c r="D26" s="8">
        <f t="shared" si="0"/>
        <v>566.75900000000001</v>
      </c>
      <c r="E26" s="6" t="s">
        <v>24</v>
      </c>
    </row>
    <row r="27" spans="1:5" x14ac:dyDescent="0.4">
      <c r="A27" s="6" t="s">
        <v>23</v>
      </c>
      <c r="B27" s="6" t="s">
        <v>22</v>
      </c>
      <c r="C27" s="7">
        <f>_xll.ciqfunctions.udf.CIQ($B$1,"IQ_EBIT","IQ_FY-10")</f>
        <v>996.88900000000001</v>
      </c>
      <c r="D27" s="8">
        <f t="shared" si="0"/>
        <v>996.88900000000001</v>
      </c>
      <c r="E27" s="6" t="s">
        <v>24</v>
      </c>
    </row>
    <row r="28" spans="1:5" x14ac:dyDescent="0.4">
      <c r="A28" s="6" t="s">
        <v>25</v>
      </c>
      <c r="B28" s="6" t="s">
        <v>11</v>
      </c>
      <c r="C28" s="7">
        <f>_xll.ciqfunctions.udf.CIQ($B$1,"IQ_EBITDA","IQ_FY-0")</f>
        <v>3059.7429999999999</v>
      </c>
      <c r="D28" s="8">
        <f t="shared" si="0"/>
        <v>3059.7429999999999</v>
      </c>
      <c r="E28" s="6" t="s">
        <v>26</v>
      </c>
    </row>
    <row r="29" spans="1:5" x14ac:dyDescent="0.4">
      <c r="A29" s="6" t="s">
        <v>25</v>
      </c>
      <c r="B29" s="6" t="s">
        <v>13</v>
      </c>
      <c r="C29" s="7">
        <f>_xll.ciqfunctions.udf.CIQ($B$1,"IQ_EBITDA","IQ_FY-1")</f>
        <v>3024.6320000000001</v>
      </c>
      <c r="D29" s="8">
        <f t="shared" si="0"/>
        <v>3024.6320000000001</v>
      </c>
      <c r="E29" s="6" t="s">
        <v>26</v>
      </c>
    </row>
    <row r="30" spans="1:5" x14ac:dyDescent="0.4">
      <c r="A30" s="6" t="s">
        <v>25</v>
      </c>
      <c r="B30" s="6" t="s">
        <v>14</v>
      </c>
      <c r="C30" s="7">
        <f>_xll.ciqfunctions.udf.CIQ($B$1,"IQ_EBITDA","IQ_FY-2")</f>
        <v>3408.6280000000002</v>
      </c>
      <c r="D30" s="8">
        <f t="shared" si="0"/>
        <v>3408.6280000000002</v>
      </c>
      <c r="E30" s="6" t="s">
        <v>26</v>
      </c>
    </row>
    <row r="31" spans="1:5" x14ac:dyDescent="0.4">
      <c r="A31" s="6" t="s">
        <v>25</v>
      </c>
      <c r="B31" s="6" t="s">
        <v>15</v>
      </c>
      <c r="C31" s="7">
        <f>_xll.ciqfunctions.udf.CIQ($B$1,"IQ_EBITDA","IQ_FY-3")</f>
        <v>3880.6460000000002</v>
      </c>
      <c r="D31" s="8">
        <f t="shared" si="0"/>
        <v>3880.6460000000002</v>
      </c>
      <c r="E31" s="6" t="s">
        <v>26</v>
      </c>
    </row>
    <row r="32" spans="1:5" x14ac:dyDescent="0.4">
      <c r="A32" s="6" t="s">
        <v>25</v>
      </c>
      <c r="B32" s="6" t="s">
        <v>16</v>
      </c>
      <c r="C32" s="7">
        <f>_xll.ciqfunctions.udf.CIQ($B$1,"IQ_EBITDA","IQ_FY-4")</f>
        <v>3211.1979999999999</v>
      </c>
      <c r="D32" s="8">
        <f t="shared" si="0"/>
        <v>3211.1979999999999</v>
      </c>
      <c r="E32" s="6" t="s">
        <v>26</v>
      </c>
    </row>
    <row r="33" spans="1:5" x14ac:dyDescent="0.4">
      <c r="A33" s="6" t="s">
        <v>25</v>
      </c>
      <c r="B33" s="6" t="s">
        <v>17</v>
      </c>
      <c r="C33" s="7">
        <f>_xll.ciqfunctions.udf.CIQ($B$1,"IQ_EBITDA","IQ_FY-5")</f>
        <v>2114.5790000000002</v>
      </c>
      <c r="D33" s="8">
        <f t="shared" si="0"/>
        <v>2114.5790000000002</v>
      </c>
      <c r="E33" s="6" t="s">
        <v>26</v>
      </c>
    </row>
    <row r="34" spans="1:5" x14ac:dyDescent="0.4">
      <c r="A34" s="6" t="s">
        <v>25</v>
      </c>
      <c r="B34" s="6" t="s">
        <v>18</v>
      </c>
      <c r="C34" s="7">
        <f>_xll.ciqfunctions.udf.CIQ($B$1,"IQ_EBITDA","IQ_FY-6")</f>
        <v>1716.402</v>
      </c>
      <c r="D34" s="8">
        <f t="shared" si="0"/>
        <v>1716.402</v>
      </c>
      <c r="E34" s="6" t="s">
        <v>26</v>
      </c>
    </row>
    <row r="35" spans="1:5" x14ac:dyDescent="0.4">
      <c r="A35" s="6" t="s">
        <v>25</v>
      </c>
      <c r="B35" s="6" t="s">
        <v>19</v>
      </c>
      <c r="C35" s="7">
        <f>_xll.ciqfunctions.udf.CIQ($B$1,"IQ_EBITDA","IQ_FY-7")</f>
        <v>1357.742</v>
      </c>
      <c r="D35" s="8">
        <f t="shared" si="0"/>
        <v>1357.742</v>
      </c>
      <c r="E35" s="6" t="s">
        <v>26</v>
      </c>
    </row>
    <row r="36" spans="1:5" x14ac:dyDescent="0.4">
      <c r="A36" s="6" t="s">
        <v>25</v>
      </c>
      <c r="B36" s="6" t="s">
        <v>20</v>
      </c>
      <c r="C36" s="7">
        <f>_xll.ciqfunctions.udf.CIQ($B$1,"IQ_EBITDA","IQ_FY-8")</f>
        <v>1181.577</v>
      </c>
      <c r="D36" s="8">
        <f t="shared" si="0"/>
        <v>1181.577</v>
      </c>
      <c r="E36" s="6" t="s">
        <v>26</v>
      </c>
    </row>
    <row r="37" spans="1:5" x14ac:dyDescent="0.4">
      <c r="A37" s="6" t="s">
        <v>25</v>
      </c>
      <c r="B37" s="6" t="s">
        <v>21</v>
      </c>
      <c r="C37" s="7">
        <f>_xll.ciqfunctions.udf.CIQ($B$1,"IQ_EBITDA","IQ_FY-9")</f>
        <v>1202.665</v>
      </c>
      <c r="D37" s="8">
        <f t="shared" si="0"/>
        <v>1202.665</v>
      </c>
      <c r="E37" s="6" t="s">
        <v>26</v>
      </c>
    </row>
    <row r="38" spans="1:5" x14ac:dyDescent="0.4">
      <c r="A38" s="6" t="s">
        <v>25</v>
      </c>
      <c r="B38" s="6" t="s">
        <v>22</v>
      </c>
      <c r="C38" s="7">
        <f>_xll.ciqfunctions.udf.CIQ($B$1,"IQ_EBITDA","IQ_FY-10")</f>
        <v>1414.1869999999999</v>
      </c>
      <c r="D38" s="8">
        <f t="shared" ref="D38:D69" si="1">C38</f>
        <v>1414.1869999999999</v>
      </c>
      <c r="E38" s="6" t="s">
        <v>26</v>
      </c>
    </row>
    <row r="39" spans="1:5" x14ac:dyDescent="0.4">
      <c r="A39" s="6" t="s">
        <v>27</v>
      </c>
      <c r="B39" s="6" t="s">
        <v>11</v>
      </c>
      <c r="C39" s="7">
        <f>_xll.ciqfunctions.udf.CIQ($B$1,"IQ_NI","IQ_FY-0")</f>
        <v>1384.4449999999999</v>
      </c>
      <c r="D39" s="8">
        <f t="shared" si="1"/>
        <v>1384.4449999999999</v>
      </c>
      <c r="E39" s="6" t="s">
        <v>28</v>
      </c>
    </row>
    <row r="40" spans="1:5" x14ac:dyDescent="0.4">
      <c r="A40" s="6" t="s">
        <v>27</v>
      </c>
      <c r="B40" s="6" t="s">
        <v>13</v>
      </c>
      <c r="C40" s="7">
        <f>_xll.ciqfunctions.udf.CIQ($B$1,"IQ_NI","IQ_FY-1")</f>
        <v>1010.506</v>
      </c>
      <c r="D40" s="8">
        <f t="shared" si="1"/>
        <v>1010.506</v>
      </c>
      <c r="E40" s="6" t="s">
        <v>28</v>
      </c>
    </row>
    <row r="41" spans="1:5" x14ac:dyDescent="0.4">
      <c r="A41" s="6" t="s">
        <v>27</v>
      </c>
      <c r="B41" s="6" t="s">
        <v>14</v>
      </c>
      <c r="C41" s="7">
        <f>_xll.ciqfunctions.udf.CIQ($B$1,"IQ_NI","IQ_FY-2")</f>
        <v>1607.722</v>
      </c>
      <c r="D41" s="8">
        <f t="shared" si="1"/>
        <v>1607.722</v>
      </c>
      <c r="E41" s="6" t="s">
        <v>28</v>
      </c>
    </row>
    <row r="42" spans="1:5" x14ac:dyDescent="0.4">
      <c r="A42" s="6" t="s">
        <v>27</v>
      </c>
      <c r="B42" s="6" t="s">
        <v>15</v>
      </c>
      <c r="C42" s="7">
        <f>_xll.ciqfunctions.udf.CIQ($B$1,"IQ_NI","IQ_FY-3")</f>
        <v>2029.818</v>
      </c>
      <c r="D42" s="8">
        <f t="shared" si="1"/>
        <v>2029.818</v>
      </c>
      <c r="E42" s="6" t="s">
        <v>28</v>
      </c>
    </row>
    <row r="43" spans="1:5" x14ac:dyDescent="0.4">
      <c r="A43" s="6" t="s">
        <v>27</v>
      </c>
      <c r="B43" s="6" t="s">
        <v>16</v>
      </c>
      <c r="C43" s="7">
        <f>_xll.ciqfunctions.udf.CIQ($B$1,"IQ_NI","IQ_FY-4")</f>
        <v>1210.8389999999999</v>
      </c>
      <c r="D43" s="8">
        <f t="shared" si="1"/>
        <v>1210.8389999999999</v>
      </c>
      <c r="E43" s="6" t="s">
        <v>28</v>
      </c>
    </row>
    <row r="44" spans="1:5" x14ac:dyDescent="0.4">
      <c r="A44" s="6" t="s">
        <v>27</v>
      </c>
      <c r="B44" s="6" t="s">
        <v>17</v>
      </c>
      <c r="C44" s="7">
        <f>_xll.ciqfunctions.udf.CIQ($B$1,"IQ_NI","IQ_FY-5")</f>
        <v>718.851</v>
      </c>
      <c r="D44" s="8">
        <f t="shared" si="1"/>
        <v>718.851</v>
      </c>
      <c r="E44" s="6" t="s">
        <v>28</v>
      </c>
    </row>
    <row r="45" spans="1:5" x14ac:dyDescent="0.4">
      <c r="A45" s="6" t="s">
        <v>27</v>
      </c>
      <c r="B45" s="6" t="s">
        <v>18</v>
      </c>
      <c r="C45" s="7">
        <f>_xll.ciqfunctions.udf.CIQ($B$1,"IQ_NI","IQ_FY-6")</f>
        <v>650.10299999999995</v>
      </c>
      <c r="D45" s="8">
        <f t="shared" si="1"/>
        <v>650.10299999999995</v>
      </c>
      <c r="E45" s="6" t="s">
        <v>28</v>
      </c>
    </row>
    <row r="46" spans="1:5" x14ac:dyDescent="0.4">
      <c r="A46" s="6" t="s">
        <v>27</v>
      </c>
      <c r="B46" s="6" t="s">
        <v>19</v>
      </c>
      <c r="C46" s="7">
        <f>_xll.ciqfunctions.udf.CIQ($B$1,"IQ_NI","IQ_FY-7")</f>
        <v>-135.643</v>
      </c>
      <c r="D46" s="8">
        <f t="shared" si="1"/>
        <v>-135.643</v>
      </c>
      <c r="E46" s="6" t="s">
        <v>28</v>
      </c>
    </row>
    <row r="47" spans="1:5" x14ac:dyDescent="0.4">
      <c r="A47" s="6" t="s">
        <v>27</v>
      </c>
      <c r="B47" s="6" t="s">
        <v>20</v>
      </c>
      <c r="C47" s="7">
        <f>_xll.ciqfunctions.udf.CIQ($B$1,"IQ_NI","IQ_FY-8")</f>
        <v>536.95600000000002</v>
      </c>
      <c r="D47" s="8">
        <f t="shared" si="1"/>
        <v>536.95600000000002</v>
      </c>
      <c r="E47" s="6" t="s">
        <v>28</v>
      </c>
    </row>
    <row r="48" spans="1:5" x14ac:dyDescent="0.4">
      <c r="A48" s="6" t="s">
        <v>27</v>
      </c>
      <c r="B48" s="6" t="s">
        <v>21</v>
      </c>
      <c r="C48" s="7">
        <f>_xll.ciqfunctions.udf.CIQ($B$1,"IQ_NI","IQ_FY-9")</f>
        <v>-128.14599999999999</v>
      </c>
      <c r="D48" s="8">
        <f t="shared" si="1"/>
        <v>-128.14599999999999</v>
      </c>
      <c r="E48" s="6" t="s">
        <v>28</v>
      </c>
    </row>
    <row r="49" spans="1:5" x14ac:dyDescent="0.4">
      <c r="A49" s="6" t="s">
        <v>27</v>
      </c>
      <c r="B49" s="6" t="s">
        <v>22</v>
      </c>
      <c r="C49" s="7">
        <f>_xll.ciqfunctions.udf.CIQ($B$1,"IQ_NI","IQ_FY-10")</f>
        <v>828.71500000000003</v>
      </c>
      <c r="D49" s="8">
        <f t="shared" si="1"/>
        <v>828.71500000000003</v>
      </c>
      <c r="E49" s="6" t="s">
        <v>28</v>
      </c>
    </row>
    <row r="50" spans="1:5" x14ac:dyDescent="0.4">
      <c r="A50" s="6" t="s">
        <v>29</v>
      </c>
      <c r="B50" s="6" t="s">
        <v>11</v>
      </c>
      <c r="C50" s="7">
        <f>ABS(_xll.ciqfunctions.udf.CIQ($B$1,"IQ_INTEREST_EXP","IQ_FY-0"))</f>
        <v>293.59500000000003</v>
      </c>
      <c r="D50" s="8">
        <f t="shared" si="1"/>
        <v>293.59500000000003</v>
      </c>
      <c r="E50" s="6" t="s">
        <v>30</v>
      </c>
    </row>
    <row r="51" spans="1:5" x14ac:dyDescent="0.4">
      <c r="A51" s="6" t="s">
        <v>29</v>
      </c>
      <c r="B51" s="6" t="s">
        <v>13</v>
      </c>
      <c r="C51" s="7">
        <f>ABS(_xll.ciqfunctions.udf.CIQ($B$1,"IQ_INTEREST_EXP","IQ_FY-1"))</f>
        <v>275.20299999999997</v>
      </c>
      <c r="D51" s="8">
        <f t="shared" si="1"/>
        <v>275.20299999999997</v>
      </c>
      <c r="E51" s="6" t="s">
        <v>30</v>
      </c>
    </row>
    <row r="52" spans="1:5" x14ac:dyDescent="0.4">
      <c r="A52" s="6" t="s">
        <v>29</v>
      </c>
      <c r="B52" s="6" t="s">
        <v>14</v>
      </c>
      <c r="C52" s="7">
        <f>ABS(_xll.ciqfunctions.udf.CIQ($B$1,"IQ_INTEREST_EXP","IQ_FY-2"))</f>
        <v>316.11200000000002</v>
      </c>
      <c r="D52" s="8">
        <f t="shared" si="1"/>
        <v>316.11200000000002</v>
      </c>
      <c r="E52" s="6" t="s">
        <v>30</v>
      </c>
    </row>
    <row r="53" spans="1:5" x14ac:dyDescent="0.4">
      <c r="A53" s="6" t="s">
        <v>29</v>
      </c>
      <c r="B53" s="6" t="s">
        <v>15</v>
      </c>
      <c r="C53" s="7">
        <f>ABS(_xll.ciqfunctions.udf.CIQ($B$1,"IQ_INTEREST_EXP","IQ_FY-3"))</f>
        <v>258.553</v>
      </c>
      <c r="D53" s="8">
        <f t="shared" si="1"/>
        <v>258.553</v>
      </c>
      <c r="E53" s="6" t="s">
        <v>30</v>
      </c>
    </row>
    <row r="54" spans="1:5" x14ac:dyDescent="0.4">
      <c r="A54" s="6" t="s">
        <v>29</v>
      </c>
      <c r="B54" s="6" t="s">
        <v>16</v>
      </c>
      <c r="C54" s="7">
        <f>ABS(_xll.ciqfunctions.udf.CIQ($B$1,"IQ_INTEREST_EXP","IQ_FY-4"))</f>
        <v>267.01499999999999</v>
      </c>
      <c r="D54" s="8">
        <f t="shared" si="1"/>
        <v>267.01499999999999</v>
      </c>
      <c r="E54" s="6" t="s">
        <v>30</v>
      </c>
    </row>
    <row r="55" spans="1:5" x14ac:dyDescent="0.4">
      <c r="A55" s="6" t="s">
        <v>29</v>
      </c>
      <c r="B55" s="6" t="s">
        <v>17</v>
      </c>
      <c r="C55" s="7">
        <f>ABS(_xll.ciqfunctions.udf.CIQ($B$1,"IQ_INTEREST_EXP","IQ_FY-5"))</f>
        <v>261.702</v>
      </c>
      <c r="D55" s="8">
        <f t="shared" si="1"/>
        <v>261.702</v>
      </c>
      <c r="E55" s="6" t="s">
        <v>30</v>
      </c>
    </row>
    <row r="56" spans="1:5" x14ac:dyDescent="0.4">
      <c r="A56" s="6" t="s">
        <v>29</v>
      </c>
      <c r="B56" s="6" t="s">
        <v>18</v>
      </c>
      <c r="C56" s="7">
        <f>ABS(_xll.ciqfunctions.udf.CIQ($B$1,"IQ_INTEREST_EXP","IQ_FY-6"))</f>
        <v>237.398</v>
      </c>
      <c r="D56" s="8">
        <f t="shared" si="1"/>
        <v>237.398</v>
      </c>
      <c r="E56" s="6" t="s">
        <v>30</v>
      </c>
    </row>
    <row r="57" spans="1:5" x14ac:dyDescent="0.4">
      <c r="A57" s="6" t="s">
        <v>29</v>
      </c>
      <c r="B57" s="6" t="s">
        <v>19</v>
      </c>
      <c r="C57" s="7">
        <f>ABS(_xll.ciqfunctions.udf.CIQ($B$1,"IQ_INTEREST_EXP","IQ_FY-7"))</f>
        <v>187.304</v>
      </c>
      <c r="D57" s="8">
        <f t="shared" si="1"/>
        <v>187.304</v>
      </c>
      <c r="E57" s="6" t="s">
        <v>30</v>
      </c>
    </row>
    <row r="58" spans="1:5" x14ac:dyDescent="0.4">
      <c r="A58" s="6" t="s">
        <v>29</v>
      </c>
      <c r="B58" s="6" t="s">
        <v>20</v>
      </c>
      <c r="C58" s="7">
        <f>ABS(_xll.ciqfunctions.udf.CIQ($B$1,"IQ_INTEREST_EXP","IQ_FY-8"))</f>
        <v>198.215</v>
      </c>
      <c r="D58" s="8">
        <f t="shared" si="1"/>
        <v>198.215</v>
      </c>
      <c r="E58" s="6" t="s">
        <v>30</v>
      </c>
    </row>
    <row r="59" spans="1:5" x14ac:dyDescent="0.4">
      <c r="A59" s="6" t="s">
        <v>29</v>
      </c>
      <c r="B59" s="6" t="s">
        <v>21</v>
      </c>
      <c r="C59" s="7">
        <f>ABS(_xll.ciqfunctions.udf.CIQ($B$1,"IQ_INTEREST_EXP","IQ_FY-9"))</f>
        <v>178.61799999999999</v>
      </c>
      <c r="D59" s="8">
        <f t="shared" si="1"/>
        <v>178.61799999999999</v>
      </c>
      <c r="E59" s="6" t="s">
        <v>30</v>
      </c>
    </row>
    <row r="60" spans="1:5" x14ac:dyDescent="0.4">
      <c r="A60" s="6" t="s">
        <v>29</v>
      </c>
      <c r="B60" s="6" t="s">
        <v>22</v>
      </c>
      <c r="C60" s="7">
        <f>ABS(_xll.ciqfunctions.udf.CIQ($B$1,"IQ_INTEREST_EXP","IQ_FY-10"))</f>
        <v>117.25</v>
      </c>
      <c r="D60" s="8">
        <f t="shared" si="1"/>
        <v>117.25</v>
      </c>
      <c r="E60" s="6" t="s">
        <v>30</v>
      </c>
    </row>
    <row r="61" spans="1:5" x14ac:dyDescent="0.4">
      <c r="A61" s="6" t="s">
        <v>31</v>
      </c>
      <c r="B61" s="6" t="s">
        <v>11</v>
      </c>
      <c r="C61" s="7">
        <f>ABS(_xll.ciqfunctions.udf.CIQ($B$1,"IQ_DA_CF","IQ_FY-0"))</f>
        <v>1168.806</v>
      </c>
      <c r="D61" s="8">
        <f t="shared" si="1"/>
        <v>1168.806</v>
      </c>
      <c r="E61" s="6" t="s">
        <v>32</v>
      </c>
    </row>
    <row r="62" spans="1:5" x14ac:dyDescent="0.4">
      <c r="A62" s="6" t="s">
        <v>31</v>
      </c>
      <c r="B62" s="6" t="s">
        <v>13</v>
      </c>
      <c r="C62" s="7">
        <f>ABS(_xll.ciqfunctions.udf.CIQ($B$1,"IQ_DA_CF","IQ_FY-1"))</f>
        <v>1185.7090000000001</v>
      </c>
      <c r="D62" s="8">
        <f t="shared" si="1"/>
        <v>1185.7090000000001</v>
      </c>
      <c r="E62" s="6" t="s">
        <v>32</v>
      </c>
    </row>
    <row r="63" spans="1:5" x14ac:dyDescent="0.4">
      <c r="A63" s="6" t="s">
        <v>31</v>
      </c>
      <c r="B63" s="6" t="s">
        <v>14</v>
      </c>
      <c r="C63" s="7">
        <f>ABS(_xll.ciqfunctions.udf.CIQ($B$1,"IQ_DA_CF","IQ_FY-2"))</f>
        <v>1115.6980000000001</v>
      </c>
      <c r="D63" s="8">
        <f t="shared" si="1"/>
        <v>1115.6980000000001</v>
      </c>
      <c r="E63" s="6" t="s">
        <v>32</v>
      </c>
    </row>
    <row r="64" spans="1:5" x14ac:dyDescent="0.4">
      <c r="A64" s="6" t="s">
        <v>31</v>
      </c>
      <c r="B64" s="6" t="s">
        <v>15</v>
      </c>
      <c r="C64" s="7">
        <f>ABS(_xll.ciqfunctions.udf.CIQ($B$1,"IQ_DA_CF","IQ_FY-3"))</f>
        <v>1046.3240000000001</v>
      </c>
      <c r="D64" s="8">
        <f t="shared" si="1"/>
        <v>1046.3240000000001</v>
      </c>
      <c r="E64" s="6" t="s">
        <v>32</v>
      </c>
    </row>
    <row r="65" spans="1:5" x14ac:dyDescent="0.4">
      <c r="A65" s="6" t="s">
        <v>31</v>
      </c>
      <c r="B65" s="6" t="s">
        <v>16</v>
      </c>
      <c r="C65" s="7">
        <f>ABS(_xll.ciqfunctions.udf.CIQ($B$1,"IQ_DA_CF","IQ_FY-4"))</f>
        <v>869.23199999999997</v>
      </c>
      <c r="D65" s="8">
        <f t="shared" si="1"/>
        <v>869.23199999999997</v>
      </c>
      <c r="E65" s="6" t="s">
        <v>32</v>
      </c>
    </row>
    <row r="66" spans="1:5" x14ac:dyDescent="0.4">
      <c r="A66" s="6" t="s">
        <v>31</v>
      </c>
      <c r="B66" s="6" t="s">
        <v>17</v>
      </c>
      <c r="C66" s="7">
        <f>ABS(_xll.ciqfunctions.udf.CIQ($B$1,"IQ_DA_CF","IQ_FY-5"))</f>
        <v>817.798</v>
      </c>
      <c r="D66" s="8">
        <f t="shared" si="1"/>
        <v>817.798</v>
      </c>
      <c r="E66" s="6" t="s">
        <v>32</v>
      </c>
    </row>
    <row r="67" spans="1:5" x14ac:dyDescent="0.4">
      <c r="A67" s="6" t="s">
        <v>31</v>
      </c>
      <c r="B67" s="6" t="s">
        <v>18</v>
      </c>
      <c r="C67" s="7">
        <f>ABS(_xll.ciqfunctions.udf.CIQ($B$1,"IQ_DA_CF","IQ_FY-6"))</f>
        <v>666.48199999999997</v>
      </c>
      <c r="D67" s="8">
        <f t="shared" si="1"/>
        <v>666.48199999999997</v>
      </c>
      <c r="E67" s="6" t="s">
        <v>32</v>
      </c>
    </row>
    <row r="68" spans="1:5" x14ac:dyDescent="0.4">
      <c r="A68" s="6" t="s">
        <v>31</v>
      </c>
      <c r="B68" s="6" t="s">
        <v>19</v>
      </c>
      <c r="C68" s="7">
        <f>ABS(_xll.ciqfunctions.udf.CIQ($B$1,"IQ_DA_CF","IQ_FY-7"))</f>
        <v>643.37300000000005</v>
      </c>
      <c r="D68" s="8">
        <f t="shared" si="1"/>
        <v>643.37300000000005</v>
      </c>
      <c r="E68" s="6" t="s">
        <v>32</v>
      </c>
    </row>
    <row r="69" spans="1:5" x14ac:dyDescent="0.4">
      <c r="A69" s="6" t="s">
        <v>31</v>
      </c>
      <c r="B69" s="6" t="s">
        <v>20</v>
      </c>
      <c r="C69" s="7">
        <f>ABS(_xll.ciqfunctions.udf.CIQ($B$1,"IQ_DA_CF","IQ_FY-8"))</f>
        <v>599.83600000000001</v>
      </c>
      <c r="D69" s="8">
        <f t="shared" si="1"/>
        <v>599.83600000000001</v>
      </c>
      <c r="E69" s="6" t="s">
        <v>32</v>
      </c>
    </row>
    <row r="70" spans="1:5" x14ac:dyDescent="0.4">
      <c r="A70" s="6" t="s">
        <v>31</v>
      </c>
      <c r="B70" s="6" t="s">
        <v>21</v>
      </c>
      <c r="C70" s="7">
        <f>ABS(_xll.ciqfunctions.udf.CIQ($B$1,"IQ_DA_CF","IQ_FY-9"))</f>
        <v>635.90599999999995</v>
      </c>
      <c r="D70" s="8">
        <f t="shared" ref="D70:D101" si="2">C70</f>
        <v>635.90599999999995</v>
      </c>
      <c r="E70" s="6" t="s">
        <v>32</v>
      </c>
    </row>
    <row r="71" spans="1:5" x14ac:dyDescent="0.4">
      <c r="A71" s="6" t="s">
        <v>31</v>
      </c>
      <c r="B71" s="6" t="s">
        <v>22</v>
      </c>
      <c r="C71" s="7">
        <f>ABS(_xll.ciqfunctions.udf.CIQ($B$1,"IQ_DA_CF","IQ_FY-10"))</f>
        <v>417.298</v>
      </c>
      <c r="D71" s="8">
        <f t="shared" si="2"/>
        <v>417.298</v>
      </c>
      <c r="E71" s="6" t="s">
        <v>32</v>
      </c>
    </row>
    <row r="72" spans="1:5" x14ac:dyDescent="0.4">
      <c r="A72" s="6" t="s">
        <v>33</v>
      </c>
      <c r="B72" s="6" t="s">
        <v>11</v>
      </c>
      <c r="C72" s="7">
        <f>_xll.ciqfunctions.udf.CIQ($B$1,"IQ_RD_EXP","IQ_FY-0")</f>
        <v>2288.2040000000002</v>
      </c>
      <c r="D72" s="8">
        <f t="shared" si="2"/>
        <v>2288.2040000000002</v>
      </c>
      <c r="E72" s="6" t="s">
        <v>34</v>
      </c>
    </row>
    <row r="73" spans="1:5" x14ac:dyDescent="0.4">
      <c r="A73" s="6" t="s">
        <v>33</v>
      </c>
      <c r="B73" s="6" t="s">
        <v>13</v>
      </c>
      <c r="C73" s="7">
        <f>_xll.ciqfunctions.udf.CIQ($B$1,"IQ_RD_EXP","IQ_FY-1")</f>
        <v>2027.5319999999999</v>
      </c>
      <c r="D73" s="8">
        <f t="shared" si="2"/>
        <v>2027.5319999999999</v>
      </c>
      <c r="E73" s="6" t="s">
        <v>34</v>
      </c>
    </row>
    <row r="74" spans="1:5" x14ac:dyDescent="0.4">
      <c r="A74" s="6" t="s">
        <v>33</v>
      </c>
      <c r="B74" s="6" t="s">
        <v>14</v>
      </c>
      <c r="C74" s="7">
        <f>_xll.ciqfunctions.udf.CIQ($B$1,"IQ_RD_EXP","IQ_FY-2")</f>
        <v>2195.3290000000002</v>
      </c>
      <c r="D74" s="8">
        <f t="shared" si="2"/>
        <v>2195.3290000000002</v>
      </c>
      <c r="E74" s="6" t="s">
        <v>34</v>
      </c>
    </row>
    <row r="75" spans="1:5" x14ac:dyDescent="0.4">
      <c r="A75" s="6" t="s">
        <v>33</v>
      </c>
      <c r="B75" s="6" t="s">
        <v>15</v>
      </c>
      <c r="C75" s="7">
        <f>_xll.ciqfunctions.udf.CIQ($B$1,"IQ_RD_EXP","IQ_FY-3")</f>
        <v>2073.4609999999998</v>
      </c>
      <c r="D75" s="8">
        <f t="shared" si="2"/>
        <v>2073.4609999999998</v>
      </c>
      <c r="E75" s="6" t="s">
        <v>34</v>
      </c>
    </row>
    <row r="76" spans="1:5" x14ac:dyDescent="0.4">
      <c r="A76" s="6" t="s">
        <v>33</v>
      </c>
      <c r="B76" s="6" t="s">
        <v>16</v>
      </c>
      <c r="C76" s="7">
        <f>_xll.ciqfunctions.udf.CIQ($B$1,"IQ_RD_EXP","IQ_FY-4")</f>
        <v>1453.912</v>
      </c>
      <c r="D76" s="8">
        <f t="shared" si="2"/>
        <v>1453.912</v>
      </c>
      <c r="E76" s="6" t="s">
        <v>34</v>
      </c>
    </row>
    <row r="77" spans="1:5" x14ac:dyDescent="0.4">
      <c r="A77" s="6" t="s">
        <v>33</v>
      </c>
      <c r="B77" s="6" t="s">
        <v>17</v>
      </c>
      <c r="C77" s="7">
        <f>_xll.ciqfunctions.udf.CIQ($B$1,"IQ_RD_EXP","IQ_FY-5")</f>
        <v>1335.7439999999999</v>
      </c>
      <c r="D77" s="8">
        <f t="shared" si="2"/>
        <v>1335.7439999999999</v>
      </c>
      <c r="E77" s="6" t="s">
        <v>34</v>
      </c>
    </row>
    <row r="78" spans="1:5" x14ac:dyDescent="0.4">
      <c r="A78" s="6" t="s">
        <v>33</v>
      </c>
      <c r="B78" s="6" t="s">
        <v>18</v>
      </c>
      <c r="C78" s="7">
        <f>_xll.ciqfunctions.udf.CIQ($B$1,"IQ_RD_EXP","IQ_FY-6")</f>
        <v>1266.3409999999999</v>
      </c>
      <c r="D78" s="8">
        <f t="shared" si="2"/>
        <v>1266.3409999999999</v>
      </c>
      <c r="E78" s="6" t="s">
        <v>34</v>
      </c>
    </row>
    <row r="79" spans="1:5" x14ac:dyDescent="0.4">
      <c r="A79" s="6" t="s">
        <v>33</v>
      </c>
      <c r="B79" s="6" t="s">
        <v>19</v>
      </c>
      <c r="C79" s="7">
        <f>_xll.ciqfunctions.udf.CIQ($B$1,"IQ_RD_EXP","IQ_FY-7")</f>
        <v>1273.729</v>
      </c>
      <c r="D79" s="8">
        <f t="shared" si="2"/>
        <v>1273.729</v>
      </c>
      <c r="E79" s="6" t="s">
        <v>34</v>
      </c>
    </row>
    <row r="80" spans="1:5" x14ac:dyDescent="0.4">
      <c r="A80" s="6" t="s">
        <v>33</v>
      </c>
      <c r="B80" s="6" t="s">
        <v>20</v>
      </c>
      <c r="C80" s="7">
        <f>_xll.ciqfunctions.udf.CIQ($B$1,"IQ_RD_EXP","IQ_FY-8")</f>
        <v>1361.691</v>
      </c>
      <c r="D80" s="8">
        <f t="shared" si="2"/>
        <v>1361.691</v>
      </c>
      <c r="E80" s="6" t="s">
        <v>34</v>
      </c>
    </row>
    <row r="81" spans="1:5" x14ac:dyDescent="0.4">
      <c r="A81" s="6" t="s">
        <v>33</v>
      </c>
      <c r="B81" s="6" t="s">
        <v>21</v>
      </c>
      <c r="C81" s="7">
        <f>_xll.ciqfunctions.udf.CIQ($B$1,"IQ_RD_EXP","IQ_FY-9")</f>
        <v>1491.37</v>
      </c>
      <c r="D81" s="8">
        <f t="shared" si="2"/>
        <v>1491.37</v>
      </c>
      <c r="E81" s="6" t="s">
        <v>34</v>
      </c>
    </row>
    <row r="82" spans="1:5" x14ac:dyDescent="0.4">
      <c r="A82" s="6" t="s">
        <v>33</v>
      </c>
      <c r="B82" s="6" t="s">
        <v>22</v>
      </c>
      <c r="C82" s="7">
        <f>_xll.ciqfunctions.udf.CIQ($B$1,"IQ_RD_EXP","IQ_FY-10")</f>
        <v>1220.9190000000001</v>
      </c>
      <c r="D82" s="8">
        <f t="shared" si="2"/>
        <v>1220.9190000000001</v>
      </c>
      <c r="E82" s="6" t="s">
        <v>34</v>
      </c>
    </row>
    <row r="83" spans="1:5" x14ac:dyDescent="0.4">
      <c r="A83" s="6" t="s">
        <v>35</v>
      </c>
      <c r="B83" s="6" t="s">
        <v>11</v>
      </c>
      <c r="C83" s="7">
        <f>ABS(_xll.ciqfunctions.udf.CIQ($B$1,"IQ_CAPEX","IQ_FY-0"))</f>
        <v>666.47799999999995</v>
      </c>
      <c r="D83" s="8">
        <f t="shared" si="2"/>
        <v>666.47799999999995</v>
      </c>
      <c r="E83" s="6" t="s">
        <v>36</v>
      </c>
    </row>
    <row r="84" spans="1:5" x14ac:dyDescent="0.4">
      <c r="A84" s="6" t="s">
        <v>35</v>
      </c>
      <c r="B84" s="6" t="s">
        <v>13</v>
      </c>
      <c r="C84" s="7">
        <f>ABS(_xll.ciqfunctions.udf.CIQ($B$1,"IQ_CAPEX","IQ_FY-1"))</f>
        <v>729.77700000000004</v>
      </c>
      <c r="D84" s="8">
        <f t="shared" si="2"/>
        <v>729.77700000000004</v>
      </c>
      <c r="E84" s="6" t="s">
        <v>36</v>
      </c>
    </row>
    <row r="85" spans="1:5" x14ac:dyDescent="0.4">
      <c r="A85" s="6" t="s">
        <v>35</v>
      </c>
      <c r="B85" s="6" t="s">
        <v>14</v>
      </c>
      <c r="C85" s="7">
        <f>ABS(_xll.ciqfunctions.udf.CIQ($B$1,"IQ_CAPEX","IQ_FY-2"))</f>
        <v>1117.0619999999999</v>
      </c>
      <c r="D85" s="8">
        <f t="shared" si="2"/>
        <v>1117.0619999999999</v>
      </c>
      <c r="E85" s="6" t="s">
        <v>36</v>
      </c>
    </row>
    <row r="86" spans="1:5" x14ac:dyDescent="0.4">
      <c r="A86" s="6" t="s">
        <v>35</v>
      </c>
      <c r="B86" s="6" t="s">
        <v>15</v>
      </c>
      <c r="C86" s="7">
        <f>ABS(_xll.ciqfunctions.udf.CIQ($B$1,"IQ_CAPEX","IQ_FY-3"))</f>
        <v>998.30399999999997</v>
      </c>
      <c r="D86" s="8">
        <f t="shared" si="2"/>
        <v>998.30399999999997</v>
      </c>
      <c r="E86" s="6" t="s">
        <v>36</v>
      </c>
    </row>
    <row r="87" spans="1:5" x14ac:dyDescent="0.4">
      <c r="A87" s="6" t="s">
        <v>35</v>
      </c>
      <c r="B87" s="6" t="s">
        <v>16</v>
      </c>
      <c r="C87" s="7">
        <f>ABS(_xll.ciqfunctions.udf.CIQ($B$1,"IQ_CAPEX","IQ_FY-4"))</f>
        <v>697.00400000000002</v>
      </c>
      <c r="D87" s="8">
        <f t="shared" si="2"/>
        <v>697.00400000000002</v>
      </c>
      <c r="E87" s="6" t="s">
        <v>36</v>
      </c>
    </row>
    <row r="88" spans="1:5" x14ac:dyDescent="0.4">
      <c r="A88" s="6" t="s">
        <v>35</v>
      </c>
      <c r="B88" s="6" t="s">
        <v>17</v>
      </c>
      <c r="C88" s="7">
        <f>ABS(_xll.ciqfunctions.udf.CIQ($B$1,"IQ_CAPEX","IQ_FY-5"))</f>
        <v>664.21500000000003</v>
      </c>
      <c r="D88" s="8">
        <f t="shared" si="2"/>
        <v>664.21500000000003</v>
      </c>
      <c r="E88" s="6" t="s">
        <v>36</v>
      </c>
    </row>
    <row r="89" spans="1:5" x14ac:dyDescent="0.4">
      <c r="A89" s="6" t="s">
        <v>35</v>
      </c>
      <c r="B89" s="6" t="s">
        <v>18</v>
      </c>
      <c r="C89" s="7">
        <f>ABS(_xll.ciqfunctions.udf.CIQ($B$1,"IQ_CAPEX","IQ_FY-6"))</f>
        <v>537.72699999999998</v>
      </c>
      <c r="D89" s="8">
        <f t="shared" si="2"/>
        <v>537.72699999999998</v>
      </c>
      <c r="E89" s="6" t="s">
        <v>36</v>
      </c>
    </row>
    <row r="90" spans="1:5" x14ac:dyDescent="0.4">
      <c r="A90" s="6" t="s">
        <v>35</v>
      </c>
      <c r="B90" s="6" t="s">
        <v>19</v>
      </c>
      <c r="C90" s="7">
        <f>ABS(_xll.ciqfunctions.udf.CIQ($B$1,"IQ_CAPEX","IQ_FY-7"))</f>
        <v>503.29599999999999</v>
      </c>
      <c r="D90" s="8">
        <f t="shared" si="2"/>
        <v>503.29599999999999</v>
      </c>
      <c r="E90" s="6" t="s">
        <v>36</v>
      </c>
    </row>
    <row r="91" spans="1:5" x14ac:dyDescent="0.4">
      <c r="A91" s="6" t="s">
        <v>35</v>
      </c>
      <c r="B91" s="6" t="s">
        <v>20</v>
      </c>
      <c r="C91" s="7">
        <f>ABS(_xll.ciqfunctions.udf.CIQ($B$1,"IQ_CAPEX","IQ_FY-8"))</f>
        <v>463.55799999999999</v>
      </c>
      <c r="D91" s="8">
        <f t="shared" si="2"/>
        <v>463.55799999999999</v>
      </c>
      <c r="E91" s="6" t="s">
        <v>36</v>
      </c>
    </row>
    <row r="92" spans="1:5" x14ac:dyDescent="0.4">
      <c r="A92" s="6" t="s">
        <v>35</v>
      </c>
      <c r="B92" s="6" t="s">
        <v>21</v>
      </c>
      <c r="C92" s="7">
        <f>ABS(_xll.ciqfunctions.udf.CIQ($B$1,"IQ_CAPEX","IQ_FY-9"))</f>
        <v>603.81600000000003</v>
      </c>
      <c r="D92" s="8">
        <f t="shared" si="2"/>
        <v>603.81600000000003</v>
      </c>
      <c r="E92" s="6" t="s">
        <v>36</v>
      </c>
    </row>
    <row r="93" spans="1:5" x14ac:dyDescent="0.4">
      <c r="A93" s="6" t="s">
        <v>35</v>
      </c>
      <c r="B93" s="6" t="s">
        <v>22</v>
      </c>
      <c r="C93" s="7">
        <f>ABS(_xll.ciqfunctions.udf.CIQ($B$1,"IQ_CAPEX","IQ_FY-10"))</f>
        <v>606.10500000000002</v>
      </c>
      <c r="D93" s="8">
        <f t="shared" si="2"/>
        <v>606.10500000000002</v>
      </c>
      <c r="E93" s="6" t="s">
        <v>36</v>
      </c>
    </row>
    <row r="94" spans="1:5" x14ac:dyDescent="0.4">
      <c r="A94" s="6" t="s">
        <v>37</v>
      </c>
      <c r="B94" s="6" t="s">
        <v>11</v>
      </c>
      <c r="C94" s="7">
        <f>ABS(_xll.ciqfunctions.udf.CIQ($B$1,"IQ_OPERATING_LEASE_PAYMENTS","IQ_FY-0"))</f>
        <v>121.071</v>
      </c>
      <c r="D94" s="8">
        <f t="shared" si="2"/>
        <v>121.071</v>
      </c>
      <c r="E94" s="6" t="s">
        <v>38</v>
      </c>
    </row>
    <row r="95" spans="1:5" x14ac:dyDescent="0.4">
      <c r="A95" s="6" t="s">
        <v>37</v>
      </c>
      <c r="B95" s="6" t="s">
        <v>13</v>
      </c>
      <c r="C95" s="7">
        <f>ABS(_xll.ciqfunctions.udf.CIQ($B$1,"IQ_OPERATING_LEASE_PAYMENTS","IQ_FY-1"))</f>
        <v>134.54499999999999</v>
      </c>
      <c r="D95" s="8">
        <f t="shared" si="2"/>
        <v>134.54499999999999</v>
      </c>
      <c r="E95" s="6" t="s">
        <v>38</v>
      </c>
    </row>
    <row r="96" spans="1:5" x14ac:dyDescent="0.4">
      <c r="A96" s="6" t="s">
        <v>37</v>
      </c>
      <c r="B96" s="6" t="s">
        <v>14</v>
      </c>
      <c r="C96" s="7">
        <f>ABS(_xll.ciqfunctions.udf.CIQ($B$1,"IQ_OPERATING_LEASE_PAYMENTS","IQ_FY-2"))</f>
        <v>168.63800000000001</v>
      </c>
      <c r="D96" s="8">
        <f t="shared" si="2"/>
        <v>168.63800000000001</v>
      </c>
      <c r="E96" s="6" t="s">
        <v>38</v>
      </c>
    </row>
    <row r="97" spans="1:5" x14ac:dyDescent="0.4">
      <c r="A97" s="6" t="s">
        <v>37</v>
      </c>
      <c r="B97" s="6" t="s">
        <v>15</v>
      </c>
      <c r="C97" s="7">
        <f>ABS(_xll.ciqfunctions.udf.CIQ($B$1,"IQ_OPERATING_LEASE_PAYMENTS","IQ_FY-3"))</f>
        <v>146.48500000000001</v>
      </c>
      <c r="D97" s="8">
        <f t="shared" si="2"/>
        <v>146.48500000000001</v>
      </c>
      <c r="E97" s="6" t="s">
        <v>38</v>
      </c>
    </row>
    <row r="98" spans="1:5" x14ac:dyDescent="0.4">
      <c r="A98" s="6" t="s">
        <v>37</v>
      </c>
      <c r="B98" s="6" t="s">
        <v>16</v>
      </c>
      <c r="C98" s="7">
        <f>ABS(_xll.ciqfunctions.udf.CIQ($B$1,"IQ_OPERATING_LEASE_PAYMENTS","IQ_FY-4"))</f>
        <v>165.15</v>
      </c>
      <c r="D98" s="8">
        <f t="shared" si="2"/>
        <v>165.15</v>
      </c>
      <c r="E98" s="6" t="s">
        <v>38</v>
      </c>
    </row>
    <row r="99" spans="1:5" x14ac:dyDescent="0.4">
      <c r="A99" s="6" t="s">
        <v>37</v>
      </c>
      <c r="B99" s="6" t="s">
        <v>17</v>
      </c>
      <c r="C99" s="7">
        <f>ABS(_xll.ciqfunctions.udf.CIQ($B$1,"IQ_OPERATING_LEASE_PAYMENTS","IQ_FY-5"))</f>
        <v>130.99299999999999</v>
      </c>
      <c r="D99" s="8">
        <f t="shared" si="2"/>
        <v>130.99299999999999</v>
      </c>
      <c r="E99" s="6" t="s">
        <v>38</v>
      </c>
    </row>
    <row r="100" spans="1:5" x14ac:dyDescent="0.4">
      <c r="A100" s="6" t="s">
        <v>37</v>
      </c>
      <c r="B100" s="6" t="s">
        <v>18</v>
      </c>
      <c r="C100" s="7">
        <f>ABS(_xll.ciqfunctions.udf.CIQ($B$1,"IQ_OPERATING_LEASE_PAYMENTS","IQ_FY-6"))</f>
        <v>0</v>
      </c>
      <c r="D100" s="8">
        <f t="shared" si="2"/>
        <v>0</v>
      </c>
      <c r="E100" s="6" t="s">
        <v>38</v>
      </c>
    </row>
    <row r="101" spans="1:5" x14ac:dyDescent="0.4">
      <c r="A101" s="6" t="s">
        <v>37</v>
      </c>
      <c r="B101" s="6" t="s">
        <v>19</v>
      </c>
      <c r="C101" s="7">
        <f>ABS(_xll.ciqfunctions.udf.CIQ($B$1,"IQ_OPERATING_LEASE_PAYMENTS","IQ_FY-7"))</f>
        <v>0</v>
      </c>
      <c r="D101" s="8">
        <f t="shared" si="2"/>
        <v>0</v>
      </c>
      <c r="E101" s="6" t="s">
        <v>38</v>
      </c>
    </row>
    <row r="102" spans="1:5" x14ac:dyDescent="0.4">
      <c r="A102" s="6" t="s">
        <v>37</v>
      </c>
      <c r="B102" s="6" t="s">
        <v>20</v>
      </c>
      <c r="C102" s="7">
        <f>ABS(_xll.ciqfunctions.udf.CIQ($B$1,"IQ_OPERATING_LEASE_PAYMENTS","IQ_FY-8"))</f>
        <v>0</v>
      </c>
      <c r="D102" s="8">
        <f t="shared" ref="D102:D133" si="3">C102</f>
        <v>0</v>
      </c>
      <c r="E102" s="6" t="s">
        <v>38</v>
      </c>
    </row>
    <row r="103" spans="1:5" x14ac:dyDescent="0.4">
      <c r="A103" s="6" t="s">
        <v>37</v>
      </c>
      <c r="B103" s="6" t="s">
        <v>21</v>
      </c>
      <c r="C103" s="7">
        <f>ABS(_xll.ciqfunctions.udf.CIQ($B$1,"IQ_OPERATING_LEASE_PAYMENTS","IQ_FY-9"))</f>
        <v>0</v>
      </c>
      <c r="D103" s="8">
        <f t="shared" si="3"/>
        <v>0</v>
      </c>
      <c r="E103" s="6" t="s">
        <v>38</v>
      </c>
    </row>
    <row r="104" spans="1:5" x14ac:dyDescent="0.4">
      <c r="A104" s="6" t="s">
        <v>37</v>
      </c>
      <c r="B104" s="6" t="s">
        <v>22</v>
      </c>
      <c r="C104" s="7">
        <f>ABS(_xll.ciqfunctions.udf.CIQ($B$1,"IQ_OPERATING_LEASE_PAYMENTS","IQ_FY-10"))</f>
        <v>0</v>
      </c>
      <c r="D104" s="8">
        <f t="shared" si="3"/>
        <v>0</v>
      </c>
      <c r="E104" s="6" t="s">
        <v>38</v>
      </c>
    </row>
    <row r="105" spans="1:5" x14ac:dyDescent="0.4">
      <c r="A105" s="6" t="s">
        <v>39</v>
      </c>
      <c r="B105" s="6" t="s">
        <v>11</v>
      </c>
      <c r="C105" s="7">
        <f>_xll.ciqfunctions.udf.CIQ($B$1,"IQ_EBT_EXCL","IQ_FY-0")</f>
        <v>1484.4659999999999</v>
      </c>
      <c r="D105" s="8">
        <f t="shared" si="3"/>
        <v>1484.4659999999999</v>
      </c>
      <c r="E105" s="6" t="s">
        <v>40</v>
      </c>
    </row>
    <row r="106" spans="1:5" x14ac:dyDescent="0.4">
      <c r="A106" s="6" t="s">
        <v>39</v>
      </c>
      <c r="B106" s="6" t="s">
        <v>13</v>
      </c>
      <c r="C106" s="7">
        <f>_xll.ciqfunctions.udf.CIQ($B$1,"IQ_EBT_EXCL","IQ_FY-1")</f>
        <v>1364.8720000000001</v>
      </c>
      <c r="D106" s="8">
        <f t="shared" si="3"/>
        <v>1364.8720000000001</v>
      </c>
      <c r="E106" s="6" t="s">
        <v>40</v>
      </c>
    </row>
    <row r="107" spans="1:5" x14ac:dyDescent="0.4">
      <c r="A107" s="6" t="s">
        <v>39</v>
      </c>
      <c r="B107" s="6" t="s">
        <v>14</v>
      </c>
      <c r="C107" s="7">
        <f>_xll.ciqfunctions.udf.CIQ($B$1,"IQ_EBT_EXCL","IQ_FY-2")</f>
        <v>2136.0230000000001</v>
      </c>
      <c r="D107" s="8">
        <f t="shared" si="3"/>
        <v>2136.0230000000001</v>
      </c>
      <c r="E107" s="6" t="s">
        <v>40</v>
      </c>
    </row>
    <row r="108" spans="1:5" x14ac:dyDescent="0.4">
      <c r="A108" s="6" t="s">
        <v>39</v>
      </c>
      <c r="B108" s="6" t="s">
        <v>15</v>
      </c>
      <c r="C108" s="7">
        <f>_xll.ciqfunctions.udf.CIQ($B$1,"IQ_EBT_EXCL","IQ_FY-3")</f>
        <v>2769.9960000000001</v>
      </c>
      <c r="D108" s="8">
        <f t="shared" si="3"/>
        <v>2769.9960000000001</v>
      </c>
      <c r="E108" s="6" t="s">
        <v>40</v>
      </c>
    </row>
    <row r="109" spans="1:5" x14ac:dyDescent="0.4">
      <c r="A109" s="6" t="s">
        <v>39</v>
      </c>
      <c r="B109" s="6" t="s">
        <v>16</v>
      </c>
      <c r="C109" s="7">
        <f>_xll.ciqfunctions.udf.CIQ($B$1,"IQ_EBT_EXCL","IQ_FY-4")</f>
        <v>1664.194</v>
      </c>
      <c r="D109" s="8">
        <f t="shared" si="3"/>
        <v>1664.194</v>
      </c>
      <c r="E109" s="6" t="s">
        <v>40</v>
      </c>
    </row>
    <row r="110" spans="1:5" x14ac:dyDescent="0.4">
      <c r="A110" s="6" t="s">
        <v>39</v>
      </c>
      <c r="B110" s="6" t="s">
        <v>17</v>
      </c>
      <c r="C110" s="7">
        <f>_xll.ciqfunctions.udf.CIQ($B$1,"IQ_EBT_EXCL","IQ_FY-5")</f>
        <v>1029.174</v>
      </c>
      <c r="D110" s="8">
        <f t="shared" si="3"/>
        <v>1029.174</v>
      </c>
      <c r="E110" s="6" t="s">
        <v>40</v>
      </c>
    </row>
    <row r="111" spans="1:5" x14ac:dyDescent="0.4">
      <c r="A111" s="6" t="s">
        <v>39</v>
      </c>
      <c r="B111" s="6" t="s">
        <v>18</v>
      </c>
      <c r="C111" s="7">
        <f>_xll.ciqfunctions.udf.CIQ($B$1,"IQ_EBT_EXCL","IQ_FY-6")</f>
        <v>861.63400000000001</v>
      </c>
      <c r="D111" s="8">
        <f t="shared" si="3"/>
        <v>861.63400000000001</v>
      </c>
      <c r="E111" s="6" t="s">
        <v>40</v>
      </c>
    </row>
    <row r="112" spans="1:5" x14ac:dyDescent="0.4">
      <c r="A112" s="6" t="s">
        <v>39</v>
      </c>
      <c r="B112" s="6" t="s">
        <v>19</v>
      </c>
      <c r="C112" s="7">
        <f>_xll.ciqfunctions.udf.CIQ($B$1,"IQ_EBT_EXCL","IQ_FY-7")</f>
        <v>203.04</v>
      </c>
      <c r="D112" s="8">
        <f t="shared" si="3"/>
        <v>203.04</v>
      </c>
      <c r="E112" s="6" t="s">
        <v>40</v>
      </c>
    </row>
    <row r="113" spans="1:5" x14ac:dyDescent="0.4">
      <c r="A113" s="6" t="s">
        <v>39</v>
      </c>
      <c r="B113" s="6" t="s">
        <v>20</v>
      </c>
      <c r="C113" s="7">
        <f>_xll.ciqfunctions.udf.CIQ($B$1,"IQ_EBT_EXCL","IQ_FY-8")</f>
        <v>302.666</v>
      </c>
      <c r="D113" s="8">
        <f t="shared" si="3"/>
        <v>302.666</v>
      </c>
      <c r="E113" s="6" t="s">
        <v>40</v>
      </c>
    </row>
    <row r="114" spans="1:5" x14ac:dyDescent="0.4">
      <c r="A114" s="6" t="s">
        <v>39</v>
      </c>
      <c r="B114" s="6" t="s">
        <v>21</v>
      </c>
      <c r="C114" s="7">
        <f>_xll.ciqfunctions.udf.CIQ($B$1,"IQ_EBT_EXCL","IQ_FY-9")</f>
        <v>311.82799999999997</v>
      </c>
      <c r="D114" s="8">
        <f t="shared" si="3"/>
        <v>311.82799999999997</v>
      </c>
      <c r="E114" s="6" t="s">
        <v>40</v>
      </c>
    </row>
    <row r="115" spans="1:5" x14ac:dyDescent="0.4">
      <c r="A115" s="6" t="s">
        <v>39</v>
      </c>
      <c r="B115" s="6" t="s">
        <v>22</v>
      </c>
      <c r="C115" s="7">
        <f>_xll.ciqfunctions.udf.CIQ($B$1,"IQ_EBT_EXCL","IQ_FY-10")</f>
        <v>969.94399999999996</v>
      </c>
      <c r="D115" s="8">
        <f t="shared" si="3"/>
        <v>969.94399999999996</v>
      </c>
      <c r="E115" s="6" t="s">
        <v>40</v>
      </c>
    </row>
    <row r="116" spans="1:5" x14ac:dyDescent="0.4">
      <c r="A116" s="6" t="s">
        <v>41</v>
      </c>
      <c r="B116" s="6" t="s">
        <v>11</v>
      </c>
      <c r="C116" s="7">
        <f>_xll.ciqfunctions.udf.CIQ($B$1,"IQ_INC_TAX","IQ_FY-0")</f>
        <v>18.917999999999999</v>
      </c>
      <c r="D116" s="8">
        <f t="shared" si="3"/>
        <v>18.917999999999999</v>
      </c>
      <c r="E116" s="6" t="s">
        <v>42</v>
      </c>
    </row>
    <row r="117" spans="1:5" x14ac:dyDescent="0.4">
      <c r="A117" s="6" t="s">
        <v>41</v>
      </c>
      <c r="B117" s="6" t="s">
        <v>13</v>
      </c>
      <c r="C117" s="7">
        <f>_xll.ciqfunctions.udf.CIQ($B$1,"IQ_INC_TAX","IQ_FY-1")</f>
        <v>263.142</v>
      </c>
      <c r="D117" s="8">
        <f t="shared" si="3"/>
        <v>263.142</v>
      </c>
      <c r="E117" s="6" t="s">
        <v>42</v>
      </c>
    </row>
    <row r="118" spans="1:5" x14ac:dyDescent="0.4">
      <c r="A118" s="6" t="s">
        <v>41</v>
      </c>
      <c r="B118" s="6" t="s">
        <v>14</v>
      </c>
      <c r="C118" s="7">
        <f>_xll.ciqfunctions.udf.CIQ($B$1,"IQ_INC_TAX","IQ_FY-2")</f>
        <v>455.15600000000001</v>
      </c>
      <c r="D118" s="8">
        <f t="shared" si="3"/>
        <v>455.15600000000001</v>
      </c>
      <c r="E118" s="6" t="s">
        <v>42</v>
      </c>
    </row>
    <row r="119" spans="1:5" x14ac:dyDescent="0.4">
      <c r="A119" s="6" t="s">
        <v>41</v>
      </c>
      <c r="B119" s="6" t="s">
        <v>15</v>
      </c>
      <c r="C119" s="7">
        <f>_xll.ciqfunctions.udf.CIQ($B$1,"IQ_INC_TAX","IQ_FY-3")</f>
        <v>622.399</v>
      </c>
      <c r="D119" s="8">
        <f t="shared" si="3"/>
        <v>622.399</v>
      </c>
      <c r="E119" s="6" t="s">
        <v>42</v>
      </c>
    </row>
    <row r="120" spans="1:5" x14ac:dyDescent="0.4">
      <c r="A120" s="6" t="s">
        <v>41</v>
      </c>
      <c r="B120" s="6" t="s">
        <v>16</v>
      </c>
      <c r="C120" s="7">
        <f>_xll.ciqfunctions.udf.CIQ($B$1,"IQ_INC_TAX","IQ_FY-4")</f>
        <v>461.19900000000001</v>
      </c>
      <c r="D120" s="8">
        <f t="shared" si="3"/>
        <v>461.19900000000001</v>
      </c>
      <c r="E120" s="6" t="s">
        <v>42</v>
      </c>
    </row>
    <row r="121" spans="1:5" x14ac:dyDescent="0.4">
      <c r="A121" s="6" t="s">
        <v>41</v>
      </c>
      <c r="B121" s="6" t="s">
        <v>17</v>
      </c>
      <c r="C121" s="7">
        <f>_xll.ciqfunctions.udf.CIQ($B$1,"IQ_INC_TAX","IQ_FY-5")</f>
        <v>213.20400000000001</v>
      </c>
      <c r="D121" s="8">
        <f t="shared" si="3"/>
        <v>213.20400000000001</v>
      </c>
      <c r="E121" s="6" t="s">
        <v>42</v>
      </c>
    </row>
    <row r="122" spans="1:5" x14ac:dyDescent="0.4">
      <c r="A122" s="6" t="s">
        <v>41</v>
      </c>
      <c r="B122" s="6" t="s">
        <v>18</v>
      </c>
      <c r="C122" s="7">
        <f>_xll.ciqfunctions.udf.CIQ($B$1,"IQ_INC_TAX","IQ_FY-6")</f>
        <v>199.46</v>
      </c>
      <c r="D122" s="8">
        <f t="shared" si="3"/>
        <v>199.46</v>
      </c>
      <c r="E122" s="6" t="s">
        <v>42</v>
      </c>
    </row>
    <row r="123" spans="1:5" x14ac:dyDescent="0.4">
      <c r="A123" s="6" t="s">
        <v>41</v>
      </c>
      <c r="B123" s="6" t="s">
        <v>19</v>
      </c>
      <c r="C123" s="7">
        <f>_xll.ciqfunctions.udf.CIQ($B$1,"IQ_INC_TAX","IQ_FY-7")</f>
        <v>279.97699999999998</v>
      </c>
      <c r="D123" s="8">
        <f t="shared" si="3"/>
        <v>279.97699999999998</v>
      </c>
      <c r="E123" s="6" t="s">
        <v>42</v>
      </c>
    </row>
    <row r="124" spans="1:5" x14ac:dyDescent="0.4">
      <c r="A124" s="6" t="s">
        <v>41</v>
      </c>
      <c r="B124" s="6" t="s">
        <v>20</v>
      </c>
      <c r="C124" s="7">
        <f>_xll.ciqfunctions.udf.CIQ($B$1,"IQ_INC_TAX","IQ_FY-8")</f>
        <v>-40.514000000000003</v>
      </c>
      <c r="D124" s="8">
        <f t="shared" si="3"/>
        <v>-40.514000000000003</v>
      </c>
      <c r="E124" s="6" t="s">
        <v>42</v>
      </c>
    </row>
    <row r="125" spans="1:5" x14ac:dyDescent="0.4">
      <c r="A125" s="6" t="s">
        <v>41</v>
      </c>
      <c r="B125" s="6" t="s">
        <v>21</v>
      </c>
      <c r="C125" s="7">
        <f>_xll.ciqfunctions.udf.CIQ($B$1,"IQ_INC_TAX","IQ_FY-9")</f>
        <v>-132.27600000000001</v>
      </c>
      <c r="D125" s="8">
        <f t="shared" si="3"/>
        <v>-132.27600000000001</v>
      </c>
      <c r="E125" s="6" t="s">
        <v>42</v>
      </c>
    </row>
    <row r="126" spans="1:5" x14ac:dyDescent="0.4">
      <c r="A126" s="6" t="s">
        <v>41</v>
      </c>
      <c r="B126" s="6" t="s">
        <v>22</v>
      </c>
      <c r="C126" s="7">
        <f>_xll.ciqfunctions.udf.CIQ($B$1,"IQ_INC_TAX","IQ_FY-10")</f>
        <v>134.364</v>
      </c>
      <c r="D126" s="8">
        <f t="shared" si="3"/>
        <v>134.364</v>
      </c>
      <c r="E126" s="6" t="s">
        <v>42</v>
      </c>
    </row>
    <row r="127" spans="1:5" x14ac:dyDescent="0.4">
      <c r="A127" s="9" t="s">
        <v>43</v>
      </c>
      <c r="B127" s="10"/>
      <c r="C127" s="10"/>
      <c r="D127" s="10"/>
      <c r="E127" s="10"/>
    </row>
    <row r="128" spans="1:5" x14ac:dyDescent="0.4">
      <c r="A128" s="6" t="s">
        <v>10</v>
      </c>
      <c r="B128" s="6" t="s">
        <v>44</v>
      </c>
      <c r="C128" s="7">
        <f>_xll.ciqfunctions.udf.CIQ($B$1,"IQ_TOTAL_REV","IQ_FQ-0")</f>
        <v>22204.333999999999</v>
      </c>
      <c r="D128" s="8">
        <f t="shared" ref="D128:D159" si="4">C128</f>
        <v>22204.333999999999</v>
      </c>
      <c r="E128" s="6" t="s">
        <v>12</v>
      </c>
    </row>
    <row r="129" spans="1:5" x14ac:dyDescent="0.4">
      <c r="A129" s="6" t="s">
        <v>10</v>
      </c>
      <c r="B129" s="6" t="s">
        <v>45</v>
      </c>
      <c r="C129" s="7">
        <f>_xll.ciqfunctions.udf.CIQ($B$1,"IQ_TOTAL_REV","IQ_FQ-1")</f>
        <v>20452.022000000001</v>
      </c>
      <c r="D129" s="8">
        <f t="shared" si="4"/>
        <v>20452.022000000001</v>
      </c>
      <c r="E129" s="6" t="s">
        <v>12</v>
      </c>
    </row>
    <row r="130" spans="1:5" x14ac:dyDescent="0.4">
      <c r="A130" s="6" t="s">
        <v>10</v>
      </c>
      <c r="B130" s="6" t="s">
        <v>46</v>
      </c>
      <c r="C130" s="7">
        <f>_xll.ciqfunctions.udf.CIQ($B$1,"IQ_TOTAL_REV","IQ_FQ-2")</f>
        <v>18830</v>
      </c>
      <c r="D130" s="8">
        <f t="shared" si="4"/>
        <v>18830</v>
      </c>
      <c r="E130" s="6" t="s">
        <v>12</v>
      </c>
    </row>
    <row r="131" spans="1:5" x14ac:dyDescent="0.4">
      <c r="A131" s="6" t="s">
        <v>10</v>
      </c>
      <c r="B131" s="6" t="s">
        <v>47</v>
      </c>
      <c r="C131" s="7">
        <f>_xll.ciqfunctions.udf.CIQ($B$1,"IQ_TOTAL_REV","IQ_FQ-3")</f>
        <v>16983.538</v>
      </c>
      <c r="D131" s="8">
        <f t="shared" si="4"/>
        <v>16983.538</v>
      </c>
      <c r="E131" s="6" t="s">
        <v>12</v>
      </c>
    </row>
    <row r="132" spans="1:5" x14ac:dyDescent="0.4">
      <c r="A132" s="6" t="s">
        <v>10</v>
      </c>
      <c r="B132" s="6" t="s">
        <v>48</v>
      </c>
      <c r="C132" s="7">
        <f>_xll.ciqfunctions.udf.CIQ($B$1,"IQ_TOTAL_REV","IQ_FQ-4")</f>
        <v>18796.28</v>
      </c>
      <c r="D132" s="8">
        <f t="shared" si="4"/>
        <v>18796.28</v>
      </c>
      <c r="E132" s="6" t="s">
        <v>12</v>
      </c>
    </row>
    <row r="133" spans="1:5" x14ac:dyDescent="0.4">
      <c r="A133" s="6" t="s">
        <v>10</v>
      </c>
      <c r="B133" s="6" t="s">
        <v>49</v>
      </c>
      <c r="C133" s="7">
        <f>_xll.ciqfunctions.udf.CIQ($B$1,"IQ_TOTAL_REV","IQ_FQ-5")</f>
        <v>17850.094000000001</v>
      </c>
      <c r="D133" s="8">
        <f t="shared" si="4"/>
        <v>17850.094000000001</v>
      </c>
      <c r="E133" s="6" t="s">
        <v>12</v>
      </c>
    </row>
    <row r="134" spans="1:5" x14ac:dyDescent="0.4">
      <c r="A134" s="6" t="s">
        <v>10</v>
      </c>
      <c r="B134" s="6" t="s">
        <v>50</v>
      </c>
      <c r="C134" s="7">
        <f>_xll.ciqfunctions.udf.CIQ($B$1,"IQ_TOTAL_REV","IQ_FQ-6")</f>
        <v>15447.056</v>
      </c>
      <c r="D134" s="8">
        <f t="shared" si="4"/>
        <v>15447.056</v>
      </c>
      <c r="E134" s="6" t="s">
        <v>12</v>
      </c>
    </row>
    <row r="135" spans="1:5" x14ac:dyDescent="0.4">
      <c r="A135" s="6" t="s">
        <v>10</v>
      </c>
      <c r="B135" s="6" t="s">
        <v>51</v>
      </c>
      <c r="C135" s="7">
        <f>_xll.ciqfunctions.udf.CIQ($B$1,"IQ_TOTAL_REV","IQ_FQ-7")</f>
        <v>13833.117</v>
      </c>
      <c r="D135" s="8">
        <f t="shared" si="4"/>
        <v>13833.117</v>
      </c>
      <c r="E135" s="6" t="s">
        <v>12</v>
      </c>
    </row>
    <row r="136" spans="1:5" x14ac:dyDescent="0.4">
      <c r="A136" s="6" t="s">
        <v>23</v>
      </c>
      <c r="B136" s="6" t="s">
        <v>44</v>
      </c>
      <c r="C136" s="7">
        <f>_xll.ciqfunctions.udf.CIQ($B$1,"IQ_EBIT","IQ_FQ-0")</f>
        <v>948.45799999999997</v>
      </c>
      <c r="D136" s="8">
        <f t="shared" si="4"/>
        <v>948.45799999999997</v>
      </c>
      <c r="E136" s="6" t="s">
        <v>24</v>
      </c>
    </row>
    <row r="137" spans="1:5" x14ac:dyDescent="0.4">
      <c r="A137" s="6" t="s">
        <v>23</v>
      </c>
      <c r="B137" s="6" t="s">
        <v>45</v>
      </c>
      <c r="C137" s="7">
        <f>_xll.ciqfunctions.udf.CIQ($B$1,"IQ_EBIT","IQ_FQ-1")</f>
        <v>642.92100000000005</v>
      </c>
      <c r="D137" s="8">
        <f t="shared" si="4"/>
        <v>642.92100000000005</v>
      </c>
      <c r="E137" s="6" t="s">
        <v>24</v>
      </c>
    </row>
    <row r="138" spans="1:5" x14ac:dyDescent="0.4">
      <c r="A138" s="6" t="s">
        <v>23</v>
      </c>
      <c r="B138" s="6" t="s">
        <v>46</v>
      </c>
      <c r="C138" s="7">
        <f>_xll.ciqfunctions.udf.CIQ($B$1,"IQ_EBIT","IQ_FQ-2")</f>
        <v>785</v>
      </c>
      <c r="D138" s="8">
        <f t="shared" si="4"/>
        <v>785</v>
      </c>
      <c r="E138" s="6" t="s">
        <v>24</v>
      </c>
    </row>
    <row r="139" spans="1:5" x14ac:dyDescent="0.4">
      <c r="A139" s="6" t="s">
        <v>23</v>
      </c>
      <c r="B139" s="6" t="s">
        <v>47</v>
      </c>
      <c r="C139" s="7">
        <f>_xll.ciqfunctions.udf.CIQ($B$1,"IQ_EBIT","IQ_FQ-3")</f>
        <v>174.13</v>
      </c>
      <c r="D139" s="8">
        <f t="shared" si="4"/>
        <v>174.13</v>
      </c>
      <c r="E139" s="6" t="s">
        <v>24</v>
      </c>
    </row>
    <row r="140" spans="1:5" x14ac:dyDescent="0.4">
      <c r="A140" s="6" t="s">
        <v>23</v>
      </c>
      <c r="B140" s="6" t="s">
        <v>48</v>
      </c>
      <c r="C140" s="7">
        <f>_xll.ciqfunctions.udf.CIQ($B$1,"IQ_EBIT","IQ_FQ-4")</f>
        <v>687.70399999999995</v>
      </c>
      <c r="D140" s="8">
        <f t="shared" si="4"/>
        <v>687.70399999999995</v>
      </c>
      <c r="E140" s="6" t="s">
        <v>24</v>
      </c>
    </row>
    <row r="141" spans="1:5" x14ac:dyDescent="0.4">
      <c r="A141" s="6" t="s">
        <v>23</v>
      </c>
      <c r="B141" s="6" t="s">
        <v>49</v>
      </c>
      <c r="C141" s="7">
        <f>_xll.ciqfunctions.udf.CIQ($B$1,"IQ_EBIT","IQ_FQ-5")</f>
        <v>650.59900000000005</v>
      </c>
      <c r="D141" s="8">
        <f t="shared" si="4"/>
        <v>650.59900000000005</v>
      </c>
      <c r="E141" s="6" t="s">
        <v>24</v>
      </c>
    </row>
    <row r="142" spans="1:5" x14ac:dyDescent="0.4">
      <c r="A142" s="6" t="s">
        <v>23</v>
      </c>
      <c r="B142" s="6" t="s">
        <v>50</v>
      </c>
      <c r="C142" s="7">
        <f>_xll.ciqfunctions.udf.CIQ($B$1,"IQ_EBIT","IQ_FQ-6")</f>
        <v>494.46899999999999</v>
      </c>
      <c r="D142" s="8">
        <f t="shared" si="4"/>
        <v>494.46899999999999</v>
      </c>
      <c r="E142" s="6" t="s">
        <v>24</v>
      </c>
    </row>
    <row r="143" spans="1:5" x14ac:dyDescent="0.4">
      <c r="A143" s="6" t="s">
        <v>23</v>
      </c>
      <c r="B143" s="6" t="s">
        <v>51</v>
      </c>
      <c r="C143" s="7">
        <f>_xll.ciqfunctions.udf.CIQ($B$1,"IQ_EBIT","IQ_FQ-7")</f>
        <v>473.81</v>
      </c>
      <c r="D143" s="8">
        <f t="shared" si="4"/>
        <v>473.81</v>
      </c>
      <c r="E143" s="6" t="s">
        <v>24</v>
      </c>
    </row>
    <row r="144" spans="1:5" x14ac:dyDescent="0.4">
      <c r="A144" s="6" t="s">
        <v>25</v>
      </c>
      <c r="B144" s="6" t="s">
        <v>44</v>
      </c>
      <c r="C144" s="7">
        <f>_xll.ciqfunctions.udf.CIQ($B$1,"IQ_EBITDA","IQ_FQ-0")</f>
        <v>1246.0350000000001</v>
      </c>
      <c r="D144" s="8">
        <f t="shared" si="4"/>
        <v>1246.0350000000001</v>
      </c>
      <c r="E144" s="6" t="s">
        <v>26</v>
      </c>
    </row>
    <row r="145" spans="1:5" x14ac:dyDescent="0.4">
      <c r="A145" s="6" t="s">
        <v>25</v>
      </c>
      <c r="B145" s="6" t="s">
        <v>45</v>
      </c>
      <c r="C145" s="7">
        <f>_xll.ciqfunctions.udf.CIQ($B$1,"IQ_EBITDA","IQ_FQ-1")</f>
        <v>909.64700000000005</v>
      </c>
      <c r="D145" s="8">
        <f t="shared" si="4"/>
        <v>909.64700000000005</v>
      </c>
      <c r="E145" s="6" t="s">
        <v>26</v>
      </c>
    </row>
    <row r="146" spans="1:5" x14ac:dyDescent="0.4">
      <c r="A146" s="6" t="s">
        <v>25</v>
      </c>
      <c r="B146" s="6" t="s">
        <v>46</v>
      </c>
      <c r="C146" s="7">
        <f>_xll.ciqfunctions.udf.CIQ($B$1,"IQ_EBITDA","IQ_FQ-2")</f>
        <v>1048.2102500000001</v>
      </c>
      <c r="D146" s="8">
        <f t="shared" si="4"/>
        <v>1048.2102500000001</v>
      </c>
      <c r="E146" s="6" t="s">
        <v>26</v>
      </c>
    </row>
    <row r="147" spans="1:5" x14ac:dyDescent="0.4">
      <c r="A147" s="6" t="s">
        <v>25</v>
      </c>
      <c r="B147" s="6" t="s">
        <v>47</v>
      </c>
      <c r="C147" s="7">
        <f>_xll.ciqfunctions.udf.CIQ($B$1,"IQ_EBITDA","IQ_FQ-3")</f>
        <v>419.10599999999999</v>
      </c>
      <c r="D147" s="8">
        <f t="shared" si="4"/>
        <v>419.10599999999999</v>
      </c>
      <c r="E147" s="6" t="s">
        <v>26</v>
      </c>
    </row>
    <row r="148" spans="1:5" x14ac:dyDescent="0.4">
      <c r="A148" s="6" t="s">
        <v>25</v>
      </c>
      <c r="B148" s="6" t="s">
        <v>48</v>
      </c>
      <c r="C148" s="7">
        <f>_xll.ciqfunctions.udf.CIQ($B$1,"IQ_EBITDA","IQ_FQ-4")</f>
        <v>970.46299999999997</v>
      </c>
      <c r="D148" s="8">
        <f t="shared" si="4"/>
        <v>970.46299999999997</v>
      </c>
      <c r="E148" s="6" t="s">
        <v>26</v>
      </c>
    </row>
    <row r="149" spans="1:5" x14ac:dyDescent="0.4">
      <c r="A149" s="6" t="s">
        <v>25</v>
      </c>
      <c r="B149" s="6" t="s">
        <v>49</v>
      </c>
      <c r="C149" s="7">
        <f>_xll.ciqfunctions.udf.CIQ($B$1,"IQ_EBITDA","IQ_FQ-5")</f>
        <v>918.47799999999995</v>
      </c>
      <c r="D149" s="8">
        <f t="shared" si="4"/>
        <v>918.47799999999995</v>
      </c>
      <c r="E149" s="6" t="s">
        <v>26</v>
      </c>
    </row>
    <row r="150" spans="1:5" x14ac:dyDescent="0.4">
      <c r="A150" s="6" t="s">
        <v>25</v>
      </c>
      <c r="B150" s="6" t="s">
        <v>50</v>
      </c>
      <c r="C150" s="7">
        <f>_xll.ciqfunctions.udf.CIQ($B$1,"IQ_EBITDA","IQ_FQ-6")</f>
        <v>751.69600000000003</v>
      </c>
      <c r="D150" s="8">
        <f t="shared" si="4"/>
        <v>751.69600000000003</v>
      </c>
      <c r="E150" s="6" t="s">
        <v>26</v>
      </c>
    </row>
    <row r="151" spans="1:5" x14ac:dyDescent="0.4">
      <c r="A151" s="6" t="s">
        <v>25</v>
      </c>
      <c r="B151" s="6" t="s">
        <v>51</v>
      </c>
      <c r="C151" s="7">
        <f>_xll.ciqfunctions.udf.CIQ($B$1,"IQ_EBITDA","IQ_FQ-7")</f>
        <v>741.96600000000001</v>
      </c>
      <c r="D151" s="8">
        <f t="shared" si="4"/>
        <v>741.96600000000001</v>
      </c>
      <c r="E151" s="6" t="s">
        <v>26</v>
      </c>
    </row>
    <row r="152" spans="1:5" x14ac:dyDescent="0.4">
      <c r="A152" s="6" t="s">
        <v>27</v>
      </c>
      <c r="B152" s="6" t="s">
        <v>44</v>
      </c>
      <c r="C152" s="7">
        <f>_xll.ciqfunctions.udf.CIQ($B$1,"IQ_NI","IQ_FQ-0")</f>
        <v>545.53599999999994</v>
      </c>
      <c r="D152" s="8">
        <f t="shared" si="4"/>
        <v>545.53599999999994</v>
      </c>
      <c r="E152" s="6" t="s">
        <v>28</v>
      </c>
    </row>
    <row r="153" spans="1:5" x14ac:dyDescent="0.4">
      <c r="A153" s="6" t="s">
        <v>27</v>
      </c>
      <c r="B153" s="6" t="s">
        <v>45</v>
      </c>
      <c r="C153" s="7">
        <f>_xll.ciqfunctions.udf.CIQ($B$1,"IQ_NI","IQ_FQ-1")</f>
        <v>340.27600000000001</v>
      </c>
      <c r="D153" s="8">
        <f t="shared" si="4"/>
        <v>340.27600000000001</v>
      </c>
      <c r="E153" s="6" t="s">
        <v>28</v>
      </c>
    </row>
    <row r="154" spans="1:5" x14ac:dyDescent="0.4">
      <c r="A154" s="6" t="s">
        <v>27</v>
      </c>
      <c r="B154" s="6" t="s">
        <v>46</v>
      </c>
      <c r="C154" s="7">
        <f>_xll.ciqfunctions.udf.CIQ($B$1,"IQ_NI","IQ_FQ-2")</f>
        <v>505</v>
      </c>
      <c r="D154" s="8">
        <f t="shared" si="4"/>
        <v>505</v>
      </c>
      <c r="E154" s="6" t="s">
        <v>28</v>
      </c>
    </row>
    <row r="155" spans="1:5" x14ac:dyDescent="0.4">
      <c r="A155" s="6" t="s">
        <v>27</v>
      </c>
      <c r="B155" s="6" t="s">
        <v>47</v>
      </c>
      <c r="C155" s="7">
        <f>_xll.ciqfunctions.udf.CIQ($B$1,"IQ_NI","IQ_FQ-3")</f>
        <v>89.878</v>
      </c>
      <c r="D155" s="8">
        <f t="shared" si="4"/>
        <v>89.878</v>
      </c>
      <c r="E155" s="6" t="s">
        <v>28</v>
      </c>
    </row>
    <row r="156" spans="1:5" x14ac:dyDescent="0.4">
      <c r="A156" s="6" t="s">
        <v>27</v>
      </c>
      <c r="B156" s="6" t="s">
        <v>48</v>
      </c>
      <c r="C156" s="7">
        <f>_xll.ciqfunctions.udf.CIQ($B$1,"IQ_NI","IQ_FQ-4")</f>
        <v>692.67</v>
      </c>
      <c r="D156" s="8">
        <f t="shared" si="4"/>
        <v>692.67</v>
      </c>
      <c r="E156" s="6" t="s">
        <v>28</v>
      </c>
    </row>
    <row r="157" spans="1:5" x14ac:dyDescent="0.4">
      <c r="A157" s="6" t="s">
        <v>27</v>
      </c>
      <c r="B157" s="6" t="s">
        <v>49</v>
      </c>
      <c r="C157" s="7">
        <f>_xll.ciqfunctions.udf.CIQ($B$1,"IQ_NI","IQ_FQ-5")</f>
        <v>358.53199999999998</v>
      </c>
      <c r="D157" s="8">
        <f t="shared" si="4"/>
        <v>358.53199999999998</v>
      </c>
      <c r="E157" s="6" t="s">
        <v>28</v>
      </c>
    </row>
    <row r="158" spans="1:5" x14ac:dyDescent="0.4">
      <c r="A158" s="6" t="s">
        <v>27</v>
      </c>
      <c r="B158" s="6" t="s">
        <v>50</v>
      </c>
      <c r="C158" s="7">
        <f>_xll.ciqfunctions.udf.CIQ($B$1,"IQ_NI","IQ_FQ-6")</f>
        <v>243.36500000000001</v>
      </c>
      <c r="D158" s="8">
        <f t="shared" si="4"/>
        <v>243.36500000000001</v>
      </c>
      <c r="E158" s="6" t="s">
        <v>28</v>
      </c>
    </row>
    <row r="159" spans="1:5" x14ac:dyDescent="0.4">
      <c r="A159" s="6" t="s">
        <v>27</v>
      </c>
      <c r="B159" s="6" t="s">
        <v>51</v>
      </c>
      <c r="C159" s="7">
        <f>_xll.ciqfunctions.udf.CIQ($B$1,"IQ_NI","IQ_FQ-7")</f>
        <v>247.72399999999999</v>
      </c>
      <c r="D159" s="8">
        <f t="shared" si="4"/>
        <v>247.72399999999999</v>
      </c>
      <c r="E159" s="6" t="s">
        <v>28</v>
      </c>
    </row>
    <row r="160" spans="1:5" x14ac:dyDescent="0.4">
      <c r="A160" s="6" t="s">
        <v>29</v>
      </c>
      <c r="B160" s="6" t="s">
        <v>44</v>
      </c>
      <c r="C160" s="7">
        <f>ABS(_xll.ciqfunctions.udf.CIQ($B$1,"IQ_INTEREST_EXP","IQ_FQ-0"))</f>
        <v>80.861000000000004</v>
      </c>
      <c r="D160" s="8">
        <f t="shared" ref="D160:D191" si="5">C160</f>
        <v>80.861000000000004</v>
      </c>
      <c r="E160" s="6" t="s">
        <v>30</v>
      </c>
    </row>
    <row r="161" spans="1:5" x14ac:dyDescent="0.4">
      <c r="A161" s="6" t="s">
        <v>29</v>
      </c>
      <c r="B161" s="6" t="s">
        <v>45</v>
      </c>
      <c r="C161" s="7">
        <f>ABS(_xll.ciqfunctions.udf.CIQ($B$1,"IQ_INTEREST_EXP","IQ_FQ-1"))</f>
        <v>74.632000000000005</v>
      </c>
      <c r="D161" s="8">
        <f t="shared" si="5"/>
        <v>74.632000000000005</v>
      </c>
      <c r="E161" s="6" t="s">
        <v>30</v>
      </c>
    </row>
    <row r="162" spans="1:5" x14ac:dyDescent="0.4">
      <c r="A162" s="6" t="s">
        <v>29</v>
      </c>
      <c r="B162" s="6" t="s">
        <v>46</v>
      </c>
      <c r="C162" s="7">
        <f>ABS(_xll.ciqfunctions.udf.CIQ($B$1,"IQ_INTEREST_EXP","IQ_FQ-2"))</f>
        <v>0</v>
      </c>
      <c r="D162" s="8">
        <f t="shared" si="5"/>
        <v>0</v>
      </c>
      <c r="E162" s="6" t="s">
        <v>30</v>
      </c>
    </row>
    <row r="163" spans="1:5" x14ac:dyDescent="0.4">
      <c r="A163" s="6" t="s">
        <v>29</v>
      </c>
      <c r="B163" s="6" t="s">
        <v>47</v>
      </c>
      <c r="C163" s="7">
        <f>ABS(_xll.ciqfunctions.udf.CIQ($B$1,"IQ_INTEREST_EXP","IQ_FQ-3"))</f>
        <v>82.807000000000002</v>
      </c>
      <c r="D163" s="8">
        <f t="shared" si="5"/>
        <v>82.807000000000002</v>
      </c>
      <c r="E163" s="6" t="s">
        <v>30</v>
      </c>
    </row>
    <row r="164" spans="1:5" x14ac:dyDescent="0.4">
      <c r="A164" s="6" t="s">
        <v>29</v>
      </c>
      <c r="B164" s="6" t="s">
        <v>48</v>
      </c>
      <c r="C164" s="7">
        <f>ABS(_xll.ciqfunctions.udf.CIQ($B$1,"IQ_INTEREST_EXP","IQ_FQ-4"))</f>
        <v>76.962000000000003</v>
      </c>
      <c r="D164" s="8">
        <f t="shared" si="5"/>
        <v>76.962000000000003</v>
      </c>
      <c r="E164" s="6" t="s">
        <v>30</v>
      </c>
    </row>
    <row r="165" spans="1:5" x14ac:dyDescent="0.4">
      <c r="A165" s="6" t="s">
        <v>29</v>
      </c>
      <c r="B165" s="6" t="s">
        <v>49</v>
      </c>
      <c r="C165" s="7">
        <f>ABS(_xll.ciqfunctions.udf.CIQ($B$1,"IQ_INTEREST_EXP","IQ_FQ-5"))</f>
        <v>64.251000000000005</v>
      </c>
      <c r="D165" s="8">
        <f t="shared" si="5"/>
        <v>64.251000000000005</v>
      </c>
      <c r="E165" s="6" t="s">
        <v>30</v>
      </c>
    </row>
    <row r="166" spans="1:5" x14ac:dyDescent="0.4">
      <c r="A166" s="6" t="s">
        <v>29</v>
      </c>
      <c r="B166" s="6" t="s">
        <v>50</v>
      </c>
      <c r="C166" s="7">
        <f>ABS(_xll.ciqfunctions.udf.CIQ($B$1,"IQ_INTEREST_EXP","IQ_FQ-6"))</f>
        <v>69.575000000000003</v>
      </c>
      <c r="D166" s="8">
        <f t="shared" si="5"/>
        <v>69.575000000000003</v>
      </c>
      <c r="E166" s="6" t="s">
        <v>30</v>
      </c>
    </row>
    <row r="167" spans="1:5" x14ac:dyDescent="0.4">
      <c r="A167" s="6" t="s">
        <v>29</v>
      </c>
      <c r="B167" s="6" t="s">
        <v>51</v>
      </c>
      <c r="C167" s="7">
        <f>ABS(_xll.ciqfunctions.udf.CIQ($B$1,"IQ_INTEREST_EXP","IQ_FQ-7"))</f>
        <v>74.787000000000006</v>
      </c>
      <c r="D167" s="8">
        <f t="shared" si="5"/>
        <v>74.787000000000006</v>
      </c>
      <c r="E167" s="6" t="s">
        <v>30</v>
      </c>
    </row>
    <row r="168" spans="1:5" x14ac:dyDescent="0.4">
      <c r="A168" s="6" t="s">
        <v>31</v>
      </c>
      <c r="B168" s="6" t="s">
        <v>44</v>
      </c>
      <c r="C168" s="7">
        <f>ABS(_xll.ciqfunctions.udf.CIQ($B$1,"IQ_DA_CF","IQ_FQ-0"))</f>
        <v>328.233</v>
      </c>
      <c r="D168" s="8">
        <f t="shared" si="5"/>
        <v>328.233</v>
      </c>
      <c r="E168" s="6" t="s">
        <v>32</v>
      </c>
    </row>
    <row r="169" spans="1:5" x14ac:dyDescent="0.4">
      <c r="A169" s="6" t="s">
        <v>31</v>
      </c>
      <c r="B169" s="6" t="s">
        <v>45</v>
      </c>
      <c r="C169" s="7">
        <f>ABS(_xll.ciqfunctions.udf.CIQ($B$1,"IQ_DA_CF","IQ_FQ-1"))</f>
        <v>0</v>
      </c>
      <c r="D169" s="8">
        <f t="shared" si="5"/>
        <v>0</v>
      </c>
      <c r="E169" s="6" t="s">
        <v>32</v>
      </c>
    </row>
    <row r="170" spans="1:5" x14ac:dyDescent="0.4">
      <c r="A170" s="6" t="s">
        <v>31</v>
      </c>
      <c r="B170" s="6" t="s">
        <v>46</v>
      </c>
      <c r="C170" s="7">
        <f>ABS(_xll.ciqfunctions.udf.CIQ($B$1,"IQ_DA_CF","IQ_FQ-2"))</f>
        <v>0</v>
      </c>
      <c r="D170" s="8">
        <f t="shared" si="5"/>
        <v>0</v>
      </c>
      <c r="E170" s="6" t="s">
        <v>32</v>
      </c>
    </row>
    <row r="171" spans="1:5" x14ac:dyDescent="0.4">
      <c r="A171" s="6" t="s">
        <v>31</v>
      </c>
      <c r="B171" s="6" t="s">
        <v>47</v>
      </c>
      <c r="C171" s="7">
        <f>ABS(_xll.ciqfunctions.udf.CIQ($B$1,"IQ_DA_CF","IQ_FQ-3"))</f>
        <v>273.76799999999997</v>
      </c>
      <c r="D171" s="8">
        <f t="shared" si="5"/>
        <v>273.76799999999997</v>
      </c>
      <c r="E171" s="6" t="s">
        <v>32</v>
      </c>
    </row>
    <row r="172" spans="1:5" x14ac:dyDescent="0.4">
      <c r="A172" s="6" t="s">
        <v>31</v>
      </c>
      <c r="B172" s="6" t="s">
        <v>48</v>
      </c>
      <c r="C172" s="7">
        <f>ABS(_xll.ciqfunctions.udf.CIQ($B$1,"IQ_DA_CF","IQ_FQ-4"))</f>
        <v>313.64299999999997</v>
      </c>
      <c r="D172" s="8">
        <f t="shared" si="5"/>
        <v>313.64299999999997</v>
      </c>
      <c r="E172" s="6" t="s">
        <v>32</v>
      </c>
    </row>
    <row r="173" spans="1:5" x14ac:dyDescent="0.4">
      <c r="A173" s="6" t="s">
        <v>31</v>
      </c>
      <c r="B173" s="6" t="s">
        <v>49</v>
      </c>
      <c r="C173" s="7">
        <f>ABS(_xll.ciqfunctions.udf.CIQ($B$1,"IQ_DA_CF","IQ_FQ-5"))</f>
        <v>295.24599999999998</v>
      </c>
      <c r="D173" s="8">
        <f t="shared" si="5"/>
        <v>295.24599999999998</v>
      </c>
      <c r="E173" s="6" t="s">
        <v>32</v>
      </c>
    </row>
    <row r="174" spans="1:5" x14ac:dyDescent="0.4">
      <c r="A174" s="6" t="s">
        <v>31</v>
      </c>
      <c r="B174" s="6" t="s">
        <v>50</v>
      </c>
      <c r="C174" s="7">
        <f>ABS(_xll.ciqfunctions.udf.CIQ($B$1,"IQ_DA_CF","IQ_FQ-6"))</f>
        <v>286.149</v>
      </c>
      <c r="D174" s="8">
        <f t="shared" si="5"/>
        <v>286.149</v>
      </c>
      <c r="E174" s="6" t="s">
        <v>32</v>
      </c>
    </row>
    <row r="175" spans="1:5" x14ac:dyDescent="0.4">
      <c r="A175" s="6" t="s">
        <v>31</v>
      </c>
      <c r="B175" s="6" t="s">
        <v>51</v>
      </c>
      <c r="C175" s="7">
        <f>ABS(_xll.ciqfunctions.udf.CIQ($B$1,"IQ_DA_CF","IQ_FQ-7"))</f>
        <v>295.33600000000001</v>
      </c>
      <c r="D175" s="8">
        <f t="shared" si="5"/>
        <v>295.33600000000001</v>
      </c>
      <c r="E175" s="6" t="s">
        <v>32</v>
      </c>
    </row>
    <row r="176" spans="1:5" x14ac:dyDescent="0.4">
      <c r="A176" s="6" t="s">
        <v>33</v>
      </c>
      <c r="B176" s="6" t="s">
        <v>44</v>
      </c>
      <c r="C176" s="7">
        <f>_xll.ciqfunctions.udf.CIQ($B$1,"IQ_RD_EXP","IQ_FQ-0")</f>
        <v>637.72699999999998</v>
      </c>
      <c r="D176" s="8">
        <f t="shared" si="5"/>
        <v>637.72699999999998</v>
      </c>
      <c r="E176" s="6" t="s">
        <v>34</v>
      </c>
    </row>
    <row r="177" spans="1:5" x14ac:dyDescent="0.4">
      <c r="A177" s="6" t="s">
        <v>33</v>
      </c>
      <c r="B177" s="6" t="s">
        <v>45</v>
      </c>
      <c r="C177" s="7">
        <f>_xll.ciqfunctions.udf.CIQ($B$1,"IQ_RD_EXP","IQ_FQ-1")</f>
        <v>580.58500000000004</v>
      </c>
      <c r="D177" s="8">
        <f t="shared" si="5"/>
        <v>580.58500000000004</v>
      </c>
      <c r="E177" s="6" t="s">
        <v>34</v>
      </c>
    </row>
    <row r="178" spans="1:5" x14ac:dyDescent="0.4">
      <c r="A178" s="6" t="s">
        <v>33</v>
      </c>
      <c r="B178" s="6" t="s">
        <v>46</v>
      </c>
      <c r="C178" s="7">
        <f>_xll.ciqfunctions.udf.CIQ($B$1,"IQ_RD_EXP","IQ_FQ-2")</f>
        <v>524</v>
      </c>
      <c r="D178" s="8">
        <f t="shared" si="5"/>
        <v>524</v>
      </c>
      <c r="E178" s="6" t="s">
        <v>34</v>
      </c>
    </row>
    <row r="179" spans="1:5" x14ac:dyDescent="0.4">
      <c r="A179" s="6" t="s">
        <v>33</v>
      </c>
      <c r="B179" s="6" t="s">
        <v>47</v>
      </c>
      <c r="C179" s="7">
        <f>_xll.ciqfunctions.udf.CIQ($B$1,"IQ_RD_EXP","IQ_FQ-3")</f>
        <v>643.89200000000005</v>
      </c>
      <c r="D179" s="8">
        <f t="shared" si="5"/>
        <v>643.89200000000005</v>
      </c>
      <c r="E179" s="6" t="s">
        <v>34</v>
      </c>
    </row>
    <row r="180" spans="1:5" x14ac:dyDescent="0.4">
      <c r="A180" s="6" t="s">
        <v>33</v>
      </c>
      <c r="B180" s="6" t="s">
        <v>48</v>
      </c>
      <c r="C180" s="7">
        <f>_xll.ciqfunctions.udf.CIQ($B$1,"IQ_RD_EXP","IQ_FQ-4")</f>
        <v>620.78899999999999</v>
      </c>
      <c r="D180" s="8">
        <f t="shared" si="5"/>
        <v>620.78899999999999</v>
      </c>
      <c r="E180" s="6" t="s">
        <v>34</v>
      </c>
    </row>
    <row r="181" spans="1:5" x14ac:dyDescent="0.4">
      <c r="A181" s="6" t="s">
        <v>33</v>
      </c>
      <c r="B181" s="6" t="s">
        <v>49</v>
      </c>
      <c r="C181" s="7">
        <f>_xll.ciqfunctions.udf.CIQ($B$1,"IQ_RD_EXP","IQ_FQ-5")</f>
        <v>547.52800000000002</v>
      </c>
      <c r="D181" s="8">
        <f t="shared" si="5"/>
        <v>547.52800000000002</v>
      </c>
      <c r="E181" s="6" t="s">
        <v>34</v>
      </c>
    </row>
    <row r="182" spans="1:5" x14ac:dyDescent="0.4">
      <c r="A182" s="6" t="s">
        <v>33</v>
      </c>
      <c r="B182" s="6" t="s">
        <v>50</v>
      </c>
      <c r="C182" s="7">
        <f>_xll.ciqfunctions.udf.CIQ($B$1,"IQ_RD_EXP","IQ_FQ-6")</f>
        <v>475.995</v>
      </c>
      <c r="D182" s="8">
        <f t="shared" si="5"/>
        <v>475.995</v>
      </c>
      <c r="E182" s="6" t="s">
        <v>34</v>
      </c>
    </row>
    <row r="183" spans="1:5" x14ac:dyDescent="0.4">
      <c r="A183" s="6" t="s">
        <v>33</v>
      </c>
      <c r="B183" s="6" t="s">
        <v>51</v>
      </c>
      <c r="C183" s="7">
        <f>_xll.ciqfunctions.udf.CIQ($B$1,"IQ_RD_EXP","IQ_FQ-7")</f>
        <v>531.74</v>
      </c>
      <c r="D183" s="8">
        <f t="shared" si="5"/>
        <v>531.74</v>
      </c>
      <c r="E183" s="6" t="s">
        <v>34</v>
      </c>
    </row>
    <row r="184" spans="1:5" x14ac:dyDescent="0.4">
      <c r="A184" s="6" t="s">
        <v>35</v>
      </c>
      <c r="B184" s="6" t="s">
        <v>44</v>
      </c>
      <c r="C184" s="7">
        <f>ABS(_xll.ciqfunctions.udf.CIQ($B$1,"IQ_CAPEX","IQ_FQ-0"))</f>
        <v>404.82499999999999</v>
      </c>
      <c r="D184" s="8">
        <f t="shared" si="5"/>
        <v>404.82499999999999</v>
      </c>
      <c r="E184" s="6" t="s">
        <v>36</v>
      </c>
    </row>
    <row r="185" spans="1:5" x14ac:dyDescent="0.4">
      <c r="A185" s="6" t="s">
        <v>35</v>
      </c>
      <c r="B185" s="6" t="s">
        <v>45</v>
      </c>
      <c r="C185" s="7">
        <f>ABS(_xll.ciqfunctions.udf.CIQ($B$1,"IQ_CAPEX","IQ_FQ-1"))</f>
        <v>0</v>
      </c>
      <c r="D185" s="8">
        <f t="shared" si="5"/>
        <v>0</v>
      </c>
      <c r="E185" s="6" t="s">
        <v>36</v>
      </c>
    </row>
    <row r="186" spans="1:5" x14ac:dyDescent="0.4">
      <c r="A186" s="6" t="s">
        <v>35</v>
      </c>
      <c r="B186" s="6" t="s">
        <v>46</v>
      </c>
      <c r="C186" s="7">
        <f>ABS(_xll.ciqfunctions.udf.CIQ($B$1,"IQ_CAPEX","IQ_FQ-2"))</f>
        <v>0</v>
      </c>
      <c r="D186" s="8">
        <f t="shared" si="5"/>
        <v>0</v>
      </c>
      <c r="E186" s="6" t="s">
        <v>36</v>
      </c>
    </row>
    <row r="187" spans="1:5" x14ac:dyDescent="0.4">
      <c r="A187" s="6" t="s">
        <v>35</v>
      </c>
      <c r="B187" s="6" t="s">
        <v>47</v>
      </c>
      <c r="C187" s="7">
        <f>ABS(_xll.ciqfunctions.udf.CIQ($B$1,"IQ_CAPEX","IQ_FQ-3"))</f>
        <v>185.381</v>
      </c>
      <c r="D187" s="8">
        <f t="shared" si="5"/>
        <v>185.381</v>
      </c>
      <c r="E187" s="6" t="s">
        <v>36</v>
      </c>
    </row>
    <row r="188" spans="1:5" x14ac:dyDescent="0.4">
      <c r="A188" s="6" t="s">
        <v>35</v>
      </c>
      <c r="B188" s="6" t="s">
        <v>48</v>
      </c>
      <c r="C188" s="7">
        <f>ABS(_xll.ciqfunctions.udf.CIQ($B$1,"IQ_CAPEX","IQ_FQ-4"))</f>
        <v>174.33</v>
      </c>
      <c r="D188" s="8">
        <f t="shared" si="5"/>
        <v>174.33</v>
      </c>
      <c r="E188" s="6" t="s">
        <v>36</v>
      </c>
    </row>
    <row r="189" spans="1:5" x14ac:dyDescent="0.4">
      <c r="A189" s="6" t="s">
        <v>35</v>
      </c>
      <c r="B189" s="6" t="s">
        <v>49</v>
      </c>
      <c r="C189" s="7">
        <f>ABS(_xll.ciqfunctions.udf.CIQ($B$1,"IQ_CAPEX","IQ_FQ-5"))</f>
        <v>152.23400000000001</v>
      </c>
      <c r="D189" s="8">
        <f t="shared" si="5"/>
        <v>152.23400000000001</v>
      </c>
      <c r="E189" s="6" t="s">
        <v>36</v>
      </c>
    </row>
    <row r="190" spans="1:5" x14ac:dyDescent="0.4">
      <c r="A190" s="6" t="s">
        <v>35</v>
      </c>
      <c r="B190" s="6" t="s">
        <v>50</v>
      </c>
      <c r="C190" s="7">
        <f>ABS(_xll.ciqfunctions.udf.CIQ($B$1,"IQ_CAPEX","IQ_FQ-6"))</f>
        <v>154.53299999999999</v>
      </c>
      <c r="D190" s="8">
        <f t="shared" si="5"/>
        <v>154.53299999999999</v>
      </c>
      <c r="E190" s="6" t="s">
        <v>36</v>
      </c>
    </row>
    <row r="191" spans="1:5" x14ac:dyDescent="0.4">
      <c r="A191" s="6" t="s">
        <v>35</v>
      </c>
      <c r="B191" s="6" t="s">
        <v>51</v>
      </c>
      <c r="C191" s="7">
        <f>ABS(_xll.ciqfunctions.udf.CIQ($B$1,"IQ_CAPEX","IQ_FQ-7"))</f>
        <v>204.423</v>
      </c>
      <c r="D191" s="8">
        <f t="shared" si="5"/>
        <v>204.423</v>
      </c>
      <c r="E191" s="6" t="s">
        <v>36</v>
      </c>
    </row>
    <row r="192" spans="1:5" x14ac:dyDescent="0.4">
      <c r="A192" s="6" t="s">
        <v>37</v>
      </c>
      <c r="B192" s="6" t="s">
        <v>44</v>
      </c>
      <c r="C192" s="7">
        <f>ABS(_xll.ciqfunctions.udf.CIQ($B$1,"IQ_OPERATING_LEASE_PAYMENTS","IQ_FQ-0"))</f>
        <v>26.53</v>
      </c>
      <c r="D192" s="8">
        <f t="shared" ref="D192:D223" si="6">C192</f>
        <v>26.53</v>
      </c>
      <c r="E192" s="6" t="s">
        <v>38</v>
      </c>
    </row>
    <row r="193" spans="1:5" x14ac:dyDescent="0.4">
      <c r="A193" s="6" t="s">
        <v>37</v>
      </c>
      <c r="B193" s="6" t="s">
        <v>45</v>
      </c>
      <c r="C193" s="7">
        <f>ABS(_xll.ciqfunctions.udf.CIQ($B$1,"IQ_OPERATING_LEASE_PAYMENTS","IQ_FQ-1"))</f>
        <v>0</v>
      </c>
      <c r="D193" s="8">
        <f t="shared" si="6"/>
        <v>0</v>
      </c>
      <c r="E193" s="6" t="s">
        <v>38</v>
      </c>
    </row>
    <row r="194" spans="1:5" x14ac:dyDescent="0.4">
      <c r="A194" s="6" t="s">
        <v>37</v>
      </c>
      <c r="B194" s="6" t="s">
        <v>46</v>
      </c>
      <c r="C194" s="7">
        <f>ABS(_xll.ciqfunctions.udf.CIQ($B$1,"IQ_OPERATING_LEASE_PAYMENTS","IQ_FQ-2"))</f>
        <v>0</v>
      </c>
      <c r="D194" s="8">
        <f t="shared" si="6"/>
        <v>0</v>
      </c>
      <c r="E194" s="6" t="s">
        <v>38</v>
      </c>
    </row>
    <row r="195" spans="1:5" x14ac:dyDescent="0.4">
      <c r="A195" s="6" t="s">
        <v>37</v>
      </c>
      <c r="B195" s="6" t="s">
        <v>47</v>
      </c>
      <c r="C195" s="7">
        <f>ABS(_xll.ciqfunctions.udf.CIQ($B$1,"IQ_OPERATING_LEASE_PAYMENTS","IQ_FQ-3"))</f>
        <v>29.135000000000002</v>
      </c>
      <c r="D195" s="8">
        <f t="shared" si="6"/>
        <v>29.135000000000002</v>
      </c>
      <c r="E195" s="6" t="s">
        <v>38</v>
      </c>
    </row>
    <row r="196" spans="1:5" x14ac:dyDescent="0.4">
      <c r="A196" s="6" t="s">
        <v>37</v>
      </c>
      <c r="B196" s="6" t="s">
        <v>48</v>
      </c>
      <c r="C196" s="7">
        <f>ABS(_xll.ciqfunctions.udf.CIQ($B$1,"IQ_OPERATING_LEASE_PAYMENTS","IQ_FQ-4"))</f>
        <v>29.678000000000001</v>
      </c>
      <c r="D196" s="8">
        <f t="shared" si="6"/>
        <v>29.678000000000001</v>
      </c>
      <c r="E196" s="6" t="s">
        <v>38</v>
      </c>
    </row>
    <row r="197" spans="1:5" x14ac:dyDescent="0.4">
      <c r="A197" s="6" t="s">
        <v>37</v>
      </c>
      <c r="B197" s="6" t="s">
        <v>49</v>
      </c>
      <c r="C197" s="7">
        <f>ABS(_xll.ciqfunctions.udf.CIQ($B$1,"IQ_OPERATING_LEASE_PAYMENTS","IQ_FQ-5"))</f>
        <v>27.587</v>
      </c>
      <c r="D197" s="8">
        <f t="shared" si="6"/>
        <v>27.587</v>
      </c>
      <c r="E197" s="6" t="s">
        <v>38</v>
      </c>
    </row>
    <row r="198" spans="1:5" x14ac:dyDescent="0.4">
      <c r="A198" s="6" t="s">
        <v>37</v>
      </c>
      <c r="B198" s="6" t="s">
        <v>50</v>
      </c>
      <c r="C198" s="7">
        <f>ABS(_xll.ciqfunctions.udf.CIQ($B$1,"IQ_OPERATING_LEASE_PAYMENTS","IQ_FQ-6"))</f>
        <v>34.670999999999999</v>
      </c>
      <c r="D198" s="8">
        <f t="shared" si="6"/>
        <v>34.670999999999999</v>
      </c>
      <c r="E198" s="6" t="s">
        <v>38</v>
      </c>
    </row>
    <row r="199" spans="1:5" x14ac:dyDescent="0.4">
      <c r="A199" s="6" t="s">
        <v>37</v>
      </c>
      <c r="B199" s="6" t="s">
        <v>51</v>
      </c>
      <c r="C199" s="7">
        <f>ABS(_xll.ciqfunctions.udf.CIQ($B$1,"IQ_OPERATING_LEASE_PAYMENTS","IQ_FQ-7"))</f>
        <v>39.238999999999997</v>
      </c>
      <c r="D199" s="8">
        <f t="shared" si="6"/>
        <v>39.238999999999997</v>
      </c>
      <c r="E199" s="6" t="s">
        <v>38</v>
      </c>
    </row>
    <row r="200" spans="1:5" x14ac:dyDescent="0.4">
      <c r="A200" s="6" t="s">
        <v>39</v>
      </c>
      <c r="B200" s="6" t="s">
        <v>44</v>
      </c>
      <c r="C200" s="7">
        <f>_xll.ciqfunctions.udf.CIQ($B$1,"IQ_EBT_EXCL","IQ_FQ-0")</f>
        <v>818.18499999999995</v>
      </c>
      <c r="D200" s="8">
        <f t="shared" si="6"/>
        <v>818.18499999999995</v>
      </c>
      <c r="E200" s="6" t="s">
        <v>40</v>
      </c>
    </row>
    <row r="201" spans="1:5" x14ac:dyDescent="0.4">
      <c r="A201" s="6" t="s">
        <v>39</v>
      </c>
      <c r="B201" s="6" t="s">
        <v>45</v>
      </c>
      <c r="C201" s="7">
        <f>_xll.ciqfunctions.udf.CIQ($B$1,"IQ_EBT_EXCL","IQ_FQ-1")</f>
        <v>494.28500000000003</v>
      </c>
      <c r="D201" s="8">
        <f t="shared" si="6"/>
        <v>494.28500000000003</v>
      </c>
      <c r="E201" s="6" t="s">
        <v>40</v>
      </c>
    </row>
    <row r="202" spans="1:5" x14ac:dyDescent="0.4">
      <c r="A202" s="6" t="s">
        <v>39</v>
      </c>
      <c r="B202" s="6" t="s">
        <v>46</v>
      </c>
      <c r="C202" s="7">
        <f>_xll.ciqfunctions.udf.CIQ($B$1,"IQ_EBT_EXCL","IQ_FQ-2")</f>
        <v>622</v>
      </c>
      <c r="D202" s="8">
        <f t="shared" si="6"/>
        <v>622</v>
      </c>
      <c r="E202" s="6" t="s">
        <v>40</v>
      </c>
    </row>
    <row r="203" spans="1:5" x14ac:dyDescent="0.4">
      <c r="A203" s="6" t="s">
        <v>39</v>
      </c>
      <c r="B203" s="6" t="s">
        <v>47</v>
      </c>
      <c r="C203" s="7">
        <f>_xll.ciqfunctions.udf.CIQ($B$1,"IQ_EBT_EXCL","IQ_FQ-3")</f>
        <v>181.29400000000001</v>
      </c>
      <c r="D203" s="8">
        <f t="shared" si="6"/>
        <v>181.29400000000001</v>
      </c>
      <c r="E203" s="6" t="s">
        <v>40</v>
      </c>
    </row>
    <row r="204" spans="1:5" x14ac:dyDescent="0.4">
      <c r="A204" s="6" t="s">
        <v>39</v>
      </c>
      <c r="B204" s="6" t="s">
        <v>48</v>
      </c>
      <c r="C204" s="7">
        <f>_xll.ciqfunctions.udf.CIQ($B$1,"IQ_EBT_EXCL","IQ_FQ-4")</f>
        <v>516.99099999999999</v>
      </c>
      <c r="D204" s="8">
        <f t="shared" si="6"/>
        <v>516.99099999999999</v>
      </c>
      <c r="E204" s="6" t="s">
        <v>40</v>
      </c>
    </row>
    <row r="205" spans="1:5" x14ac:dyDescent="0.4">
      <c r="A205" s="6" t="s">
        <v>39</v>
      </c>
      <c r="B205" s="6" t="s">
        <v>49</v>
      </c>
      <c r="C205" s="7">
        <f>_xll.ciqfunctions.udf.CIQ($B$1,"IQ_EBT_EXCL","IQ_FQ-5")</f>
        <v>473.18599999999998</v>
      </c>
      <c r="D205" s="8">
        <f t="shared" si="6"/>
        <v>473.18599999999998</v>
      </c>
      <c r="E205" s="6" t="s">
        <v>40</v>
      </c>
    </row>
    <row r="206" spans="1:5" x14ac:dyDescent="0.4">
      <c r="A206" s="6" t="s">
        <v>39</v>
      </c>
      <c r="B206" s="6" t="s">
        <v>50</v>
      </c>
      <c r="C206" s="7">
        <f>_xll.ciqfunctions.udf.CIQ($B$1,"IQ_EBT_EXCL","IQ_FQ-6")</f>
        <v>312.995</v>
      </c>
      <c r="D206" s="8">
        <f t="shared" si="6"/>
        <v>312.995</v>
      </c>
      <c r="E206" s="6" t="s">
        <v>40</v>
      </c>
    </row>
    <row r="207" spans="1:5" x14ac:dyDescent="0.4">
      <c r="A207" s="6" t="s">
        <v>39</v>
      </c>
      <c r="B207" s="6" t="s">
        <v>51</v>
      </c>
      <c r="C207" s="7">
        <f>_xll.ciqfunctions.udf.CIQ($B$1,"IQ_EBT_EXCL","IQ_FQ-7")</f>
        <v>312.14400000000001</v>
      </c>
      <c r="D207" s="8">
        <f t="shared" si="6"/>
        <v>312.14400000000001</v>
      </c>
      <c r="E207" s="6" t="s">
        <v>40</v>
      </c>
    </row>
    <row r="208" spans="1:5" x14ac:dyDescent="0.4">
      <c r="A208" s="6" t="s">
        <v>41</v>
      </c>
      <c r="B208" s="6" t="s">
        <v>44</v>
      </c>
      <c r="C208" s="7">
        <f>_xll.ciqfunctions.udf.CIQ($B$1,"IQ_INC_TAX","IQ_FQ-0")</f>
        <v>170.215</v>
      </c>
      <c r="D208" s="8">
        <f t="shared" si="6"/>
        <v>170.215</v>
      </c>
      <c r="E208" s="6" t="s">
        <v>42</v>
      </c>
    </row>
    <row r="209" spans="1:5" x14ac:dyDescent="0.4">
      <c r="A209" s="6" t="s">
        <v>41</v>
      </c>
      <c r="B209" s="6" t="s">
        <v>45</v>
      </c>
      <c r="C209" s="7">
        <f>_xll.ciqfunctions.udf.CIQ($B$1,"IQ_INC_TAX","IQ_FQ-1")</f>
        <v>113.99299999999999</v>
      </c>
      <c r="D209" s="8">
        <f t="shared" si="6"/>
        <v>113.99299999999999</v>
      </c>
      <c r="E209" s="6" t="s">
        <v>42</v>
      </c>
    </row>
    <row r="210" spans="1:5" x14ac:dyDescent="0.4">
      <c r="A210" s="6" t="s">
        <v>41</v>
      </c>
      <c r="B210" s="6" t="s">
        <v>46</v>
      </c>
      <c r="C210" s="7">
        <f>_xll.ciqfunctions.udf.CIQ($B$1,"IQ_INC_TAX","IQ_FQ-2")</f>
        <v>84</v>
      </c>
      <c r="D210" s="8">
        <f t="shared" si="6"/>
        <v>84</v>
      </c>
      <c r="E210" s="6" t="s">
        <v>42</v>
      </c>
    </row>
    <row r="211" spans="1:5" x14ac:dyDescent="0.4">
      <c r="A211" s="6" t="s">
        <v>41</v>
      </c>
      <c r="B211" s="6" t="s">
        <v>47</v>
      </c>
      <c r="C211" s="7">
        <f>_xll.ciqfunctions.udf.CIQ($B$1,"IQ_INC_TAX","IQ_FQ-3")</f>
        <v>53.28</v>
      </c>
      <c r="D211" s="8">
        <f t="shared" si="6"/>
        <v>53.28</v>
      </c>
      <c r="E211" s="6" t="s">
        <v>42</v>
      </c>
    </row>
    <row r="212" spans="1:5" x14ac:dyDescent="0.4">
      <c r="A212" s="6" t="s">
        <v>41</v>
      </c>
      <c r="B212" s="6" t="s">
        <v>48</v>
      </c>
      <c r="C212" s="7">
        <f>_xll.ciqfunctions.udf.CIQ($B$1,"IQ_INC_TAX","IQ_FQ-4")</f>
        <v>-183.77199999999999</v>
      </c>
      <c r="D212" s="8">
        <f t="shared" si="6"/>
        <v>-183.77199999999999</v>
      </c>
      <c r="E212" s="6" t="s">
        <v>42</v>
      </c>
    </row>
    <row r="213" spans="1:5" x14ac:dyDescent="0.4">
      <c r="A213" s="6" t="s">
        <v>41</v>
      </c>
      <c r="B213" s="6" t="s">
        <v>49</v>
      </c>
      <c r="C213" s="7">
        <f>_xll.ciqfunctions.udf.CIQ($B$1,"IQ_INC_TAX","IQ_FQ-5")</f>
        <v>89.91</v>
      </c>
      <c r="D213" s="8">
        <f t="shared" si="6"/>
        <v>89.91</v>
      </c>
      <c r="E213" s="6" t="s">
        <v>42</v>
      </c>
    </row>
    <row r="214" spans="1:5" x14ac:dyDescent="0.4">
      <c r="A214" s="6" t="s">
        <v>41</v>
      </c>
      <c r="B214" s="6" t="s">
        <v>50</v>
      </c>
      <c r="C214" s="7">
        <f>_xll.ciqfunctions.udf.CIQ($B$1,"IQ_INC_TAX","IQ_FQ-6")</f>
        <v>59.5</v>
      </c>
      <c r="D214" s="8">
        <f t="shared" si="6"/>
        <v>59.5</v>
      </c>
      <c r="E214" s="6" t="s">
        <v>42</v>
      </c>
    </row>
    <row r="215" spans="1:5" x14ac:dyDescent="0.4">
      <c r="A215" s="6" t="s">
        <v>41</v>
      </c>
      <c r="B215" s="6" t="s">
        <v>51</v>
      </c>
      <c r="C215" s="7">
        <f>_xll.ciqfunctions.udf.CIQ($B$1,"IQ_INC_TAX","IQ_FQ-7")</f>
        <v>55.633000000000003</v>
      </c>
      <c r="D215" s="8">
        <f t="shared" si="6"/>
        <v>55.633000000000003</v>
      </c>
      <c r="E215" s="6" t="s">
        <v>42</v>
      </c>
    </row>
    <row r="216" spans="1:5" x14ac:dyDescent="0.4">
      <c r="A216" s="9" t="s">
        <v>52</v>
      </c>
      <c r="B216" s="10"/>
      <c r="C216" s="10"/>
      <c r="D216" s="10"/>
      <c r="E216" s="10"/>
    </row>
    <row r="217" spans="1:5" x14ac:dyDescent="0.4">
      <c r="A217" s="6" t="s">
        <v>53</v>
      </c>
      <c r="B217" s="6" t="s">
        <v>11</v>
      </c>
      <c r="C217" s="7">
        <f>_xll.ciqfunctions.udf.CIQ($B$1,"IQ_CASH_EQUIV","IQ_FY-0")</f>
        <v>4728.1239999999998</v>
      </c>
      <c r="D217" s="8">
        <f t="shared" ref="D217:D248" si="7">C217</f>
        <v>4728.1239999999998</v>
      </c>
      <c r="E217" s="6" t="s">
        <v>54</v>
      </c>
    </row>
    <row r="218" spans="1:5" x14ac:dyDescent="0.4">
      <c r="A218" s="6" t="s">
        <v>53</v>
      </c>
      <c r="B218" s="6" t="s">
        <v>13</v>
      </c>
      <c r="C218" s="7">
        <f>_xll.ciqfunctions.udf.CIQ($B$1,"IQ_CASH_EQUIV","IQ_FY-1")</f>
        <v>3559.8310000000001</v>
      </c>
      <c r="D218" s="8">
        <f t="shared" si="7"/>
        <v>3559.8310000000001</v>
      </c>
      <c r="E218" s="6" t="s">
        <v>54</v>
      </c>
    </row>
    <row r="219" spans="1:5" x14ac:dyDescent="0.4">
      <c r="A219" s="6" t="s">
        <v>53</v>
      </c>
      <c r="B219" s="6" t="s">
        <v>14</v>
      </c>
      <c r="C219" s="7">
        <f>_xll.ciqfunctions.udf.CIQ($B$1,"IQ_CASH_EQUIV","IQ_FY-2")</f>
        <v>4250.085</v>
      </c>
      <c r="D219" s="8">
        <f t="shared" si="7"/>
        <v>4250.085</v>
      </c>
      <c r="E219" s="6" t="s">
        <v>54</v>
      </c>
    </row>
    <row r="220" spans="1:5" x14ac:dyDescent="0.4">
      <c r="A220" s="6" t="s">
        <v>53</v>
      </c>
      <c r="B220" s="6" t="s">
        <v>15</v>
      </c>
      <c r="C220" s="7">
        <f>_xll.ciqfunctions.udf.CIQ($B$1,"IQ_CASH_EQUIV","IQ_FY-3")</f>
        <v>3930.2869999999998</v>
      </c>
      <c r="D220" s="8">
        <f t="shared" si="7"/>
        <v>3930.2869999999998</v>
      </c>
      <c r="E220" s="6" t="s">
        <v>54</v>
      </c>
    </row>
    <row r="221" spans="1:5" x14ac:dyDescent="0.4">
      <c r="A221" s="6" t="s">
        <v>53</v>
      </c>
      <c r="B221" s="6" t="s">
        <v>16</v>
      </c>
      <c r="C221" s="7">
        <f>_xll.ciqfunctions.udf.CIQ($B$1,"IQ_CASH_EQUIV","IQ_FY-4")</f>
        <v>3068.3850000000002</v>
      </c>
      <c r="D221" s="8">
        <f t="shared" si="7"/>
        <v>3068.3850000000002</v>
      </c>
      <c r="E221" s="6" t="s">
        <v>54</v>
      </c>
    </row>
    <row r="222" spans="1:5" x14ac:dyDescent="0.4">
      <c r="A222" s="6" t="s">
        <v>53</v>
      </c>
      <c r="B222" s="6" t="s">
        <v>17</v>
      </c>
      <c r="C222" s="7">
        <f>_xll.ciqfunctions.udf.CIQ($B$1,"IQ_CASH_EQUIV","IQ_FY-5")</f>
        <v>3550.99</v>
      </c>
      <c r="D222" s="8">
        <f t="shared" si="7"/>
        <v>3550.99</v>
      </c>
      <c r="E222" s="6" t="s">
        <v>54</v>
      </c>
    </row>
    <row r="223" spans="1:5" x14ac:dyDescent="0.4">
      <c r="A223" s="6" t="s">
        <v>53</v>
      </c>
      <c r="B223" s="6" t="s">
        <v>18</v>
      </c>
      <c r="C223" s="7">
        <f>_xll.ciqfunctions.udf.CIQ($B$1,"IQ_CASH_EQUIV","IQ_FY-6")</f>
        <v>2662.8539999999998</v>
      </c>
      <c r="D223" s="8">
        <f t="shared" si="7"/>
        <v>2662.8539999999998</v>
      </c>
      <c r="E223" s="6" t="s">
        <v>54</v>
      </c>
    </row>
    <row r="224" spans="1:5" x14ac:dyDescent="0.4">
      <c r="A224" s="6" t="s">
        <v>53</v>
      </c>
      <c r="B224" s="6" t="s">
        <v>19</v>
      </c>
      <c r="C224" s="7">
        <f>_xll.ciqfunctions.udf.CIQ($B$1,"IQ_CASH_EQUIV","IQ_FY-7")</f>
        <v>1848.0170000000001</v>
      </c>
      <c r="D224" s="8">
        <f t="shared" si="7"/>
        <v>1848.0170000000001</v>
      </c>
      <c r="E224" s="6" t="s">
        <v>54</v>
      </c>
    </row>
    <row r="225" spans="1:5" x14ac:dyDescent="0.4">
      <c r="A225" s="6" t="s">
        <v>53</v>
      </c>
      <c r="B225" s="6" t="s">
        <v>20</v>
      </c>
      <c r="C225" s="7">
        <f>_xll.ciqfunctions.udf.CIQ($B$1,"IQ_CASH_EQUIV","IQ_FY-8")</f>
        <v>2754.5990000000002</v>
      </c>
      <c r="D225" s="8">
        <f t="shared" si="7"/>
        <v>2754.5990000000002</v>
      </c>
      <c r="E225" s="6" t="s">
        <v>54</v>
      </c>
    </row>
    <row r="226" spans="1:5" x14ac:dyDescent="0.4">
      <c r="A226" s="6" t="s">
        <v>53</v>
      </c>
      <c r="B226" s="6" t="s">
        <v>21</v>
      </c>
      <c r="C226" s="7">
        <f>_xll.ciqfunctions.udf.CIQ($B$1,"IQ_CASH_EQUIV","IQ_FY-9")</f>
        <v>1926.88</v>
      </c>
      <c r="D226" s="8">
        <f t="shared" si="7"/>
        <v>1926.88</v>
      </c>
      <c r="E226" s="6" t="s">
        <v>54</v>
      </c>
    </row>
    <row r="227" spans="1:5" x14ac:dyDescent="0.4">
      <c r="A227" s="6" t="s">
        <v>53</v>
      </c>
      <c r="B227" s="6" t="s">
        <v>22</v>
      </c>
      <c r="C227" s="7">
        <f>_xll.ciqfunctions.udf.CIQ($B$1,"IQ_CASH_EQUIV","IQ_FY-10")</f>
        <v>2855.223</v>
      </c>
      <c r="D227" s="8">
        <f t="shared" si="7"/>
        <v>2855.223</v>
      </c>
      <c r="E227" s="6" t="s">
        <v>54</v>
      </c>
    </row>
    <row r="228" spans="1:5" x14ac:dyDescent="0.4">
      <c r="A228" s="6" t="s">
        <v>55</v>
      </c>
      <c r="B228" s="6" t="s">
        <v>11</v>
      </c>
      <c r="C228" s="7">
        <f>_xll.ciqfunctions.udf.CIQ($B$1,"IQ_TOTAL_EQUITY","IQ_FY-0")</f>
        <v>6659.9170000000004</v>
      </c>
      <c r="D228" s="8">
        <f t="shared" si="7"/>
        <v>6659.9170000000004</v>
      </c>
      <c r="E228" s="6" t="s">
        <v>56</v>
      </c>
    </row>
    <row r="229" spans="1:5" x14ac:dyDescent="0.4">
      <c r="A229" s="6" t="s">
        <v>55</v>
      </c>
      <c r="B229" s="6" t="s">
        <v>13</v>
      </c>
      <c r="C229" s="7">
        <f>_xll.ciqfunctions.udf.CIQ($B$1,"IQ_TOTAL_EQUITY","IQ_FY-1")</f>
        <v>6081.1869999999999</v>
      </c>
      <c r="D229" s="8">
        <f t="shared" si="7"/>
        <v>6081.1869999999999</v>
      </c>
      <c r="E229" s="6" t="s">
        <v>56</v>
      </c>
    </row>
    <row r="230" spans="1:5" x14ac:dyDescent="0.4">
      <c r="A230" s="6" t="s">
        <v>55</v>
      </c>
      <c r="B230" s="6" t="s">
        <v>14</v>
      </c>
      <c r="C230" s="7">
        <f>_xll.ciqfunctions.udf.CIQ($B$1,"IQ_TOTAL_EQUITY","IQ_FY-2")</f>
        <v>6047.0209999999997</v>
      </c>
      <c r="D230" s="8">
        <f t="shared" si="7"/>
        <v>6047.0209999999997</v>
      </c>
      <c r="E230" s="6" t="s">
        <v>56</v>
      </c>
    </row>
    <row r="231" spans="1:5" x14ac:dyDescent="0.4">
      <c r="A231" s="6" t="s">
        <v>55</v>
      </c>
      <c r="B231" s="6" t="s">
        <v>15</v>
      </c>
      <c r="C231" s="7">
        <f>_xll.ciqfunctions.udf.CIQ($B$1,"IQ_TOTAL_EQUITY","IQ_FY-3")</f>
        <v>5394.701</v>
      </c>
      <c r="D231" s="8">
        <f t="shared" si="7"/>
        <v>5394.701</v>
      </c>
      <c r="E231" s="6" t="s">
        <v>56</v>
      </c>
    </row>
    <row r="232" spans="1:5" x14ac:dyDescent="0.4">
      <c r="A232" s="6" t="s">
        <v>55</v>
      </c>
      <c r="B232" s="6" t="s">
        <v>16</v>
      </c>
      <c r="C232" s="7">
        <f>_xll.ciqfunctions.udf.CIQ($B$1,"IQ_TOTAL_EQUITY","IQ_FY-4")</f>
        <v>3610.5329999999999</v>
      </c>
      <c r="D232" s="8">
        <f t="shared" si="7"/>
        <v>3610.5329999999999</v>
      </c>
      <c r="E232" s="6" t="s">
        <v>56</v>
      </c>
    </row>
    <row r="233" spans="1:5" x14ac:dyDescent="0.4">
      <c r="A233" s="6" t="s">
        <v>55</v>
      </c>
      <c r="B233" s="6" t="s">
        <v>17</v>
      </c>
      <c r="C233" s="7">
        <f>_xll.ciqfunctions.udf.CIQ($B$1,"IQ_TOTAL_EQUITY","IQ_FY-5")</f>
        <v>4059.2950000000001</v>
      </c>
      <c r="D233" s="8">
        <f t="shared" si="7"/>
        <v>4059.2950000000001</v>
      </c>
      <c r="E233" s="6" t="s">
        <v>56</v>
      </c>
    </row>
    <row r="234" spans="1:5" x14ac:dyDescent="0.4">
      <c r="A234" s="6" t="s">
        <v>55</v>
      </c>
      <c r="B234" s="6" t="s">
        <v>18</v>
      </c>
      <c r="C234" s="7">
        <f>_xll.ciqfunctions.udf.CIQ($B$1,"IQ_TOTAL_EQUITY","IQ_FY-6")</f>
        <v>4097.0630000000001</v>
      </c>
      <c r="D234" s="8">
        <f t="shared" si="7"/>
        <v>4097.0630000000001</v>
      </c>
      <c r="E234" s="6" t="s">
        <v>56</v>
      </c>
    </row>
    <row r="235" spans="1:5" x14ac:dyDescent="0.4">
      <c r="A235" s="6" t="s">
        <v>55</v>
      </c>
      <c r="B235" s="6" t="s">
        <v>19</v>
      </c>
      <c r="C235" s="7">
        <f>_xll.ciqfunctions.udf.CIQ($B$1,"IQ_TOTAL_EQUITY","IQ_FY-7")</f>
        <v>4545.9880000000003</v>
      </c>
      <c r="D235" s="8">
        <f t="shared" si="7"/>
        <v>4545.9880000000003</v>
      </c>
      <c r="E235" s="6" t="s">
        <v>56</v>
      </c>
    </row>
    <row r="236" spans="1:5" x14ac:dyDescent="0.4">
      <c r="A236" s="6" t="s">
        <v>55</v>
      </c>
      <c r="B236" s="6" t="s">
        <v>20</v>
      </c>
      <c r="C236" s="7">
        <f>_xll.ciqfunctions.udf.CIQ($B$1,"IQ_TOTAL_EQUITY","IQ_FY-8")</f>
        <v>4095.2220000000002</v>
      </c>
      <c r="D236" s="8">
        <f t="shared" si="7"/>
        <v>4095.2220000000002</v>
      </c>
      <c r="E236" s="6" t="s">
        <v>56</v>
      </c>
    </row>
    <row r="237" spans="1:5" x14ac:dyDescent="0.4">
      <c r="A237" s="6" t="s">
        <v>55</v>
      </c>
      <c r="B237" s="6" t="s">
        <v>21</v>
      </c>
      <c r="C237" s="7">
        <f>_xll.ciqfunctions.udf.CIQ($B$1,"IQ_TOTAL_EQUITY","IQ_FY-9")</f>
        <v>3026.2489999999998</v>
      </c>
      <c r="D237" s="8">
        <f t="shared" si="7"/>
        <v>3026.2489999999998</v>
      </c>
      <c r="E237" s="6" t="s">
        <v>56</v>
      </c>
    </row>
    <row r="238" spans="1:5" x14ac:dyDescent="0.4">
      <c r="A238" s="6" t="s">
        <v>55</v>
      </c>
      <c r="B238" s="6" t="s">
        <v>22</v>
      </c>
      <c r="C238" s="7">
        <f>_xll.ciqfunctions.udf.CIQ($B$1,"IQ_TOTAL_EQUITY","IQ_FY-10")</f>
        <v>4106.1210000000001</v>
      </c>
      <c r="D238" s="8">
        <f t="shared" si="7"/>
        <v>4106.1210000000001</v>
      </c>
      <c r="E238" s="6" t="s">
        <v>56</v>
      </c>
    </row>
    <row r="239" spans="1:5" x14ac:dyDescent="0.4">
      <c r="A239" s="6" t="s">
        <v>57</v>
      </c>
      <c r="B239" s="6" t="s">
        <v>11</v>
      </c>
      <c r="C239" s="7">
        <f>_xll.ciqfunctions.udf.CIQ($B$1,"IQ_TOTAL_DEBT","IQ_FY-0")</f>
        <v>5732.9579999999996</v>
      </c>
      <c r="D239" s="8">
        <f t="shared" si="7"/>
        <v>5732.9579999999996</v>
      </c>
      <c r="E239" s="6" t="s">
        <v>58</v>
      </c>
    </row>
    <row r="240" spans="1:5" x14ac:dyDescent="0.4">
      <c r="A240" s="6" t="s">
        <v>57</v>
      </c>
      <c r="B240" s="6" t="s">
        <v>13</v>
      </c>
      <c r="C240" s="7">
        <f>_xll.ciqfunctions.udf.CIQ($B$1,"IQ_TOTAL_DEBT","IQ_FY-1")</f>
        <v>3961.6889999999999</v>
      </c>
      <c r="D240" s="8">
        <f t="shared" si="7"/>
        <v>3961.6889999999999</v>
      </c>
      <c r="E240" s="6" t="s">
        <v>58</v>
      </c>
    </row>
    <row r="241" spans="1:5" x14ac:dyDescent="0.4">
      <c r="A241" s="6" t="s">
        <v>57</v>
      </c>
      <c r="B241" s="6" t="s">
        <v>14</v>
      </c>
      <c r="C241" s="7">
        <f>_xll.ciqfunctions.udf.CIQ($B$1,"IQ_TOTAL_DEBT","IQ_FY-2")</f>
        <v>4359.3500000000004</v>
      </c>
      <c r="D241" s="8">
        <f t="shared" si="7"/>
        <v>4359.3500000000004</v>
      </c>
      <c r="E241" s="6" t="s">
        <v>58</v>
      </c>
    </row>
    <row r="242" spans="1:5" x14ac:dyDescent="0.4">
      <c r="A242" s="6" t="s">
        <v>57</v>
      </c>
      <c r="B242" s="6" t="s">
        <v>15</v>
      </c>
      <c r="C242" s="7">
        <f>_xll.ciqfunctions.udf.CIQ($B$1,"IQ_TOTAL_DEBT","IQ_FY-3")</f>
        <v>3829.2669999999998</v>
      </c>
      <c r="D242" s="8">
        <f t="shared" si="7"/>
        <v>3829.2669999999998</v>
      </c>
      <c r="E242" s="6" t="s">
        <v>58</v>
      </c>
    </row>
    <row r="243" spans="1:5" x14ac:dyDescent="0.4">
      <c r="A243" s="6" t="s">
        <v>57</v>
      </c>
      <c r="B243" s="6" t="s">
        <v>16</v>
      </c>
      <c r="C243" s="7">
        <f>_xll.ciqfunctions.udf.CIQ($B$1,"IQ_TOTAL_DEBT","IQ_FY-4")</f>
        <v>4464.7790000000005</v>
      </c>
      <c r="D243" s="8">
        <f t="shared" si="7"/>
        <v>4464.7790000000005</v>
      </c>
      <c r="E243" s="6" t="s">
        <v>58</v>
      </c>
    </row>
    <row r="244" spans="1:5" x14ac:dyDescent="0.4">
      <c r="A244" s="6" t="s">
        <v>57</v>
      </c>
      <c r="B244" s="6" t="s">
        <v>17</v>
      </c>
      <c r="C244" s="7">
        <f>_xll.ciqfunctions.udf.CIQ($B$1,"IQ_TOTAL_DEBT","IQ_FY-5")</f>
        <v>5298.3810000000003</v>
      </c>
      <c r="D244" s="8">
        <f t="shared" si="7"/>
        <v>5298.3810000000003</v>
      </c>
      <c r="E244" s="6" t="s">
        <v>58</v>
      </c>
    </row>
    <row r="245" spans="1:5" x14ac:dyDescent="0.4">
      <c r="A245" s="6" t="s">
        <v>57</v>
      </c>
      <c r="B245" s="6" t="s">
        <v>18</v>
      </c>
      <c r="C245" s="7">
        <f>_xll.ciqfunctions.udf.CIQ($B$1,"IQ_TOTAL_DEBT","IQ_FY-6")</f>
        <v>4379.8130000000001</v>
      </c>
      <c r="D245" s="8">
        <f t="shared" si="7"/>
        <v>4379.8130000000001</v>
      </c>
      <c r="E245" s="6" t="s">
        <v>58</v>
      </c>
    </row>
    <row r="246" spans="1:5" x14ac:dyDescent="0.4">
      <c r="A246" s="6" t="s">
        <v>57</v>
      </c>
      <c r="B246" s="6" t="s">
        <v>19</v>
      </c>
      <c r="C246" s="7">
        <f>_xll.ciqfunctions.udf.CIQ($B$1,"IQ_TOTAL_DEBT","IQ_FY-7")</f>
        <v>3815.4169999999999</v>
      </c>
      <c r="D246" s="8">
        <f t="shared" si="7"/>
        <v>3815.4169999999999</v>
      </c>
      <c r="E246" s="6" t="s">
        <v>58</v>
      </c>
    </row>
    <row r="247" spans="1:5" x14ac:dyDescent="0.4">
      <c r="A247" s="6" t="s">
        <v>57</v>
      </c>
      <c r="B247" s="6" t="s">
        <v>20</v>
      </c>
      <c r="C247" s="7">
        <f>_xll.ciqfunctions.udf.CIQ($B$1,"IQ_TOTAL_DEBT","IQ_FY-8")</f>
        <v>3036.6950000000002</v>
      </c>
      <c r="D247" s="8">
        <f t="shared" si="7"/>
        <v>3036.6950000000002</v>
      </c>
      <c r="E247" s="6" t="s">
        <v>58</v>
      </c>
    </row>
    <row r="248" spans="1:5" x14ac:dyDescent="0.4">
      <c r="A248" s="6" t="s">
        <v>57</v>
      </c>
      <c r="B248" s="6" t="s">
        <v>21</v>
      </c>
      <c r="C248" s="7">
        <f>_xll.ciqfunctions.udf.CIQ($B$1,"IQ_TOTAL_DEBT","IQ_FY-9")</f>
        <v>3250.9270000000001</v>
      </c>
      <c r="D248" s="8">
        <f t="shared" si="7"/>
        <v>3250.9270000000001</v>
      </c>
      <c r="E248" s="6" t="s">
        <v>58</v>
      </c>
    </row>
    <row r="249" spans="1:5" x14ac:dyDescent="0.4">
      <c r="A249" s="6" t="s">
        <v>57</v>
      </c>
      <c r="B249" s="6" t="s">
        <v>22</v>
      </c>
      <c r="C249" s="7">
        <f>_xll.ciqfunctions.udf.CIQ($B$1,"IQ_TOTAL_DEBT","IQ_FY-10")</f>
        <v>3054.1219999999998</v>
      </c>
      <c r="D249" s="8">
        <f t="shared" ref="D249:D280" si="8">C249</f>
        <v>3054.1219999999998</v>
      </c>
      <c r="E249" s="6" t="s">
        <v>58</v>
      </c>
    </row>
    <row r="250" spans="1:5" x14ac:dyDescent="0.4">
      <c r="A250" s="6" t="s">
        <v>59</v>
      </c>
      <c r="B250" s="6" t="s">
        <v>11</v>
      </c>
      <c r="C250" s="7">
        <f>_xll.ciqfunctions.udf.CIQ($B$1,"IQ_TOTAL_OUTSTANDING_FILING_DATE","IQ_FY-0")</f>
        <v>12404.659299999999</v>
      </c>
      <c r="D250" s="8">
        <f t="shared" si="8"/>
        <v>12404.659299999999</v>
      </c>
      <c r="E250" s="6" t="s">
        <v>60</v>
      </c>
    </row>
    <row r="251" spans="1:5" x14ac:dyDescent="0.4">
      <c r="A251" s="6" t="s">
        <v>59</v>
      </c>
      <c r="B251" s="6" t="s">
        <v>13</v>
      </c>
      <c r="C251" s="7">
        <f>_xll.ciqfunctions.udf.CIQ($B$1,"IQ_TOTAL_OUTSTANDING_FILING_DATE","IQ_FY-1")</f>
        <v>12404.659299999999</v>
      </c>
      <c r="D251" s="8">
        <f t="shared" si="8"/>
        <v>12404.659299999999</v>
      </c>
      <c r="E251" s="6" t="s">
        <v>60</v>
      </c>
    </row>
    <row r="252" spans="1:5" x14ac:dyDescent="0.4">
      <c r="A252" s="6" t="s">
        <v>59</v>
      </c>
      <c r="B252" s="6" t="s">
        <v>14</v>
      </c>
      <c r="C252" s="7">
        <f>_xll.ciqfunctions.udf.CIQ($B$1,"IQ_TOTAL_OUTSTANDING_FILING_DATE","IQ_FY-2")</f>
        <v>12128.130289999999</v>
      </c>
      <c r="D252" s="8">
        <f t="shared" si="8"/>
        <v>12128.130289999999</v>
      </c>
      <c r="E252" s="6" t="s">
        <v>60</v>
      </c>
    </row>
    <row r="253" spans="1:5" x14ac:dyDescent="0.4">
      <c r="A253" s="6" t="s">
        <v>59</v>
      </c>
      <c r="B253" s="6" t="s">
        <v>15</v>
      </c>
      <c r="C253" s="7">
        <f>_xll.ciqfunctions.udf.CIQ($B$1,"IQ_TOTAL_OUTSTANDING_FILING_DATE","IQ_FY-3")</f>
        <v>12041.705610000001</v>
      </c>
      <c r="D253" s="8">
        <f t="shared" si="8"/>
        <v>12041.705610000001</v>
      </c>
      <c r="E253" s="6" t="s">
        <v>60</v>
      </c>
    </row>
    <row r="254" spans="1:5" x14ac:dyDescent="0.4">
      <c r="A254" s="6" t="s">
        <v>59</v>
      </c>
      <c r="B254" s="6" t="s">
        <v>16</v>
      </c>
      <c r="C254" s="7">
        <f>_xll.ciqfunctions.udf.CIQ($B$1,"IQ_TOTAL_OUTSTANDING_FILING_DATE","IQ_FY-4")</f>
        <v>12041.705610000001</v>
      </c>
      <c r="D254" s="8">
        <f t="shared" si="8"/>
        <v>12041.705610000001</v>
      </c>
      <c r="E254" s="6" t="s">
        <v>60</v>
      </c>
    </row>
    <row r="255" spans="1:5" x14ac:dyDescent="0.4">
      <c r="A255" s="6" t="s">
        <v>59</v>
      </c>
      <c r="B255" s="6" t="s">
        <v>17</v>
      </c>
      <c r="C255" s="7">
        <f>_xll.ciqfunctions.udf.CIQ($B$1,"IQ_TOTAL_OUTSTANDING_FILING_DATE","IQ_FY-5")</f>
        <v>12014.79161</v>
      </c>
      <c r="D255" s="8">
        <f t="shared" si="8"/>
        <v>12014.79161</v>
      </c>
      <c r="E255" s="6" t="s">
        <v>60</v>
      </c>
    </row>
    <row r="256" spans="1:5" x14ac:dyDescent="0.4">
      <c r="A256" s="6" t="s">
        <v>59</v>
      </c>
      <c r="B256" s="6" t="s">
        <v>18</v>
      </c>
      <c r="C256" s="7">
        <f>_xll.ciqfunctions.udf.CIQ($B$1,"IQ_TOTAL_OUTSTANDING_FILING_DATE","IQ_FY-6")</f>
        <v>12014.79161</v>
      </c>
      <c r="D256" s="8">
        <f t="shared" si="8"/>
        <v>12014.79161</v>
      </c>
      <c r="E256" s="6" t="s">
        <v>60</v>
      </c>
    </row>
    <row r="257" spans="1:5" x14ac:dyDescent="0.4">
      <c r="A257" s="6" t="s">
        <v>59</v>
      </c>
      <c r="B257" s="6" t="s">
        <v>19</v>
      </c>
      <c r="C257" s="7">
        <f>_xll.ciqfunctions.udf.CIQ($B$1,"IQ_TOTAL_OUTSTANDING_FILING_DATE","IQ_FY-7")</f>
        <v>12014.79161</v>
      </c>
      <c r="D257" s="8">
        <f t="shared" si="8"/>
        <v>12014.79161</v>
      </c>
      <c r="E257" s="6" t="s">
        <v>60</v>
      </c>
    </row>
    <row r="258" spans="1:5" x14ac:dyDescent="0.4">
      <c r="A258" s="6" t="s">
        <v>59</v>
      </c>
      <c r="B258" s="6" t="s">
        <v>20</v>
      </c>
      <c r="C258" s="7">
        <f>_xll.ciqfunctions.udf.CIQ($B$1,"IQ_TOTAL_OUTSTANDING_FILING_DATE","IQ_FY-8")</f>
        <v>11108.65472</v>
      </c>
      <c r="D258" s="8">
        <f t="shared" si="8"/>
        <v>11108.65472</v>
      </c>
      <c r="E258" s="6" t="s">
        <v>60</v>
      </c>
    </row>
    <row r="259" spans="1:5" x14ac:dyDescent="0.4">
      <c r="A259" s="6" t="s">
        <v>59</v>
      </c>
      <c r="B259" s="6" t="s">
        <v>21</v>
      </c>
      <c r="C259" s="7">
        <f>_xll.ciqfunctions.udf.CIQ($B$1,"IQ_TOTAL_OUTSTANDING_FILING_DATE","IQ_FY-9")</f>
        <v>11108.65472</v>
      </c>
      <c r="D259" s="8">
        <f t="shared" si="8"/>
        <v>11108.65472</v>
      </c>
      <c r="E259" s="6" t="s">
        <v>60</v>
      </c>
    </row>
    <row r="260" spans="1:5" x14ac:dyDescent="0.4">
      <c r="A260" s="6" t="s">
        <v>59</v>
      </c>
      <c r="B260" s="6" t="s">
        <v>22</v>
      </c>
      <c r="C260" s="7">
        <f>_xll.ciqfunctions.udf.CIQ($B$1,"IQ_TOTAL_OUTSTANDING_FILING_DATE","IQ_FY-10")</f>
        <v>11108.65472</v>
      </c>
      <c r="D260" s="8">
        <f t="shared" si="8"/>
        <v>11108.65472</v>
      </c>
      <c r="E260" s="6" t="s">
        <v>60</v>
      </c>
    </row>
    <row r="261" spans="1:5" x14ac:dyDescent="0.4">
      <c r="A261" s="6" t="s">
        <v>61</v>
      </c>
      <c r="B261" s="6" t="s">
        <v>11</v>
      </c>
      <c r="C261" s="7">
        <f>_xll.ciqfunctions.udf.CIQ($B$1,"IQ_LT_INVEST","IQ_FY-0")</f>
        <v>1825.47</v>
      </c>
      <c r="D261" s="8">
        <f t="shared" si="8"/>
        <v>1825.47</v>
      </c>
      <c r="E261" s="6" t="s">
        <v>62</v>
      </c>
    </row>
    <row r="262" spans="1:5" x14ac:dyDescent="0.4">
      <c r="A262" s="6" t="s">
        <v>61</v>
      </c>
      <c r="B262" s="6" t="s">
        <v>13</v>
      </c>
      <c r="C262" s="7">
        <f>_xll.ciqfunctions.udf.CIQ($B$1,"IQ_LT_INVEST","IQ_FY-1")</f>
        <v>1768.442</v>
      </c>
      <c r="D262" s="8">
        <f t="shared" si="8"/>
        <v>1768.442</v>
      </c>
      <c r="E262" s="6" t="s">
        <v>62</v>
      </c>
    </row>
    <row r="263" spans="1:5" x14ac:dyDescent="0.4">
      <c r="A263" s="6" t="s">
        <v>61</v>
      </c>
      <c r="B263" s="6" t="s">
        <v>14</v>
      </c>
      <c r="C263" s="7">
        <f>_xll.ciqfunctions.udf.CIQ($B$1,"IQ_LT_INVEST","IQ_FY-2")</f>
        <v>1738.414</v>
      </c>
      <c r="D263" s="8">
        <f t="shared" si="8"/>
        <v>1738.414</v>
      </c>
      <c r="E263" s="6" t="s">
        <v>62</v>
      </c>
    </row>
    <row r="264" spans="1:5" x14ac:dyDescent="0.4">
      <c r="A264" s="6" t="s">
        <v>61</v>
      </c>
      <c r="B264" s="6" t="s">
        <v>15</v>
      </c>
      <c r="C264" s="7">
        <f>_xll.ciqfunctions.udf.CIQ($B$1,"IQ_LT_INVEST","IQ_FY-3")</f>
        <v>1508.527</v>
      </c>
      <c r="D264" s="8">
        <f t="shared" si="8"/>
        <v>1508.527</v>
      </c>
      <c r="E264" s="6" t="s">
        <v>62</v>
      </c>
    </row>
    <row r="265" spans="1:5" x14ac:dyDescent="0.4">
      <c r="A265" s="6" t="s">
        <v>61</v>
      </c>
      <c r="B265" s="6" t="s">
        <v>16</v>
      </c>
      <c r="C265" s="7">
        <f>_xll.ciqfunctions.udf.CIQ($B$1,"IQ_LT_INVEST","IQ_FY-4")</f>
        <v>955.26400000000001</v>
      </c>
      <c r="D265" s="8">
        <f t="shared" si="8"/>
        <v>955.26400000000001</v>
      </c>
      <c r="E265" s="6" t="s">
        <v>62</v>
      </c>
    </row>
    <row r="266" spans="1:5" x14ac:dyDescent="0.4">
      <c r="A266" s="6" t="s">
        <v>61</v>
      </c>
      <c r="B266" s="6" t="s">
        <v>17</v>
      </c>
      <c r="C266" s="7">
        <f>_xll.ciqfunctions.udf.CIQ($B$1,"IQ_LT_INVEST","IQ_FY-5")</f>
        <v>611.25</v>
      </c>
      <c r="D266" s="8">
        <f t="shared" si="8"/>
        <v>611.25</v>
      </c>
      <c r="E266" s="6" t="s">
        <v>62</v>
      </c>
    </row>
    <row r="267" spans="1:5" x14ac:dyDescent="0.4">
      <c r="A267" s="6" t="s">
        <v>61</v>
      </c>
      <c r="B267" s="6" t="s">
        <v>18</v>
      </c>
      <c r="C267" s="7">
        <f>_xll.ciqfunctions.udf.CIQ($B$1,"IQ_LT_INVEST","IQ_FY-6")</f>
        <v>599.91</v>
      </c>
      <c r="D267" s="8">
        <f t="shared" si="8"/>
        <v>599.91</v>
      </c>
      <c r="E267" s="6" t="s">
        <v>62</v>
      </c>
    </row>
    <row r="268" spans="1:5" x14ac:dyDescent="0.4">
      <c r="A268" s="6" t="s">
        <v>61</v>
      </c>
      <c r="B268" s="6" t="s">
        <v>19</v>
      </c>
      <c r="C268" s="7">
        <f>_xll.ciqfunctions.udf.CIQ($B$1,"IQ_LT_INVEST","IQ_FY-7")</f>
        <v>408.74299999999999</v>
      </c>
      <c r="D268" s="8">
        <f t="shared" si="8"/>
        <v>408.74299999999999</v>
      </c>
      <c r="E268" s="6" t="s">
        <v>62</v>
      </c>
    </row>
    <row r="269" spans="1:5" x14ac:dyDescent="0.4">
      <c r="A269" s="6" t="s">
        <v>61</v>
      </c>
      <c r="B269" s="6" t="s">
        <v>20</v>
      </c>
      <c r="C269" s="7">
        <f>_xll.ciqfunctions.udf.CIQ($B$1,"IQ_LT_INVEST","IQ_FY-8")</f>
        <v>288.46499999999997</v>
      </c>
      <c r="D269" s="8">
        <f t="shared" si="8"/>
        <v>288.46499999999997</v>
      </c>
      <c r="E269" s="6" t="s">
        <v>62</v>
      </c>
    </row>
    <row r="270" spans="1:5" x14ac:dyDescent="0.4">
      <c r="A270" s="6" t="s">
        <v>61</v>
      </c>
      <c r="B270" s="6" t="s">
        <v>21</v>
      </c>
      <c r="C270" s="7">
        <f>_xll.ciqfunctions.udf.CIQ($B$1,"IQ_LT_INVEST","IQ_FY-9")</f>
        <v>180.011</v>
      </c>
      <c r="D270" s="8">
        <f t="shared" si="8"/>
        <v>180.011</v>
      </c>
      <c r="E270" s="6" t="s">
        <v>62</v>
      </c>
    </row>
    <row r="271" spans="1:5" x14ac:dyDescent="0.4">
      <c r="A271" s="6" t="s">
        <v>61</v>
      </c>
      <c r="B271" s="6" t="s">
        <v>22</v>
      </c>
      <c r="C271" s="7">
        <f>_xll.ciqfunctions.udf.CIQ($B$1,"IQ_LT_INVEST","IQ_FY-10")</f>
        <v>119.119</v>
      </c>
      <c r="D271" s="8">
        <f t="shared" si="8"/>
        <v>119.119</v>
      </c>
      <c r="E271" s="6" t="s">
        <v>62</v>
      </c>
    </row>
    <row r="272" spans="1:5" x14ac:dyDescent="0.4">
      <c r="A272" s="6" t="s">
        <v>63</v>
      </c>
      <c r="B272" s="6" t="s">
        <v>11</v>
      </c>
      <c r="C272" s="7">
        <f>_xll.ciqfunctions.udf.CIQ($B$1,"IQ_MINORITY_INTEREST","IQ_FY-0")</f>
        <v>1138.2829999999999</v>
      </c>
      <c r="D272" s="8">
        <f t="shared" si="8"/>
        <v>1138.2829999999999</v>
      </c>
      <c r="E272" s="6" t="s">
        <v>64</v>
      </c>
    </row>
    <row r="273" spans="1:5" x14ac:dyDescent="0.4">
      <c r="A273" s="6" t="s">
        <v>63</v>
      </c>
      <c r="B273" s="6" t="s">
        <v>13</v>
      </c>
      <c r="C273" s="7">
        <f>_xll.ciqfunctions.udf.CIQ($B$1,"IQ_MINORITY_INTEREST","IQ_FY-1")</f>
        <v>1045.9469999999999</v>
      </c>
      <c r="D273" s="8">
        <f t="shared" si="8"/>
        <v>1045.9469999999999</v>
      </c>
      <c r="E273" s="6" t="s">
        <v>64</v>
      </c>
    </row>
    <row r="274" spans="1:5" x14ac:dyDescent="0.4">
      <c r="A274" s="6" t="s">
        <v>63</v>
      </c>
      <c r="B274" s="6" t="s">
        <v>14</v>
      </c>
      <c r="C274" s="7">
        <f>_xll.ciqfunctions.udf.CIQ($B$1,"IQ_MINORITY_INTEREST","IQ_FY-2")</f>
        <v>1006.784</v>
      </c>
      <c r="D274" s="8">
        <f t="shared" si="8"/>
        <v>1006.784</v>
      </c>
      <c r="E274" s="6" t="s">
        <v>64</v>
      </c>
    </row>
    <row r="275" spans="1:5" x14ac:dyDescent="0.4">
      <c r="A275" s="6" t="s">
        <v>63</v>
      </c>
      <c r="B275" s="6" t="s">
        <v>15</v>
      </c>
      <c r="C275" s="7">
        <f>_xll.ciqfunctions.udf.CIQ($B$1,"IQ_MINORITY_INTEREST","IQ_FY-3")</f>
        <v>951.41499999999996</v>
      </c>
      <c r="D275" s="8">
        <f t="shared" si="8"/>
        <v>951.41499999999996</v>
      </c>
      <c r="E275" s="6" t="s">
        <v>64</v>
      </c>
    </row>
    <row r="276" spans="1:5" x14ac:dyDescent="0.4">
      <c r="A276" s="6" t="s">
        <v>63</v>
      </c>
      <c r="B276" s="6" t="s">
        <v>16</v>
      </c>
      <c r="C276" s="7">
        <f>_xll.ciqfunctions.udf.CIQ($B$1,"IQ_MINORITY_INTEREST","IQ_FY-4")</f>
        <v>817.73500000000001</v>
      </c>
      <c r="D276" s="8">
        <f t="shared" si="8"/>
        <v>817.73500000000001</v>
      </c>
      <c r="E276" s="6" t="s">
        <v>64</v>
      </c>
    </row>
    <row r="277" spans="1:5" x14ac:dyDescent="0.4">
      <c r="A277" s="6" t="s">
        <v>63</v>
      </c>
      <c r="B277" s="6" t="s">
        <v>17</v>
      </c>
      <c r="C277" s="7">
        <f>_xll.ciqfunctions.udf.CIQ($B$1,"IQ_MINORITY_INTEREST","IQ_FY-5")</f>
        <v>1627.991</v>
      </c>
      <c r="D277" s="8">
        <f t="shared" si="8"/>
        <v>1627.991</v>
      </c>
      <c r="E277" s="6" t="s">
        <v>64</v>
      </c>
    </row>
    <row r="278" spans="1:5" x14ac:dyDescent="0.4">
      <c r="A278" s="6" t="s">
        <v>63</v>
      </c>
      <c r="B278" s="6" t="s">
        <v>18</v>
      </c>
      <c r="C278" s="7">
        <f>_xll.ciqfunctions.udf.CIQ($B$1,"IQ_MINORITY_INTEREST","IQ_FY-6")</f>
        <v>1466.848</v>
      </c>
      <c r="D278" s="8">
        <f t="shared" si="8"/>
        <v>1466.848</v>
      </c>
      <c r="E278" s="6" t="s">
        <v>64</v>
      </c>
    </row>
    <row r="279" spans="1:5" x14ac:dyDescent="0.4">
      <c r="A279" s="6" t="s">
        <v>63</v>
      </c>
      <c r="B279" s="6" t="s">
        <v>19</v>
      </c>
      <c r="C279" s="7">
        <f>_xll.ciqfunctions.udf.CIQ($B$1,"IQ_MINORITY_INTEREST","IQ_FY-7")</f>
        <v>1240.268</v>
      </c>
      <c r="D279" s="8">
        <f t="shared" si="8"/>
        <v>1240.268</v>
      </c>
      <c r="E279" s="6" t="s">
        <v>64</v>
      </c>
    </row>
    <row r="280" spans="1:5" x14ac:dyDescent="0.4">
      <c r="A280" s="6" t="s">
        <v>63</v>
      </c>
      <c r="B280" s="6" t="s">
        <v>20</v>
      </c>
      <c r="C280" s="7">
        <f>_xll.ciqfunctions.udf.CIQ($B$1,"IQ_MINORITY_INTEREST","IQ_FY-8")</f>
        <v>1084.521</v>
      </c>
      <c r="D280" s="8">
        <f t="shared" si="8"/>
        <v>1084.521</v>
      </c>
      <c r="E280" s="6" t="s">
        <v>64</v>
      </c>
    </row>
    <row r="281" spans="1:5" x14ac:dyDescent="0.4">
      <c r="A281" s="6" t="s">
        <v>63</v>
      </c>
      <c r="B281" s="6" t="s">
        <v>21</v>
      </c>
      <c r="C281" s="7">
        <f>_xll.ciqfunctions.udf.CIQ($B$1,"IQ_MINORITY_INTEREST","IQ_FY-9")</f>
        <v>238.94900000000001</v>
      </c>
      <c r="D281" s="8">
        <f t="shared" ref="D281:D312" si="9">C281</f>
        <v>238.94900000000001</v>
      </c>
      <c r="E281" s="6" t="s">
        <v>64</v>
      </c>
    </row>
    <row r="282" spans="1:5" x14ac:dyDescent="0.4">
      <c r="A282" s="6" t="s">
        <v>63</v>
      </c>
      <c r="B282" s="6" t="s">
        <v>22</v>
      </c>
      <c r="C282" s="7">
        <f>_xll.ciqfunctions.udf.CIQ($B$1,"IQ_MINORITY_INTEREST","IQ_FY-10")</f>
        <v>235.37799999999999</v>
      </c>
      <c r="D282" s="8">
        <f t="shared" si="9"/>
        <v>235.37799999999999</v>
      </c>
      <c r="E282" s="6" t="s">
        <v>64</v>
      </c>
    </row>
    <row r="283" spans="1:5" x14ac:dyDescent="0.4">
      <c r="A283" s="9" t="s">
        <v>65</v>
      </c>
      <c r="B283" s="10"/>
      <c r="C283" s="10"/>
      <c r="D283" s="10"/>
      <c r="E283" s="10"/>
    </row>
    <row r="284" spans="1:5" x14ac:dyDescent="0.4">
      <c r="A284" s="6" t="s">
        <v>53</v>
      </c>
      <c r="B284" s="6" t="s">
        <v>44</v>
      </c>
      <c r="C284" s="7">
        <f>_xll.ciqfunctions.udf.CIQ($B$1,"IQ_CASH_EQUIV","IQ_FQ-0")</f>
        <v>5221.41</v>
      </c>
      <c r="D284" s="8">
        <f t="shared" ref="D284:D289" si="10">C284</f>
        <v>5221.41</v>
      </c>
      <c r="E284" s="6" t="s">
        <v>66</v>
      </c>
    </row>
    <row r="285" spans="1:5" x14ac:dyDescent="0.4">
      <c r="A285" s="6" t="s">
        <v>55</v>
      </c>
      <c r="B285" s="6" t="s">
        <v>44</v>
      </c>
      <c r="C285" s="7">
        <f>_xll.ciqfunctions.udf.CIQ($B$1,"IQ_TOTAL_EQUITY","IQ_FQ-0")</f>
        <v>7846.0770000000002</v>
      </c>
      <c r="D285" s="8">
        <f t="shared" si="10"/>
        <v>7846.0770000000002</v>
      </c>
      <c r="E285" s="6" t="s">
        <v>67</v>
      </c>
    </row>
    <row r="286" spans="1:5" x14ac:dyDescent="0.4">
      <c r="A286" s="6" t="s">
        <v>57</v>
      </c>
      <c r="B286" s="6" t="s">
        <v>44</v>
      </c>
      <c r="C286" s="7">
        <f>_xll.ciqfunctions.udf.CIQ($B$1,"IQ_TOTAL_DEBT","IQ_FQ-0")</f>
        <v>5052.4679999999998</v>
      </c>
      <c r="D286" s="8">
        <f t="shared" si="10"/>
        <v>5052.4679999999998</v>
      </c>
      <c r="E286" s="6" t="s">
        <v>68</v>
      </c>
    </row>
    <row r="287" spans="1:5" x14ac:dyDescent="0.4">
      <c r="A287" s="6" t="s">
        <v>59</v>
      </c>
      <c r="B287" s="6" t="s">
        <v>44</v>
      </c>
      <c r="C287" s="7">
        <f>_xll.ciqfunctions.udf.CIQ($B$1,"IQ_TOTAL_OUTSTANDING_FILING_DATE","IQ_FQ-0")</f>
        <v>12404.659299999999</v>
      </c>
      <c r="D287" s="8">
        <f t="shared" si="10"/>
        <v>12404.659299999999</v>
      </c>
      <c r="E287" s="6" t="s">
        <v>69</v>
      </c>
    </row>
    <row r="288" spans="1:5" x14ac:dyDescent="0.4">
      <c r="A288" s="6" t="s">
        <v>61</v>
      </c>
      <c r="B288" s="6" t="s">
        <v>44</v>
      </c>
      <c r="C288" s="7">
        <f>_xll.ciqfunctions.udf.CIQ($B$1,"IQ_LT_INVEST","IQ_FQ-0")</f>
        <v>2210.8649999999998</v>
      </c>
      <c r="D288" s="8">
        <f t="shared" si="10"/>
        <v>2210.8649999999998</v>
      </c>
      <c r="E288" s="6" t="s">
        <v>70</v>
      </c>
    </row>
    <row r="289" spans="1:5" x14ac:dyDescent="0.4">
      <c r="A289" s="6" t="s">
        <v>63</v>
      </c>
      <c r="B289" s="6" t="s">
        <v>44</v>
      </c>
      <c r="C289" s="7">
        <f>_xll.ciqfunctions.udf.CIQ($B$1,"IQ_MINORITY_INTEREST","IQ_FQ-0")</f>
        <v>1321.864</v>
      </c>
      <c r="D289" s="8">
        <f t="shared" si="10"/>
        <v>1321.864</v>
      </c>
      <c r="E289" s="6" t="s">
        <v>71</v>
      </c>
    </row>
    <row r="290" spans="1:5" x14ac:dyDescent="0.4">
      <c r="A290" s="9" t="s">
        <v>72</v>
      </c>
      <c r="B290" s="10"/>
      <c r="C290" s="10"/>
      <c r="D290" s="10"/>
      <c r="E290" s="10"/>
    </row>
    <row r="291" spans="1:5" x14ac:dyDescent="0.4">
      <c r="A291" s="6" t="s">
        <v>73</v>
      </c>
      <c r="B291" s="6" t="s">
        <v>74</v>
      </c>
      <c r="C291" s="7">
        <f>_xll.ciqfunctions.udf.CIQ($B$1,"IQ_CLOSEPRICE")</f>
        <v>11.83</v>
      </c>
      <c r="D291" s="8">
        <f>C291</f>
        <v>11.83</v>
      </c>
      <c r="E291" s="6" t="s">
        <v>75</v>
      </c>
    </row>
    <row r="292" spans="1:5" x14ac:dyDescent="0.4">
      <c r="A292" s="6" t="s">
        <v>76</v>
      </c>
      <c r="B292" s="6" t="s">
        <v>74</v>
      </c>
      <c r="C292" s="7">
        <f>_xll.ciqfunctions.udf.CIQ($B$1,"IQ_MARKETCAP")</f>
        <v>146747.11954000001</v>
      </c>
      <c r="D292" s="8">
        <f>C292</f>
        <v>146747.11954000001</v>
      </c>
      <c r="E292" s="6" t="s">
        <v>77</v>
      </c>
    </row>
    <row r="293" spans="1:5" x14ac:dyDescent="0.4">
      <c r="A293" s="6" t="s">
        <v>78</v>
      </c>
      <c r="B293" s="6" t="s">
        <v>74</v>
      </c>
      <c r="C293" s="7" t="str">
        <f>_xll.ciqfunctions.udf.CIQ($B$1,"IQ_FILING_CURRENCY")</f>
        <v>USD</v>
      </c>
      <c r="D293" s="8" t="str">
        <f>C293</f>
        <v>USD</v>
      </c>
      <c r="E293" s="6" t="s">
        <v>79</v>
      </c>
    </row>
    <row r="294" spans="1:5" x14ac:dyDescent="0.4">
      <c r="A294" s="6" t="s">
        <v>80</v>
      </c>
      <c r="B294" s="6" t="s">
        <v>74</v>
      </c>
      <c r="C294" s="7" t="str">
        <f>_xll.ciqfunctions.udf.CIQ($B$1,"IQ_EXCHANGE")</f>
        <v>SEHK</v>
      </c>
      <c r="D294" s="8" t="str">
        <f>C294</f>
        <v>SEHK</v>
      </c>
      <c r="E294" s="6" t="s">
        <v>81</v>
      </c>
    </row>
    <row r="295" spans="1:5" x14ac:dyDescent="0.4">
      <c r="A295" s="6" t="s">
        <v>82</v>
      </c>
      <c r="B295" s="6" t="s">
        <v>83</v>
      </c>
      <c r="C295" s="7">
        <f>_xll.ciqfunctions.udf.CIQ($B$1,"IQ_EFFECT_TAX_RATE","IQ_FY")/100</f>
        <v>1.2774000000000001E-2</v>
      </c>
      <c r="D295" s="8">
        <f>C295</f>
        <v>1.2774000000000001E-2</v>
      </c>
      <c r="E295" s="6" t="s">
        <v>84</v>
      </c>
    </row>
    <row r="296" spans="1:5" x14ac:dyDescent="0.4">
      <c r="A296" s="9" t="s">
        <v>85</v>
      </c>
      <c r="B296" s="10"/>
      <c r="C296" s="10"/>
      <c r="D296" s="10"/>
      <c r="E296" s="10"/>
    </row>
    <row r="297" spans="1:5" x14ac:dyDescent="0.4">
      <c r="A297" s="6" t="s">
        <v>86</v>
      </c>
      <c r="B297" s="6" t="s">
        <v>74</v>
      </c>
      <c r="C297" s="7">
        <f>_xll.ciqfunctions.udf.CIQ($B$1,"IQ_OPTIONS_END_OS")</f>
        <v>0</v>
      </c>
      <c r="D297" s="8">
        <f>C297</f>
        <v>0</v>
      </c>
      <c r="E297" s="6" t="s">
        <v>87</v>
      </c>
    </row>
    <row r="298" spans="1:5" x14ac:dyDescent="0.4">
      <c r="A298" s="6" t="s">
        <v>88</v>
      </c>
      <c r="B298" s="6" t="s">
        <v>74</v>
      </c>
      <c r="C298" s="7">
        <f>_xll.ciqfunctions.udf.CIQ($B$1,"IQ_OPTIONS_STRIKE_PRICE_OS")</f>
        <v>0</v>
      </c>
      <c r="D298" s="8">
        <f>C298</f>
        <v>0</v>
      </c>
      <c r="E298" s="6" t="s">
        <v>89</v>
      </c>
    </row>
    <row r="299" spans="1:5" x14ac:dyDescent="0.4">
      <c r="A299" s="6" t="s">
        <v>90</v>
      </c>
      <c r="B299" s="6" t="s">
        <v>74</v>
      </c>
      <c r="C299" s="7" t="str">
        <f>_xll.ciqfunctions.udf.CIQ($B$1,"IQ_OPTIONS_AVG_LIFE")</f>
        <v>(Invalid Formula Name)</v>
      </c>
      <c r="D299" s="8" t="str">
        <f>C299</f>
        <v>(Invalid Formula Name)</v>
      </c>
      <c r="E299" s="6" t="s">
        <v>91</v>
      </c>
    </row>
    <row r="300" spans="1:5" x14ac:dyDescent="0.4">
      <c r="A300" s="9" t="s">
        <v>92</v>
      </c>
      <c r="B300" s="10"/>
      <c r="C300" s="10"/>
      <c r="D300" s="10"/>
      <c r="E300" s="10"/>
    </row>
    <row r="301" spans="1:5" x14ac:dyDescent="0.4">
      <c r="A301" s="6" t="s">
        <v>93</v>
      </c>
      <c r="B301" s="6" t="s">
        <v>74</v>
      </c>
      <c r="C301" s="7">
        <f>_xll.ciqfunctions.udf.CIQ($B$1,"IQ_OL_COMM_CY")</f>
        <v>0</v>
      </c>
      <c r="D301" s="8">
        <f t="shared" ref="D301:D306" si="11">C301</f>
        <v>0</v>
      </c>
      <c r="E301" s="6" t="s">
        <v>94</v>
      </c>
    </row>
    <row r="302" spans="1:5" x14ac:dyDescent="0.4">
      <c r="A302" s="6" t="s">
        <v>95</v>
      </c>
      <c r="B302" s="6" t="s">
        <v>74</v>
      </c>
      <c r="C302" s="7">
        <f>_xll.ciqfunctions.udf.CIQ($B$1,"IQ_OL_COMM_CY1")</f>
        <v>0</v>
      </c>
      <c r="D302" s="8">
        <f t="shared" si="11"/>
        <v>0</v>
      </c>
      <c r="E302" s="6" t="s">
        <v>96</v>
      </c>
    </row>
    <row r="303" spans="1:5" x14ac:dyDescent="0.4">
      <c r="A303" s="6" t="s">
        <v>97</v>
      </c>
      <c r="B303" s="6" t="s">
        <v>74</v>
      </c>
      <c r="C303" s="7">
        <f>_xll.ciqfunctions.udf.CIQ($B$1,"IQ_OL_COMM_CY2")</f>
        <v>0</v>
      </c>
      <c r="D303" s="8">
        <f t="shared" si="11"/>
        <v>0</v>
      </c>
      <c r="E303" s="6" t="s">
        <v>98</v>
      </c>
    </row>
    <row r="304" spans="1:5" x14ac:dyDescent="0.4">
      <c r="A304" s="6" t="s">
        <v>99</v>
      </c>
      <c r="B304" s="6" t="s">
        <v>74</v>
      </c>
      <c r="C304" s="7">
        <f>_xll.ciqfunctions.udf.CIQ($B$1,"IQ_OL_COMM_CY3")</f>
        <v>0</v>
      </c>
      <c r="D304" s="8">
        <f t="shared" si="11"/>
        <v>0</v>
      </c>
      <c r="E304" s="6" t="s">
        <v>100</v>
      </c>
    </row>
    <row r="305" spans="1:5" x14ac:dyDescent="0.4">
      <c r="A305" s="6" t="s">
        <v>101</v>
      </c>
      <c r="B305" s="6" t="s">
        <v>74</v>
      </c>
      <c r="C305" s="7">
        <f>_xll.ciqfunctions.udf.CIQ($B$1,"IQ_OL_COMM_CY4")</f>
        <v>0</v>
      </c>
      <c r="D305" s="8">
        <f t="shared" si="11"/>
        <v>0</v>
      </c>
      <c r="E305" s="6" t="s">
        <v>102</v>
      </c>
    </row>
    <row r="306" spans="1:5" x14ac:dyDescent="0.4">
      <c r="A306" s="6" t="s">
        <v>103</v>
      </c>
      <c r="B306" s="6" t="s">
        <v>74</v>
      </c>
      <c r="C306" s="7">
        <f>_xll.ciqfunctions.udf.CIQ($B$1,"IQ_OL_COMM_NEXT_FIVE")</f>
        <v>0</v>
      </c>
      <c r="D306" s="8">
        <f t="shared" si="11"/>
        <v>0</v>
      </c>
      <c r="E306" s="6" t="s">
        <v>104</v>
      </c>
    </row>
    <row r="307" spans="1:5" x14ac:dyDescent="0.4">
      <c r="A307" s="9" t="s">
        <v>105</v>
      </c>
      <c r="B307" s="10"/>
      <c r="C307" s="10"/>
      <c r="D307" s="10"/>
      <c r="E307" s="10"/>
    </row>
    <row r="308" spans="1:5" x14ac:dyDescent="0.4">
      <c r="A308" s="6" t="s">
        <v>106</v>
      </c>
      <c r="B308" s="6" t="s">
        <v>11</v>
      </c>
      <c r="C308" s="7">
        <f>_xll.ciqfunctions.udf.CIQ($B$1,"IQ_PERIODDATE","IQ_FY-0")</f>
        <v>45747</v>
      </c>
      <c r="D308" s="8">
        <f>C308</f>
        <v>45747</v>
      </c>
      <c r="E308" s="6" t="s">
        <v>107</v>
      </c>
    </row>
    <row r="309" spans="1:5" x14ac:dyDescent="0.4">
      <c r="A309" s="6" t="s">
        <v>108</v>
      </c>
      <c r="B309" s="6" t="s">
        <v>44</v>
      </c>
      <c r="C309" s="7">
        <f>_xll.ciqfunctions.udf.CIQ($B$1,"IQ_PERIODDATE","IQ_FQ-0")</f>
        <v>46022</v>
      </c>
      <c r="D309" s="8">
        <f>C309</f>
        <v>46022</v>
      </c>
      <c r="E309" s="6" t="s">
        <v>109</v>
      </c>
    </row>
  </sheetData>
  <mergeCells count="8">
    <mergeCell ref="A300:E300"/>
    <mergeCell ref="A283:E283"/>
    <mergeCell ref="A216:E216"/>
    <mergeCell ref="A5:E5"/>
    <mergeCell ref="A307:E307"/>
    <mergeCell ref="A296:E296"/>
    <mergeCell ref="A127:E127"/>
    <mergeCell ref="A290:E290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8"/>
  <sheetViews>
    <sheetView workbookViewId="0"/>
  </sheetViews>
  <sheetFormatPr defaultRowHeight="14.1" x14ac:dyDescent="0.4"/>
  <sheetData>
    <row r="1" spans="1:4" x14ac:dyDescent="0.4">
      <c r="A1" t="s">
        <v>110</v>
      </c>
      <c r="B1" t="s">
        <v>111</v>
      </c>
      <c r="C1" t="s">
        <v>112</v>
      </c>
      <c r="D1" t="s">
        <v>113</v>
      </c>
    </row>
    <row r="2" spans="1:4" x14ac:dyDescent="0.4">
      <c r="A2">
        <v>6</v>
      </c>
      <c r="B2" t="s">
        <v>10</v>
      </c>
      <c r="C2" t="s">
        <v>11</v>
      </c>
      <c r="D2" t="s">
        <v>114</v>
      </c>
    </row>
    <row r="3" spans="1:4" x14ac:dyDescent="0.4">
      <c r="A3">
        <v>7</v>
      </c>
      <c r="B3" t="s">
        <v>10</v>
      </c>
      <c r="C3" t="s">
        <v>13</v>
      </c>
      <c r="D3" t="s">
        <v>114</v>
      </c>
    </row>
    <row r="4" spans="1:4" x14ac:dyDescent="0.4">
      <c r="A4">
        <v>8</v>
      </c>
      <c r="B4" t="s">
        <v>10</v>
      </c>
      <c r="C4" t="s">
        <v>14</v>
      </c>
      <c r="D4" t="s">
        <v>114</v>
      </c>
    </row>
    <row r="5" spans="1:4" x14ac:dyDescent="0.4">
      <c r="A5">
        <v>9</v>
      </c>
      <c r="B5" t="s">
        <v>10</v>
      </c>
      <c r="C5" t="s">
        <v>15</v>
      </c>
      <c r="D5" t="s">
        <v>114</v>
      </c>
    </row>
    <row r="6" spans="1:4" x14ac:dyDescent="0.4">
      <c r="A6">
        <v>10</v>
      </c>
      <c r="B6" t="s">
        <v>10</v>
      </c>
      <c r="C6" t="s">
        <v>16</v>
      </c>
      <c r="D6" t="s">
        <v>114</v>
      </c>
    </row>
    <row r="7" spans="1:4" x14ac:dyDescent="0.4">
      <c r="A7">
        <v>11</v>
      </c>
      <c r="B7" t="s">
        <v>10</v>
      </c>
      <c r="C7" t="s">
        <v>17</v>
      </c>
      <c r="D7" t="s">
        <v>114</v>
      </c>
    </row>
    <row r="8" spans="1:4" x14ac:dyDescent="0.4">
      <c r="A8">
        <v>12</v>
      </c>
      <c r="B8" t="s">
        <v>10</v>
      </c>
      <c r="C8" t="s">
        <v>18</v>
      </c>
      <c r="D8" t="s">
        <v>114</v>
      </c>
    </row>
    <row r="9" spans="1:4" x14ac:dyDescent="0.4">
      <c r="A9">
        <v>13</v>
      </c>
      <c r="B9" t="s">
        <v>10</v>
      </c>
      <c r="C9" t="s">
        <v>19</v>
      </c>
      <c r="D9" t="s">
        <v>114</v>
      </c>
    </row>
    <row r="10" spans="1:4" x14ac:dyDescent="0.4">
      <c r="A10">
        <v>14</v>
      </c>
      <c r="B10" t="s">
        <v>10</v>
      </c>
      <c r="C10" t="s">
        <v>20</v>
      </c>
      <c r="D10" t="s">
        <v>114</v>
      </c>
    </row>
    <row r="11" spans="1:4" x14ac:dyDescent="0.4">
      <c r="A11">
        <v>15</v>
      </c>
      <c r="B11" t="s">
        <v>10</v>
      </c>
      <c r="C11" t="s">
        <v>21</v>
      </c>
      <c r="D11" t="s">
        <v>114</v>
      </c>
    </row>
    <row r="12" spans="1:4" x14ac:dyDescent="0.4">
      <c r="A12">
        <v>16</v>
      </c>
      <c r="B12" t="s">
        <v>10</v>
      </c>
      <c r="C12" t="s">
        <v>22</v>
      </c>
      <c r="D12" t="s">
        <v>114</v>
      </c>
    </row>
    <row r="13" spans="1:4" x14ac:dyDescent="0.4">
      <c r="A13">
        <v>17</v>
      </c>
      <c r="B13" t="s">
        <v>23</v>
      </c>
      <c r="C13" t="s">
        <v>11</v>
      </c>
      <c r="D13" t="s">
        <v>115</v>
      </c>
    </row>
    <row r="14" spans="1:4" x14ac:dyDescent="0.4">
      <c r="A14">
        <v>18</v>
      </c>
      <c r="B14" t="s">
        <v>23</v>
      </c>
      <c r="C14" t="s">
        <v>13</v>
      </c>
      <c r="D14" t="s">
        <v>115</v>
      </c>
    </row>
    <row r="15" spans="1:4" x14ac:dyDescent="0.4">
      <c r="A15">
        <v>19</v>
      </c>
      <c r="B15" t="s">
        <v>23</v>
      </c>
      <c r="C15" t="s">
        <v>14</v>
      </c>
      <c r="D15" t="s">
        <v>115</v>
      </c>
    </row>
    <row r="16" spans="1:4" x14ac:dyDescent="0.4">
      <c r="A16">
        <v>20</v>
      </c>
      <c r="B16" t="s">
        <v>23</v>
      </c>
      <c r="C16" t="s">
        <v>15</v>
      </c>
      <c r="D16" t="s">
        <v>115</v>
      </c>
    </row>
    <row r="17" spans="1:4" x14ac:dyDescent="0.4">
      <c r="A17">
        <v>21</v>
      </c>
      <c r="B17" t="s">
        <v>23</v>
      </c>
      <c r="C17" t="s">
        <v>16</v>
      </c>
      <c r="D17" t="s">
        <v>115</v>
      </c>
    </row>
    <row r="18" spans="1:4" x14ac:dyDescent="0.4">
      <c r="A18">
        <v>22</v>
      </c>
      <c r="B18" t="s">
        <v>23</v>
      </c>
      <c r="C18" t="s">
        <v>17</v>
      </c>
      <c r="D18" t="s">
        <v>115</v>
      </c>
    </row>
    <row r="19" spans="1:4" x14ac:dyDescent="0.4">
      <c r="A19">
        <v>23</v>
      </c>
      <c r="B19" t="s">
        <v>23</v>
      </c>
      <c r="C19" t="s">
        <v>18</v>
      </c>
      <c r="D19" t="s">
        <v>115</v>
      </c>
    </row>
    <row r="20" spans="1:4" x14ac:dyDescent="0.4">
      <c r="A20">
        <v>24</v>
      </c>
      <c r="B20" t="s">
        <v>23</v>
      </c>
      <c r="C20" t="s">
        <v>19</v>
      </c>
      <c r="D20" t="s">
        <v>115</v>
      </c>
    </row>
    <row r="21" spans="1:4" x14ac:dyDescent="0.4">
      <c r="A21">
        <v>25</v>
      </c>
      <c r="B21" t="s">
        <v>23</v>
      </c>
      <c r="C21" t="s">
        <v>20</v>
      </c>
      <c r="D21" t="s">
        <v>115</v>
      </c>
    </row>
    <row r="22" spans="1:4" x14ac:dyDescent="0.4">
      <c r="A22">
        <v>26</v>
      </c>
      <c r="B22" t="s">
        <v>23</v>
      </c>
      <c r="C22" t="s">
        <v>21</v>
      </c>
      <c r="D22" t="s">
        <v>115</v>
      </c>
    </row>
    <row r="23" spans="1:4" x14ac:dyDescent="0.4">
      <c r="A23">
        <v>27</v>
      </c>
      <c r="B23" t="s">
        <v>23</v>
      </c>
      <c r="C23" t="s">
        <v>22</v>
      </c>
      <c r="D23" t="s">
        <v>115</v>
      </c>
    </row>
    <row r="24" spans="1:4" x14ac:dyDescent="0.4">
      <c r="A24">
        <v>28</v>
      </c>
      <c r="B24" t="s">
        <v>25</v>
      </c>
      <c r="C24" t="s">
        <v>11</v>
      </c>
      <c r="D24" t="s">
        <v>116</v>
      </c>
    </row>
    <row r="25" spans="1:4" x14ac:dyDescent="0.4">
      <c r="A25">
        <v>29</v>
      </c>
      <c r="B25" t="s">
        <v>25</v>
      </c>
      <c r="C25" t="s">
        <v>13</v>
      </c>
      <c r="D25" t="s">
        <v>116</v>
      </c>
    </row>
    <row r="26" spans="1:4" x14ac:dyDescent="0.4">
      <c r="A26">
        <v>30</v>
      </c>
      <c r="B26" t="s">
        <v>25</v>
      </c>
      <c r="C26" t="s">
        <v>14</v>
      </c>
      <c r="D26" t="s">
        <v>116</v>
      </c>
    </row>
    <row r="27" spans="1:4" x14ac:dyDescent="0.4">
      <c r="A27">
        <v>31</v>
      </c>
      <c r="B27" t="s">
        <v>25</v>
      </c>
      <c r="C27" t="s">
        <v>15</v>
      </c>
      <c r="D27" t="s">
        <v>116</v>
      </c>
    </row>
    <row r="28" spans="1:4" x14ac:dyDescent="0.4">
      <c r="A28">
        <v>32</v>
      </c>
      <c r="B28" t="s">
        <v>25</v>
      </c>
      <c r="C28" t="s">
        <v>16</v>
      </c>
      <c r="D28" t="s">
        <v>116</v>
      </c>
    </row>
    <row r="29" spans="1:4" x14ac:dyDescent="0.4">
      <c r="A29">
        <v>33</v>
      </c>
      <c r="B29" t="s">
        <v>25</v>
      </c>
      <c r="C29" t="s">
        <v>17</v>
      </c>
      <c r="D29" t="s">
        <v>116</v>
      </c>
    </row>
    <row r="30" spans="1:4" x14ac:dyDescent="0.4">
      <c r="A30">
        <v>34</v>
      </c>
      <c r="B30" t="s">
        <v>25</v>
      </c>
      <c r="C30" t="s">
        <v>18</v>
      </c>
      <c r="D30" t="s">
        <v>116</v>
      </c>
    </row>
    <row r="31" spans="1:4" x14ac:dyDescent="0.4">
      <c r="A31">
        <v>35</v>
      </c>
      <c r="B31" t="s">
        <v>25</v>
      </c>
      <c r="C31" t="s">
        <v>19</v>
      </c>
      <c r="D31" t="s">
        <v>116</v>
      </c>
    </row>
    <row r="32" spans="1:4" x14ac:dyDescent="0.4">
      <c r="A32">
        <v>36</v>
      </c>
      <c r="B32" t="s">
        <v>25</v>
      </c>
      <c r="C32" t="s">
        <v>20</v>
      </c>
      <c r="D32" t="s">
        <v>116</v>
      </c>
    </row>
    <row r="33" spans="1:4" x14ac:dyDescent="0.4">
      <c r="A33">
        <v>37</v>
      </c>
      <c r="B33" t="s">
        <v>25</v>
      </c>
      <c r="C33" t="s">
        <v>21</v>
      </c>
      <c r="D33" t="s">
        <v>116</v>
      </c>
    </row>
    <row r="34" spans="1:4" x14ac:dyDescent="0.4">
      <c r="A34">
        <v>38</v>
      </c>
      <c r="B34" t="s">
        <v>25</v>
      </c>
      <c r="C34" t="s">
        <v>22</v>
      </c>
      <c r="D34" t="s">
        <v>116</v>
      </c>
    </row>
    <row r="35" spans="1:4" x14ac:dyDescent="0.4">
      <c r="A35">
        <v>39</v>
      </c>
      <c r="B35" t="s">
        <v>27</v>
      </c>
      <c r="C35" t="s">
        <v>11</v>
      </c>
      <c r="D35" t="s">
        <v>117</v>
      </c>
    </row>
    <row r="36" spans="1:4" x14ac:dyDescent="0.4">
      <c r="A36">
        <v>40</v>
      </c>
      <c r="B36" t="s">
        <v>27</v>
      </c>
      <c r="C36" t="s">
        <v>13</v>
      </c>
      <c r="D36" t="s">
        <v>117</v>
      </c>
    </row>
    <row r="37" spans="1:4" x14ac:dyDescent="0.4">
      <c r="A37">
        <v>41</v>
      </c>
      <c r="B37" t="s">
        <v>27</v>
      </c>
      <c r="C37" t="s">
        <v>14</v>
      </c>
      <c r="D37" t="s">
        <v>117</v>
      </c>
    </row>
    <row r="38" spans="1:4" x14ac:dyDescent="0.4">
      <c r="A38">
        <v>42</v>
      </c>
      <c r="B38" t="s">
        <v>27</v>
      </c>
      <c r="C38" t="s">
        <v>15</v>
      </c>
      <c r="D38" t="s">
        <v>117</v>
      </c>
    </row>
    <row r="39" spans="1:4" x14ac:dyDescent="0.4">
      <c r="A39">
        <v>43</v>
      </c>
      <c r="B39" t="s">
        <v>27</v>
      </c>
      <c r="C39" t="s">
        <v>16</v>
      </c>
      <c r="D39" t="s">
        <v>117</v>
      </c>
    </row>
    <row r="40" spans="1:4" x14ac:dyDescent="0.4">
      <c r="A40">
        <v>44</v>
      </c>
      <c r="B40" t="s">
        <v>27</v>
      </c>
      <c r="C40" t="s">
        <v>17</v>
      </c>
      <c r="D40" t="s">
        <v>117</v>
      </c>
    </row>
    <row r="41" spans="1:4" x14ac:dyDescent="0.4">
      <c r="A41">
        <v>45</v>
      </c>
      <c r="B41" t="s">
        <v>27</v>
      </c>
      <c r="C41" t="s">
        <v>18</v>
      </c>
      <c r="D41" t="s">
        <v>117</v>
      </c>
    </row>
    <row r="42" spans="1:4" x14ac:dyDescent="0.4">
      <c r="A42">
        <v>46</v>
      </c>
      <c r="B42" t="s">
        <v>27</v>
      </c>
      <c r="C42" t="s">
        <v>19</v>
      </c>
      <c r="D42" t="s">
        <v>117</v>
      </c>
    </row>
    <row r="43" spans="1:4" x14ac:dyDescent="0.4">
      <c r="A43">
        <v>47</v>
      </c>
      <c r="B43" t="s">
        <v>27</v>
      </c>
      <c r="C43" t="s">
        <v>20</v>
      </c>
      <c r="D43" t="s">
        <v>117</v>
      </c>
    </row>
    <row r="44" spans="1:4" x14ac:dyDescent="0.4">
      <c r="A44">
        <v>48</v>
      </c>
      <c r="B44" t="s">
        <v>27</v>
      </c>
      <c r="C44" t="s">
        <v>21</v>
      </c>
      <c r="D44" t="s">
        <v>117</v>
      </c>
    </row>
    <row r="45" spans="1:4" x14ac:dyDescent="0.4">
      <c r="A45">
        <v>49</v>
      </c>
      <c r="B45" t="s">
        <v>27</v>
      </c>
      <c r="C45" t="s">
        <v>22</v>
      </c>
      <c r="D45" t="s">
        <v>117</v>
      </c>
    </row>
    <row r="46" spans="1:4" x14ac:dyDescent="0.4">
      <c r="A46">
        <v>50</v>
      </c>
      <c r="B46" t="s">
        <v>29</v>
      </c>
      <c r="C46" t="s">
        <v>11</v>
      </c>
      <c r="D46" t="s">
        <v>118</v>
      </c>
    </row>
    <row r="47" spans="1:4" x14ac:dyDescent="0.4">
      <c r="A47">
        <v>51</v>
      </c>
      <c r="B47" t="s">
        <v>29</v>
      </c>
      <c r="C47" t="s">
        <v>13</v>
      </c>
      <c r="D47" t="s">
        <v>118</v>
      </c>
    </row>
    <row r="48" spans="1:4" x14ac:dyDescent="0.4">
      <c r="A48">
        <v>52</v>
      </c>
      <c r="B48" t="s">
        <v>29</v>
      </c>
      <c r="C48" t="s">
        <v>14</v>
      </c>
      <c r="D48" t="s">
        <v>118</v>
      </c>
    </row>
    <row r="49" spans="1:4" x14ac:dyDescent="0.4">
      <c r="A49">
        <v>53</v>
      </c>
      <c r="B49" t="s">
        <v>29</v>
      </c>
      <c r="C49" t="s">
        <v>15</v>
      </c>
      <c r="D49" t="s">
        <v>118</v>
      </c>
    </row>
    <row r="50" spans="1:4" x14ac:dyDescent="0.4">
      <c r="A50">
        <v>54</v>
      </c>
      <c r="B50" t="s">
        <v>29</v>
      </c>
      <c r="C50" t="s">
        <v>16</v>
      </c>
      <c r="D50" t="s">
        <v>118</v>
      </c>
    </row>
    <row r="51" spans="1:4" x14ac:dyDescent="0.4">
      <c r="A51">
        <v>55</v>
      </c>
      <c r="B51" t="s">
        <v>29</v>
      </c>
      <c r="C51" t="s">
        <v>17</v>
      </c>
      <c r="D51" t="s">
        <v>118</v>
      </c>
    </row>
    <row r="52" spans="1:4" x14ac:dyDescent="0.4">
      <c r="A52">
        <v>56</v>
      </c>
      <c r="B52" t="s">
        <v>29</v>
      </c>
      <c r="C52" t="s">
        <v>18</v>
      </c>
      <c r="D52" t="s">
        <v>118</v>
      </c>
    </row>
    <row r="53" spans="1:4" x14ac:dyDescent="0.4">
      <c r="A53">
        <v>57</v>
      </c>
      <c r="B53" t="s">
        <v>29</v>
      </c>
      <c r="C53" t="s">
        <v>19</v>
      </c>
      <c r="D53" t="s">
        <v>118</v>
      </c>
    </row>
    <row r="54" spans="1:4" x14ac:dyDescent="0.4">
      <c r="A54">
        <v>58</v>
      </c>
      <c r="B54" t="s">
        <v>29</v>
      </c>
      <c r="C54" t="s">
        <v>20</v>
      </c>
      <c r="D54" t="s">
        <v>118</v>
      </c>
    </row>
    <row r="55" spans="1:4" x14ac:dyDescent="0.4">
      <c r="A55">
        <v>59</v>
      </c>
      <c r="B55" t="s">
        <v>29</v>
      </c>
      <c r="C55" t="s">
        <v>21</v>
      </c>
      <c r="D55" t="s">
        <v>118</v>
      </c>
    </row>
    <row r="56" spans="1:4" x14ac:dyDescent="0.4">
      <c r="A56">
        <v>60</v>
      </c>
      <c r="B56" t="s">
        <v>29</v>
      </c>
      <c r="C56" t="s">
        <v>22</v>
      </c>
      <c r="D56" t="s">
        <v>118</v>
      </c>
    </row>
    <row r="57" spans="1:4" x14ac:dyDescent="0.4">
      <c r="A57">
        <v>61</v>
      </c>
      <c r="B57" t="s">
        <v>31</v>
      </c>
      <c r="C57" t="s">
        <v>11</v>
      </c>
      <c r="D57" t="s">
        <v>119</v>
      </c>
    </row>
    <row r="58" spans="1:4" x14ac:dyDescent="0.4">
      <c r="A58">
        <v>62</v>
      </c>
      <c r="B58" t="s">
        <v>31</v>
      </c>
      <c r="C58" t="s">
        <v>13</v>
      </c>
      <c r="D58" t="s">
        <v>119</v>
      </c>
    </row>
    <row r="59" spans="1:4" x14ac:dyDescent="0.4">
      <c r="A59">
        <v>63</v>
      </c>
      <c r="B59" t="s">
        <v>31</v>
      </c>
      <c r="C59" t="s">
        <v>14</v>
      </c>
      <c r="D59" t="s">
        <v>119</v>
      </c>
    </row>
    <row r="60" spans="1:4" x14ac:dyDescent="0.4">
      <c r="A60">
        <v>64</v>
      </c>
      <c r="B60" t="s">
        <v>31</v>
      </c>
      <c r="C60" t="s">
        <v>15</v>
      </c>
      <c r="D60" t="s">
        <v>119</v>
      </c>
    </row>
    <row r="61" spans="1:4" x14ac:dyDescent="0.4">
      <c r="A61">
        <v>65</v>
      </c>
      <c r="B61" t="s">
        <v>31</v>
      </c>
      <c r="C61" t="s">
        <v>16</v>
      </c>
      <c r="D61" t="s">
        <v>119</v>
      </c>
    </row>
    <row r="62" spans="1:4" x14ac:dyDescent="0.4">
      <c r="A62">
        <v>66</v>
      </c>
      <c r="B62" t="s">
        <v>31</v>
      </c>
      <c r="C62" t="s">
        <v>17</v>
      </c>
      <c r="D62" t="s">
        <v>119</v>
      </c>
    </row>
    <row r="63" spans="1:4" x14ac:dyDescent="0.4">
      <c r="A63">
        <v>67</v>
      </c>
      <c r="B63" t="s">
        <v>31</v>
      </c>
      <c r="C63" t="s">
        <v>18</v>
      </c>
      <c r="D63" t="s">
        <v>119</v>
      </c>
    </row>
    <row r="64" spans="1:4" x14ac:dyDescent="0.4">
      <c r="A64">
        <v>68</v>
      </c>
      <c r="B64" t="s">
        <v>31</v>
      </c>
      <c r="C64" t="s">
        <v>19</v>
      </c>
      <c r="D64" t="s">
        <v>119</v>
      </c>
    </row>
    <row r="65" spans="1:4" x14ac:dyDescent="0.4">
      <c r="A65">
        <v>69</v>
      </c>
      <c r="B65" t="s">
        <v>31</v>
      </c>
      <c r="C65" t="s">
        <v>20</v>
      </c>
      <c r="D65" t="s">
        <v>119</v>
      </c>
    </row>
    <row r="66" spans="1:4" x14ac:dyDescent="0.4">
      <c r="A66">
        <v>70</v>
      </c>
      <c r="B66" t="s">
        <v>31</v>
      </c>
      <c r="C66" t="s">
        <v>21</v>
      </c>
      <c r="D66" t="s">
        <v>119</v>
      </c>
    </row>
    <row r="67" spans="1:4" x14ac:dyDescent="0.4">
      <c r="A67">
        <v>71</v>
      </c>
      <c r="B67" t="s">
        <v>31</v>
      </c>
      <c r="C67" t="s">
        <v>22</v>
      </c>
      <c r="D67" t="s">
        <v>119</v>
      </c>
    </row>
    <row r="68" spans="1:4" x14ac:dyDescent="0.4">
      <c r="A68">
        <v>72</v>
      </c>
      <c r="B68" t="s">
        <v>33</v>
      </c>
      <c r="C68" t="s">
        <v>11</v>
      </c>
      <c r="D68" t="s">
        <v>120</v>
      </c>
    </row>
    <row r="69" spans="1:4" x14ac:dyDescent="0.4">
      <c r="A69">
        <v>73</v>
      </c>
      <c r="B69" t="s">
        <v>33</v>
      </c>
      <c r="C69" t="s">
        <v>13</v>
      </c>
      <c r="D69" t="s">
        <v>120</v>
      </c>
    </row>
    <row r="70" spans="1:4" x14ac:dyDescent="0.4">
      <c r="A70">
        <v>74</v>
      </c>
      <c r="B70" t="s">
        <v>33</v>
      </c>
      <c r="C70" t="s">
        <v>14</v>
      </c>
      <c r="D70" t="s">
        <v>120</v>
      </c>
    </row>
    <row r="71" spans="1:4" x14ac:dyDescent="0.4">
      <c r="A71">
        <v>75</v>
      </c>
      <c r="B71" t="s">
        <v>33</v>
      </c>
      <c r="C71" t="s">
        <v>15</v>
      </c>
      <c r="D71" t="s">
        <v>120</v>
      </c>
    </row>
    <row r="72" spans="1:4" x14ac:dyDescent="0.4">
      <c r="A72">
        <v>76</v>
      </c>
      <c r="B72" t="s">
        <v>33</v>
      </c>
      <c r="C72" t="s">
        <v>16</v>
      </c>
      <c r="D72" t="s">
        <v>120</v>
      </c>
    </row>
    <row r="73" spans="1:4" x14ac:dyDescent="0.4">
      <c r="A73">
        <v>77</v>
      </c>
      <c r="B73" t="s">
        <v>33</v>
      </c>
      <c r="C73" t="s">
        <v>17</v>
      </c>
      <c r="D73" t="s">
        <v>120</v>
      </c>
    </row>
    <row r="74" spans="1:4" x14ac:dyDescent="0.4">
      <c r="A74">
        <v>78</v>
      </c>
      <c r="B74" t="s">
        <v>33</v>
      </c>
      <c r="C74" t="s">
        <v>18</v>
      </c>
      <c r="D74" t="s">
        <v>120</v>
      </c>
    </row>
    <row r="75" spans="1:4" x14ac:dyDescent="0.4">
      <c r="A75">
        <v>79</v>
      </c>
      <c r="B75" t="s">
        <v>33</v>
      </c>
      <c r="C75" t="s">
        <v>19</v>
      </c>
      <c r="D75" t="s">
        <v>120</v>
      </c>
    </row>
    <row r="76" spans="1:4" x14ac:dyDescent="0.4">
      <c r="A76">
        <v>80</v>
      </c>
      <c r="B76" t="s">
        <v>33</v>
      </c>
      <c r="C76" t="s">
        <v>20</v>
      </c>
      <c r="D76" t="s">
        <v>120</v>
      </c>
    </row>
    <row r="77" spans="1:4" x14ac:dyDescent="0.4">
      <c r="A77">
        <v>81</v>
      </c>
      <c r="B77" t="s">
        <v>33</v>
      </c>
      <c r="C77" t="s">
        <v>21</v>
      </c>
      <c r="D77" t="s">
        <v>120</v>
      </c>
    </row>
    <row r="78" spans="1:4" x14ac:dyDescent="0.4">
      <c r="A78">
        <v>82</v>
      </c>
      <c r="B78" t="s">
        <v>33</v>
      </c>
      <c r="C78" t="s">
        <v>22</v>
      </c>
      <c r="D78" t="s">
        <v>120</v>
      </c>
    </row>
    <row r="79" spans="1:4" x14ac:dyDescent="0.4">
      <c r="A79">
        <v>83</v>
      </c>
      <c r="B79" t="s">
        <v>35</v>
      </c>
      <c r="C79" t="s">
        <v>11</v>
      </c>
      <c r="D79" t="s">
        <v>121</v>
      </c>
    </row>
    <row r="80" spans="1:4" x14ac:dyDescent="0.4">
      <c r="A80">
        <v>84</v>
      </c>
      <c r="B80" t="s">
        <v>35</v>
      </c>
      <c r="C80" t="s">
        <v>13</v>
      </c>
      <c r="D80" t="s">
        <v>121</v>
      </c>
    </row>
    <row r="81" spans="1:4" x14ac:dyDescent="0.4">
      <c r="A81">
        <v>85</v>
      </c>
      <c r="B81" t="s">
        <v>35</v>
      </c>
      <c r="C81" t="s">
        <v>14</v>
      </c>
      <c r="D81" t="s">
        <v>121</v>
      </c>
    </row>
    <row r="82" spans="1:4" x14ac:dyDescent="0.4">
      <c r="A82">
        <v>86</v>
      </c>
      <c r="B82" t="s">
        <v>35</v>
      </c>
      <c r="C82" t="s">
        <v>15</v>
      </c>
      <c r="D82" t="s">
        <v>121</v>
      </c>
    </row>
    <row r="83" spans="1:4" x14ac:dyDescent="0.4">
      <c r="A83">
        <v>87</v>
      </c>
      <c r="B83" t="s">
        <v>35</v>
      </c>
      <c r="C83" t="s">
        <v>16</v>
      </c>
      <c r="D83" t="s">
        <v>121</v>
      </c>
    </row>
    <row r="84" spans="1:4" x14ac:dyDescent="0.4">
      <c r="A84">
        <v>88</v>
      </c>
      <c r="B84" t="s">
        <v>35</v>
      </c>
      <c r="C84" t="s">
        <v>17</v>
      </c>
      <c r="D84" t="s">
        <v>121</v>
      </c>
    </row>
    <row r="85" spans="1:4" x14ac:dyDescent="0.4">
      <c r="A85">
        <v>89</v>
      </c>
      <c r="B85" t="s">
        <v>35</v>
      </c>
      <c r="C85" t="s">
        <v>18</v>
      </c>
      <c r="D85" t="s">
        <v>121</v>
      </c>
    </row>
    <row r="86" spans="1:4" x14ac:dyDescent="0.4">
      <c r="A86">
        <v>90</v>
      </c>
      <c r="B86" t="s">
        <v>35</v>
      </c>
      <c r="C86" t="s">
        <v>19</v>
      </c>
      <c r="D86" t="s">
        <v>121</v>
      </c>
    </row>
    <row r="87" spans="1:4" x14ac:dyDescent="0.4">
      <c r="A87">
        <v>91</v>
      </c>
      <c r="B87" t="s">
        <v>35</v>
      </c>
      <c r="C87" t="s">
        <v>20</v>
      </c>
      <c r="D87" t="s">
        <v>121</v>
      </c>
    </row>
    <row r="88" spans="1:4" x14ac:dyDescent="0.4">
      <c r="A88">
        <v>92</v>
      </c>
      <c r="B88" t="s">
        <v>35</v>
      </c>
      <c r="C88" t="s">
        <v>21</v>
      </c>
      <c r="D88" t="s">
        <v>121</v>
      </c>
    </row>
    <row r="89" spans="1:4" x14ac:dyDescent="0.4">
      <c r="A89">
        <v>93</v>
      </c>
      <c r="B89" t="s">
        <v>35</v>
      </c>
      <c r="C89" t="s">
        <v>22</v>
      </c>
      <c r="D89" t="s">
        <v>121</v>
      </c>
    </row>
    <row r="90" spans="1:4" x14ac:dyDescent="0.4">
      <c r="A90">
        <v>94</v>
      </c>
      <c r="B90" t="s">
        <v>37</v>
      </c>
      <c r="C90" t="s">
        <v>11</v>
      </c>
      <c r="D90" t="s">
        <v>122</v>
      </c>
    </row>
    <row r="91" spans="1:4" x14ac:dyDescent="0.4">
      <c r="A91">
        <v>95</v>
      </c>
      <c r="B91" t="s">
        <v>37</v>
      </c>
      <c r="C91" t="s">
        <v>13</v>
      </c>
      <c r="D91" t="s">
        <v>122</v>
      </c>
    </row>
    <row r="92" spans="1:4" x14ac:dyDescent="0.4">
      <c r="A92">
        <v>96</v>
      </c>
      <c r="B92" t="s">
        <v>37</v>
      </c>
      <c r="C92" t="s">
        <v>14</v>
      </c>
      <c r="D92" t="s">
        <v>122</v>
      </c>
    </row>
    <row r="93" spans="1:4" x14ac:dyDescent="0.4">
      <c r="A93">
        <v>97</v>
      </c>
      <c r="B93" t="s">
        <v>37</v>
      </c>
      <c r="C93" t="s">
        <v>15</v>
      </c>
      <c r="D93" t="s">
        <v>122</v>
      </c>
    </row>
    <row r="94" spans="1:4" x14ac:dyDescent="0.4">
      <c r="A94">
        <v>98</v>
      </c>
      <c r="B94" t="s">
        <v>37</v>
      </c>
      <c r="C94" t="s">
        <v>16</v>
      </c>
      <c r="D94" t="s">
        <v>122</v>
      </c>
    </row>
    <row r="95" spans="1:4" x14ac:dyDescent="0.4">
      <c r="A95">
        <v>99</v>
      </c>
      <c r="B95" t="s">
        <v>37</v>
      </c>
      <c r="C95" t="s">
        <v>17</v>
      </c>
      <c r="D95" t="s">
        <v>122</v>
      </c>
    </row>
    <row r="96" spans="1:4" x14ac:dyDescent="0.4">
      <c r="A96">
        <v>100</v>
      </c>
      <c r="B96" t="s">
        <v>37</v>
      </c>
      <c r="C96" t="s">
        <v>18</v>
      </c>
      <c r="D96" t="s">
        <v>122</v>
      </c>
    </row>
    <row r="97" spans="1:4" x14ac:dyDescent="0.4">
      <c r="A97">
        <v>101</v>
      </c>
      <c r="B97" t="s">
        <v>37</v>
      </c>
      <c r="C97" t="s">
        <v>19</v>
      </c>
      <c r="D97" t="s">
        <v>122</v>
      </c>
    </row>
    <row r="98" spans="1:4" x14ac:dyDescent="0.4">
      <c r="A98">
        <v>102</v>
      </c>
      <c r="B98" t="s">
        <v>37</v>
      </c>
      <c r="C98" t="s">
        <v>20</v>
      </c>
      <c r="D98" t="s">
        <v>122</v>
      </c>
    </row>
    <row r="99" spans="1:4" x14ac:dyDescent="0.4">
      <c r="A99">
        <v>103</v>
      </c>
      <c r="B99" t="s">
        <v>37</v>
      </c>
      <c r="C99" t="s">
        <v>21</v>
      </c>
      <c r="D99" t="s">
        <v>122</v>
      </c>
    </row>
    <row r="100" spans="1:4" x14ac:dyDescent="0.4">
      <c r="A100">
        <v>104</v>
      </c>
      <c r="B100" t="s">
        <v>37</v>
      </c>
      <c r="C100" t="s">
        <v>22</v>
      </c>
      <c r="D100" t="s">
        <v>122</v>
      </c>
    </row>
    <row r="101" spans="1:4" x14ac:dyDescent="0.4">
      <c r="A101">
        <v>105</v>
      </c>
      <c r="B101" t="s">
        <v>39</v>
      </c>
      <c r="C101" t="s">
        <v>11</v>
      </c>
      <c r="D101" t="s">
        <v>123</v>
      </c>
    </row>
    <row r="102" spans="1:4" x14ac:dyDescent="0.4">
      <c r="A102">
        <v>106</v>
      </c>
      <c r="B102" t="s">
        <v>39</v>
      </c>
      <c r="C102" t="s">
        <v>13</v>
      </c>
      <c r="D102" t="s">
        <v>123</v>
      </c>
    </row>
    <row r="103" spans="1:4" x14ac:dyDescent="0.4">
      <c r="A103">
        <v>107</v>
      </c>
      <c r="B103" t="s">
        <v>39</v>
      </c>
      <c r="C103" t="s">
        <v>14</v>
      </c>
      <c r="D103" t="s">
        <v>123</v>
      </c>
    </row>
    <row r="104" spans="1:4" x14ac:dyDescent="0.4">
      <c r="A104">
        <v>108</v>
      </c>
      <c r="B104" t="s">
        <v>39</v>
      </c>
      <c r="C104" t="s">
        <v>15</v>
      </c>
      <c r="D104" t="s">
        <v>123</v>
      </c>
    </row>
    <row r="105" spans="1:4" x14ac:dyDescent="0.4">
      <c r="A105">
        <v>109</v>
      </c>
      <c r="B105" t="s">
        <v>39</v>
      </c>
      <c r="C105" t="s">
        <v>16</v>
      </c>
      <c r="D105" t="s">
        <v>123</v>
      </c>
    </row>
    <row r="106" spans="1:4" x14ac:dyDescent="0.4">
      <c r="A106">
        <v>110</v>
      </c>
      <c r="B106" t="s">
        <v>39</v>
      </c>
      <c r="C106" t="s">
        <v>17</v>
      </c>
      <c r="D106" t="s">
        <v>123</v>
      </c>
    </row>
    <row r="107" spans="1:4" x14ac:dyDescent="0.4">
      <c r="A107">
        <v>111</v>
      </c>
      <c r="B107" t="s">
        <v>39</v>
      </c>
      <c r="C107" t="s">
        <v>18</v>
      </c>
      <c r="D107" t="s">
        <v>123</v>
      </c>
    </row>
    <row r="108" spans="1:4" x14ac:dyDescent="0.4">
      <c r="A108">
        <v>112</v>
      </c>
      <c r="B108" t="s">
        <v>39</v>
      </c>
      <c r="C108" t="s">
        <v>19</v>
      </c>
      <c r="D108" t="s">
        <v>123</v>
      </c>
    </row>
    <row r="109" spans="1:4" x14ac:dyDescent="0.4">
      <c r="A109">
        <v>113</v>
      </c>
      <c r="B109" t="s">
        <v>39</v>
      </c>
      <c r="C109" t="s">
        <v>20</v>
      </c>
      <c r="D109" t="s">
        <v>123</v>
      </c>
    </row>
    <row r="110" spans="1:4" x14ac:dyDescent="0.4">
      <c r="A110">
        <v>114</v>
      </c>
      <c r="B110" t="s">
        <v>39</v>
      </c>
      <c r="C110" t="s">
        <v>21</v>
      </c>
      <c r="D110" t="s">
        <v>123</v>
      </c>
    </row>
    <row r="111" spans="1:4" x14ac:dyDescent="0.4">
      <c r="A111">
        <v>115</v>
      </c>
      <c r="B111" t="s">
        <v>39</v>
      </c>
      <c r="C111" t="s">
        <v>22</v>
      </c>
      <c r="D111" t="s">
        <v>123</v>
      </c>
    </row>
    <row r="112" spans="1:4" x14ac:dyDescent="0.4">
      <c r="A112">
        <v>116</v>
      </c>
      <c r="B112" t="s">
        <v>41</v>
      </c>
      <c r="C112" t="s">
        <v>11</v>
      </c>
      <c r="D112" t="s">
        <v>124</v>
      </c>
    </row>
    <row r="113" spans="1:4" x14ac:dyDescent="0.4">
      <c r="A113">
        <v>117</v>
      </c>
      <c r="B113" t="s">
        <v>41</v>
      </c>
      <c r="C113" t="s">
        <v>13</v>
      </c>
      <c r="D113" t="s">
        <v>124</v>
      </c>
    </row>
    <row r="114" spans="1:4" x14ac:dyDescent="0.4">
      <c r="A114">
        <v>118</v>
      </c>
      <c r="B114" t="s">
        <v>41</v>
      </c>
      <c r="C114" t="s">
        <v>14</v>
      </c>
      <c r="D114" t="s">
        <v>124</v>
      </c>
    </row>
    <row r="115" spans="1:4" x14ac:dyDescent="0.4">
      <c r="A115">
        <v>119</v>
      </c>
      <c r="B115" t="s">
        <v>41</v>
      </c>
      <c r="C115" t="s">
        <v>15</v>
      </c>
      <c r="D115" t="s">
        <v>124</v>
      </c>
    </row>
    <row r="116" spans="1:4" x14ac:dyDescent="0.4">
      <c r="A116">
        <v>120</v>
      </c>
      <c r="B116" t="s">
        <v>41</v>
      </c>
      <c r="C116" t="s">
        <v>16</v>
      </c>
      <c r="D116" t="s">
        <v>124</v>
      </c>
    </row>
    <row r="117" spans="1:4" x14ac:dyDescent="0.4">
      <c r="A117">
        <v>121</v>
      </c>
      <c r="B117" t="s">
        <v>41</v>
      </c>
      <c r="C117" t="s">
        <v>17</v>
      </c>
      <c r="D117" t="s">
        <v>124</v>
      </c>
    </row>
    <row r="118" spans="1:4" x14ac:dyDescent="0.4">
      <c r="A118">
        <v>122</v>
      </c>
      <c r="B118" t="s">
        <v>41</v>
      </c>
      <c r="C118" t="s">
        <v>18</v>
      </c>
      <c r="D118" t="s">
        <v>124</v>
      </c>
    </row>
    <row r="119" spans="1:4" x14ac:dyDescent="0.4">
      <c r="A119">
        <v>123</v>
      </c>
      <c r="B119" t="s">
        <v>41</v>
      </c>
      <c r="C119" t="s">
        <v>19</v>
      </c>
      <c r="D119" t="s">
        <v>124</v>
      </c>
    </row>
    <row r="120" spans="1:4" x14ac:dyDescent="0.4">
      <c r="A120">
        <v>124</v>
      </c>
      <c r="B120" t="s">
        <v>41</v>
      </c>
      <c r="C120" t="s">
        <v>20</v>
      </c>
      <c r="D120" t="s">
        <v>124</v>
      </c>
    </row>
    <row r="121" spans="1:4" x14ac:dyDescent="0.4">
      <c r="A121">
        <v>125</v>
      </c>
      <c r="B121" t="s">
        <v>41</v>
      </c>
      <c r="C121" t="s">
        <v>21</v>
      </c>
      <c r="D121" t="s">
        <v>124</v>
      </c>
    </row>
    <row r="122" spans="1:4" x14ac:dyDescent="0.4">
      <c r="A122">
        <v>126</v>
      </c>
      <c r="B122" t="s">
        <v>41</v>
      </c>
      <c r="C122" t="s">
        <v>22</v>
      </c>
      <c r="D122" t="s">
        <v>124</v>
      </c>
    </row>
    <row r="123" spans="1:4" x14ac:dyDescent="0.4">
      <c r="A123">
        <v>128</v>
      </c>
      <c r="B123" t="s">
        <v>10</v>
      </c>
      <c r="C123" t="s">
        <v>44</v>
      </c>
      <c r="D123" t="s">
        <v>114</v>
      </c>
    </row>
    <row r="124" spans="1:4" x14ac:dyDescent="0.4">
      <c r="A124">
        <v>129</v>
      </c>
      <c r="B124" t="s">
        <v>10</v>
      </c>
      <c r="C124" t="s">
        <v>45</v>
      </c>
      <c r="D124" t="s">
        <v>114</v>
      </c>
    </row>
    <row r="125" spans="1:4" x14ac:dyDescent="0.4">
      <c r="A125">
        <v>130</v>
      </c>
      <c r="B125" t="s">
        <v>10</v>
      </c>
      <c r="C125" t="s">
        <v>46</v>
      </c>
      <c r="D125" t="s">
        <v>114</v>
      </c>
    </row>
    <row r="126" spans="1:4" x14ac:dyDescent="0.4">
      <c r="A126">
        <v>131</v>
      </c>
      <c r="B126" t="s">
        <v>10</v>
      </c>
      <c r="C126" t="s">
        <v>47</v>
      </c>
      <c r="D126" t="s">
        <v>114</v>
      </c>
    </row>
    <row r="127" spans="1:4" x14ac:dyDescent="0.4">
      <c r="A127">
        <v>132</v>
      </c>
      <c r="B127" t="s">
        <v>10</v>
      </c>
      <c r="C127" t="s">
        <v>48</v>
      </c>
      <c r="D127" t="s">
        <v>114</v>
      </c>
    </row>
    <row r="128" spans="1:4" x14ac:dyDescent="0.4">
      <c r="A128">
        <v>133</v>
      </c>
      <c r="B128" t="s">
        <v>10</v>
      </c>
      <c r="C128" t="s">
        <v>49</v>
      </c>
      <c r="D128" t="s">
        <v>114</v>
      </c>
    </row>
    <row r="129" spans="1:4" x14ac:dyDescent="0.4">
      <c r="A129">
        <v>134</v>
      </c>
      <c r="B129" t="s">
        <v>10</v>
      </c>
      <c r="C129" t="s">
        <v>50</v>
      </c>
      <c r="D129" t="s">
        <v>114</v>
      </c>
    </row>
    <row r="130" spans="1:4" x14ac:dyDescent="0.4">
      <c r="A130">
        <v>135</v>
      </c>
      <c r="B130" t="s">
        <v>10</v>
      </c>
      <c r="C130" t="s">
        <v>51</v>
      </c>
      <c r="D130" t="s">
        <v>114</v>
      </c>
    </row>
    <row r="131" spans="1:4" x14ac:dyDescent="0.4">
      <c r="A131">
        <v>136</v>
      </c>
      <c r="B131" t="s">
        <v>23</v>
      </c>
      <c r="C131" t="s">
        <v>44</v>
      </c>
      <c r="D131" t="s">
        <v>115</v>
      </c>
    </row>
    <row r="132" spans="1:4" x14ac:dyDescent="0.4">
      <c r="A132">
        <v>137</v>
      </c>
      <c r="B132" t="s">
        <v>23</v>
      </c>
      <c r="C132" t="s">
        <v>45</v>
      </c>
      <c r="D132" t="s">
        <v>115</v>
      </c>
    </row>
    <row r="133" spans="1:4" x14ac:dyDescent="0.4">
      <c r="A133">
        <v>138</v>
      </c>
      <c r="B133" t="s">
        <v>23</v>
      </c>
      <c r="C133" t="s">
        <v>46</v>
      </c>
      <c r="D133" t="s">
        <v>115</v>
      </c>
    </row>
    <row r="134" spans="1:4" x14ac:dyDescent="0.4">
      <c r="A134">
        <v>139</v>
      </c>
      <c r="B134" t="s">
        <v>23</v>
      </c>
      <c r="C134" t="s">
        <v>47</v>
      </c>
      <c r="D134" t="s">
        <v>115</v>
      </c>
    </row>
    <row r="135" spans="1:4" x14ac:dyDescent="0.4">
      <c r="A135">
        <v>140</v>
      </c>
      <c r="B135" t="s">
        <v>23</v>
      </c>
      <c r="C135" t="s">
        <v>48</v>
      </c>
      <c r="D135" t="s">
        <v>115</v>
      </c>
    </row>
    <row r="136" spans="1:4" x14ac:dyDescent="0.4">
      <c r="A136">
        <v>141</v>
      </c>
      <c r="B136" t="s">
        <v>23</v>
      </c>
      <c r="C136" t="s">
        <v>49</v>
      </c>
      <c r="D136" t="s">
        <v>115</v>
      </c>
    </row>
    <row r="137" spans="1:4" x14ac:dyDescent="0.4">
      <c r="A137">
        <v>142</v>
      </c>
      <c r="B137" t="s">
        <v>23</v>
      </c>
      <c r="C137" t="s">
        <v>50</v>
      </c>
      <c r="D137" t="s">
        <v>115</v>
      </c>
    </row>
    <row r="138" spans="1:4" x14ac:dyDescent="0.4">
      <c r="A138">
        <v>143</v>
      </c>
      <c r="B138" t="s">
        <v>23</v>
      </c>
      <c r="C138" t="s">
        <v>51</v>
      </c>
      <c r="D138" t="s">
        <v>115</v>
      </c>
    </row>
    <row r="139" spans="1:4" x14ac:dyDescent="0.4">
      <c r="A139">
        <v>144</v>
      </c>
      <c r="B139" t="s">
        <v>25</v>
      </c>
      <c r="C139" t="s">
        <v>44</v>
      </c>
      <c r="D139" t="s">
        <v>116</v>
      </c>
    </row>
    <row r="140" spans="1:4" x14ac:dyDescent="0.4">
      <c r="A140">
        <v>145</v>
      </c>
      <c r="B140" t="s">
        <v>25</v>
      </c>
      <c r="C140" t="s">
        <v>45</v>
      </c>
      <c r="D140" t="s">
        <v>116</v>
      </c>
    </row>
    <row r="141" spans="1:4" x14ac:dyDescent="0.4">
      <c r="A141">
        <v>146</v>
      </c>
      <c r="B141" t="s">
        <v>25</v>
      </c>
      <c r="C141" t="s">
        <v>46</v>
      </c>
      <c r="D141" t="s">
        <v>116</v>
      </c>
    </row>
    <row r="142" spans="1:4" x14ac:dyDescent="0.4">
      <c r="A142">
        <v>147</v>
      </c>
      <c r="B142" t="s">
        <v>25</v>
      </c>
      <c r="C142" t="s">
        <v>47</v>
      </c>
      <c r="D142" t="s">
        <v>116</v>
      </c>
    </row>
    <row r="143" spans="1:4" x14ac:dyDescent="0.4">
      <c r="A143">
        <v>148</v>
      </c>
      <c r="B143" t="s">
        <v>25</v>
      </c>
      <c r="C143" t="s">
        <v>48</v>
      </c>
      <c r="D143" t="s">
        <v>116</v>
      </c>
    </row>
    <row r="144" spans="1:4" x14ac:dyDescent="0.4">
      <c r="A144">
        <v>149</v>
      </c>
      <c r="B144" t="s">
        <v>25</v>
      </c>
      <c r="C144" t="s">
        <v>49</v>
      </c>
      <c r="D144" t="s">
        <v>116</v>
      </c>
    </row>
    <row r="145" spans="1:4" x14ac:dyDescent="0.4">
      <c r="A145">
        <v>150</v>
      </c>
      <c r="B145" t="s">
        <v>25</v>
      </c>
      <c r="C145" t="s">
        <v>50</v>
      </c>
      <c r="D145" t="s">
        <v>116</v>
      </c>
    </row>
    <row r="146" spans="1:4" x14ac:dyDescent="0.4">
      <c r="A146">
        <v>151</v>
      </c>
      <c r="B146" t="s">
        <v>25</v>
      </c>
      <c r="C146" t="s">
        <v>51</v>
      </c>
      <c r="D146" t="s">
        <v>116</v>
      </c>
    </row>
    <row r="147" spans="1:4" x14ac:dyDescent="0.4">
      <c r="A147">
        <v>152</v>
      </c>
      <c r="B147" t="s">
        <v>27</v>
      </c>
      <c r="C147" t="s">
        <v>44</v>
      </c>
      <c r="D147" t="s">
        <v>117</v>
      </c>
    </row>
    <row r="148" spans="1:4" x14ac:dyDescent="0.4">
      <c r="A148">
        <v>153</v>
      </c>
      <c r="B148" t="s">
        <v>27</v>
      </c>
      <c r="C148" t="s">
        <v>45</v>
      </c>
      <c r="D148" t="s">
        <v>117</v>
      </c>
    </row>
    <row r="149" spans="1:4" x14ac:dyDescent="0.4">
      <c r="A149">
        <v>154</v>
      </c>
      <c r="B149" t="s">
        <v>27</v>
      </c>
      <c r="C149" t="s">
        <v>46</v>
      </c>
      <c r="D149" t="s">
        <v>117</v>
      </c>
    </row>
    <row r="150" spans="1:4" x14ac:dyDescent="0.4">
      <c r="A150">
        <v>155</v>
      </c>
      <c r="B150" t="s">
        <v>27</v>
      </c>
      <c r="C150" t="s">
        <v>47</v>
      </c>
      <c r="D150" t="s">
        <v>117</v>
      </c>
    </row>
    <row r="151" spans="1:4" x14ac:dyDescent="0.4">
      <c r="A151">
        <v>156</v>
      </c>
      <c r="B151" t="s">
        <v>27</v>
      </c>
      <c r="C151" t="s">
        <v>48</v>
      </c>
      <c r="D151" t="s">
        <v>117</v>
      </c>
    </row>
    <row r="152" spans="1:4" x14ac:dyDescent="0.4">
      <c r="A152">
        <v>157</v>
      </c>
      <c r="B152" t="s">
        <v>27</v>
      </c>
      <c r="C152" t="s">
        <v>49</v>
      </c>
      <c r="D152" t="s">
        <v>117</v>
      </c>
    </row>
    <row r="153" spans="1:4" x14ac:dyDescent="0.4">
      <c r="A153">
        <v>158</v>
      </c>
      <c r="B153" t="s">
        <v>27</v>
      </c>
      <c r="C153" t="s">
        <v>50</v>
      </c>
      <c r="D153" t="s">
        <v>117</v>
      </c>
    </row>
    <row r="154" spans="1:4" x14ac:dyDescent="0.4">
      <c r="A154">
        <v>159</v>
      </c>
      <c r="B154" t="s">
        <v>27</v>
      </c>
      <c r="C154" t="s">
        <v>51</v>
      </c>
      <c r="D154" t="s">
        <v>117</v>
      </c>
    </row>
    <row r="155" spans="1:4" x14ac:dyDescent="0.4">
      <c r="A155">
        <v>160</v>
      </c>
      <c r="B155" t="s">
        <v>29</v>
      </c>
      <c r="C155" t="s">
        <v>44</v>
      </c>
      <c r="D155" t="s">
        <v>118</v>
      </c>
    </row>
    <row r="156" spans="1:4" x14ac:dyDescent="0.4">
      <c r="A156">
        <v>161</v>
      </c>
      <c r="B156" t="s">
        <v>29</v>
      </c>
      <c r="C156" t="s">
        <v>45</v>
      </c>
      <c r="D156" t="s">
        <v>118</v>
      </c>
    </row>
    <row r="157" spans="1:4" x14ac:dyDescent="0.4">
      <c r="A157">
        <v>162</v>
      </c>
      <c r="B157" t="s">
        <v>29</v>
      </c>
      <c r="C157" t="s">
        <v>46</v>
      </c>
      <c r="D157" t="s">
        <v>118</v>
      </c>
    </row>
    <row r="158" spans="1:4" x14ac:dyDescent="0.4">
      <c r="A158">
        <v>163</v>
      </c>
      <c r="B158" t="s">
        <v>29</v>
      </c>
      <c r="C158" t="s">
        <v>47</v>
      </c>
      <c r="D158" t="s">
        <v>118</v>
      </c>
    </row>
    <row r="159" spans="1:4" x14ac:dyDescent="0.4">
      <c r="A159">
        <v>164</v>
      </c>
      <c r="B159" t="s">
        <v>29</v>
      </c>
      <c r="C159" t="s">
        <v>48</v>
      </c>
      <c r="D159" t="s">
        <v>118</v>
      </c>
    </row>
    <row r="160" spans="1:4" x14ac:dyDescent="0.4">
      <c r="A160">
        <v>165</v>
      </c>
      <c r="B160" t="s">
        <v>29</v>
      </c>
      <c r="C160" t="s">
        <v>49</v>
      </c>
      <c r="D160" t="s">
        <v>118</v>
      </c>
    </row>
    <row r="161" spans="1:4" x14ac:dyDescent="0.4">
      <c r="A161">
        <v>166</v>
      </c>
      <c r="B161" t="s">
        <v>29</v>
      </c>
      <c r="C161" t="s">
        <v>50</v>
      </c>
      <c r="D161" t="s">
        <v>118</v>
      </c>
    </row>
    <row r="162" spans="1:4" x14ac:dyDescent="0.4">
      <c r="A162">
        <v>167</v>
      </c>
      <c r="B162" t="s">
        <v>29</v>
      </c>
      <c r="C162" t="s">
        <v>51</v>
      </c>
      <c r="D162" t="s">
        <v>118</v>
      </c>
    </row>
    <row r="163" spans="1:4" x14ac:dyDescent="0.4">
      <c r="A163">
        <v>168</v>
      </c>
      <c r="B163" t="s">
        <v>31</v>
      </c>
      <c r="C163" t="s">
        <v>44</v>
      </c>
      <c r="D163" t="s">
        <v>119</v>
      </c>
    </row>
    <row r="164" spans="1:4" x14ac:dyDescent="0.4">
      <c r="A164">
        <v>169</v>
      </c>
      <c r="B164" t="s">
        <v>31</v>
      </c>
      <c r="C164" t="s">
        <v>45</v>
      </c>
      <c r="D164" t="s">
        <v>119</v>
      </c>
    </row>
    <row r="165" spans="1:4" x14ac:dyDescent="0.4">
      <c r="A165">
        <v>170</v>
      </c>
      <c r="B165" t="s">
        <v>31</v>
      </c>
      <c r="C165" t="s">
        <v>46</v>
      </c>
      <c r="D165" t="s">
        <v>119</v>
      </c>
    </row>
    <row r="166" spans="1:4" x14ac:dyDescent="0.4">
      <c r="A166">
        <v>171</v>
      </c>
      <c r="B166" t="s">
        <v>31</v>
      </c>
      <c r="C166" t="s">
        <v>47</v>
      </c>
      <c r="D166" t="s">
        <v>119</v>
      </c>
    </row>
    <row r="167" spans="1:4" x14ac:dyDescent="0.4">
      <c r="A167">
        <v>172</v>
      </c>
      <c r="B167" t="s">
        <v>31</v>
      </c>
      <c r="C167" t="s">
        <v>48</v>
      </c>
      <c r="D167" t="s">
        <v>119</v>
      </c>
    </row>
    <row r="168" spans="1:4" x14ac:dyDescent="0.4">
      <c r="A168">
        <v>173</v>
      </c>
      <c r="B168" t="s">
        <v>31</v>
      </c>
      <c r="C168" t="s">
        <v>49</v>
      </c>
      <c r="D168" t="s">
        <v>119</v>
      </c>
    </row>
    <row r="169" spans="1:4" x14ac:dyDescent="0.4">
      <c r="A169">
        <v>174</v>
      </c>
      <c r="B169" t="s">
        <v>31</v>
      </c>
      <c r="C169" t="s">
        <v>50</v>
      </c>
      <c r="D169" t="s">
        <v>119</v>
      </c>
    </row>
    <row r="170" spans="1:4" x14ac:dyDescent="0.4">
      <c r="A170">
        <v>175</v>
      </c>
      <c r="B170" t="s">
        <v>31</v>
      </c>
      <c r="C170" t="s">
        <v>51</v>
      </c>
      <c r="D170" t="s">
        <v>119</v>
      </c>
    </row>
    <row r="171" spans="1:4" x14ac:dyDescent="0.4">
      <c r="A171">
        <v>176</v>
      </c>
      <c r="B171" t="s">
        <v>33</v>
      </c>
      <c r="C171" t="s">
        <v>44</v>
      </c>
      <c r="D171" t="s">
        <v>120</v>
      </c>
    </row>
    <row r="172" spans="1:4" x14ac:dyDescent="0.4">
      <c r="A172">
        <v>177</v>
      </c>
      <c r="B172" t="s">
        <v>33</v>
      </c>
      <c r="C172" t="s">
        <v>45</v>
      </c>
      <c r="D172" t="s">
        <v>120</v>
      </c>
    </row>
    <row r="173" spans="1:4" x14ac:dyDescent="0.4">
      <c r="A173">
        <v>178</v>
      </c>
      <c r="B173" t="s">
        <v>33</v>
      </c>
      <c r="C173" t="s">
        <v>46</v>
      </c>
      <c r="D173" t="s">
        <v>120</v>
      </c>
    </row>
    <row r="174" spans="1:4" x14ac:dyDescent="0.4">
      <c r="A174">
        <v>179</v>
      </c>
      <c r="B174" t="s">
        <v>33</v>
      </c>
      <c r="C174" t="s">
        <v>47</v>
      </c>
      <c r="D174" t="s">
        <v>120</v>
      </c>
    </row>
    <row r="175" spans="1:4" x14ac:dyDescent="0.4">
      <c r="A175">
        <v>180</v>
      </c>
      <c r="B175" t="s">
        <v>33</v>
      </c>
      <c r="C175" t="s">
        <v>48</v>
      </c>
      <c r="D175" t="s">
        <v>120</v>
      </c>
    </row>
    <row r="176" spans="1:4" x14ac:dyDescent="0.4">
      <c r="A176">
        <v>181</v>
      </c>
      <c r="B176" t="s">
        <v>33</v>
      </c>
      <c r="C176" t="s">
        <v>49</v>
      </c>
      <c r="D176" t="s">
        <v>120</v>
      </c>
    </row>
    <row r="177" spans="1:4" x14ac:dyDescent="0.4">
      <c r="A177">
        <v>182</v>
      </c>
      <c r="B177" t="s">
        <v>33</v>
      </c>
      <c r="C177" t="s">
        <v>50</v>
      </c>
      <c r="D177" t="s">
        <v>120</v>
      </c>
    </row>
    <row r="178" spans="1:4" x14ac:dyDescent="0.4">
      <c r="A178">
        <v>183</v>
      </c>
      <c r="B178" t="s">
        <v>33</v>
      </c>
      <c r="C178" t="s">
        <v>51</v>
      </c>
      <c r="D178" t="s">
        <v>120</v>
      </c>
    </row>
    <row r="179" spans="1:4" x14ac:dyDescent="0.4">
      <c r="A179">
        <v>184</v>
      </c>
      <c r="B179" t="s">
        <v>35</v>
      </c>
      <c r="C179" t="s">
        <v>44</v>
      </c>
      <c r="D179" t="s">
        <v>121</v>
      </c>
    </row>
    <row r="180" spans="1:4" x14ac:dyDescent="0.4">
      <c r="A180">
        <v>185</v>
      </c>
      <c r="B180" t="s">
        <v>35</v>
      </c>
      <c r="C180" t="s">
        <v>45</v>
      </c>
      <c r="D180" t="s">
        <v>121</v>
      </c>
    </row>
    <row r="181" spans="1:4" x14ac:dyDescent="0.4">
      <c r="A181">
        <v>186</v>
      </c>
      <c r="B181" t="s">
        <v>35</v>
      </c>
      <c r="C181" t="s">
        <v>46</v>
      </c>
      <c r="D181" t="s">
        <v>121</v>
      </c>
    </row>
    <row r="182" spans="1:4" x14ac:dyDescent="0.4">
      <c r="A182">
        <v>187</v>
      </c>
      <c r="B182" t="s">
        <v>35</v>
      </c>
      <c r="C182" t="s">
        <v>47</v>
      </c>
      <c r="D182" t="s">
        <v>121</v>
      </c>
    </row>
    <row r="183" spans="1:4" x14ac:dyDescent="0.4">
      <c r="A183">
        <v>188</v>
      </c>
      <c r="B183" t="s">
        <v>35</v>
      </c>
      <c r="C183" t="s">
        <v>48</v>
      </c>
      <c r="D183" t="s">
        <v>121</v>
      </c>
    </row>
    <row r="184" spans="1:4" x14ac:dyDescent="0.4">
      <c r="A184">
        <v>189</v>
      </c>
      <c r="B184" t="s">
        <v>35</v>
      </c>
      <c r="C184" t="s">
        <v>49</v>
      </c>
      <c r="D184" t="s">
        <v>121</v>
      </c>
    </row>
    <row r="185" spans="1:4" x14ac:dyDescent="0.4">
      <c r="A185">
        <v>190</v>
      </c>
      <c r="B185" t="s">
        <v>35</v>
      </c>
      <c r="C185" t="s">
        <v>50</v>
      </c>
      <c r="D185" t="s">
        <v>121</v>
      </c>
    </row>
    <row r="186" spans="1:4" x14ac:dyDescent="0.4">
      <c r="A186">
        <v>191</v>
      </c>
      <c r="B186" t="s">
        <v>35</v>
      </c>
      <c r="C186" t="s">
        <v>51</v>
      </c>
      <c r="D186" t="s">
        <v>121</v>
      </c>
    </row>
    <row r="187" spans="1:4" x14ac:dyDescent="0.4">
      <c r="A187">
        <v>192</v>
      </c>
      <c r="B187" t="s">
        <v>37</v>
      </c>
      <c r="C187" t="s">
        <v>44</v>
      </c>
      <c r="D187" t="s">
        <v>122</v>
      </c>
    </row>
    <row r="188" spans="1:4" x14ac:dyDescent="0.4">
      <c r="A188">
        <v>193</v>
      </c>
      <c r="B188" t="s">
        <v>37</v>
      </c>
      <c r="C188" t="s">
        <v>45</v>
      </c>
      <c r="D188" t="s">
        <v>122</v>
      </c>
    </row>
    <row r="189" spans="1:4" x14ac:dyDescent="0.4">
      <c r="A189">
        <v>194</v>
      </c>
      <c r="B189" t="s">
        <v>37</v>
      </c>
      <c r="C189" t="s">
        <v>46</v>
      </c>
      <c r="D189" t="s">
        <v>122</v>
      </c>
    </row>
    <row r="190" spans="1:4" x14ac:dyDescent="0.4">
      <c r="A190">
        <v>195</v>
      </c>
      <c r="B190" t="s">
        <v>37</v>
      </c>
      <c r="C190" t="s">
        <v>47</v>
      </c>
      <c r="D190" t="s">
        <v>122</v>
      </c>
    </row>
    <row r="191" spans="1:4" x14ac:dyDescent="0.4">
      <c r="A191">
        <v>196</v>
      </c>
      <c r="B191" t="s">
        <v>37</v>
      </c>
      <c r="C191" t="s">
        <v>48</v>
      </c>
      <c r="D191" t="s">
        <v>122</v>
      </c>
    </row>
    <row r="192" spans="1:4" x14ac:dyDescent="0.4">
      <c r="A192">
        <v>197</v>
      </c>
      <c r="B192" t="s">
        <v>37</v>
      </c>
      <c r="C192" t="s">
        <v>49</v>
      </c>
      <c r="D192" t="s">
        <v>122</v>
      </c>
    </row>
    <row r="193" spans="1:4" x14ac:dyDescent="0.4">
      <c r="A193">
        <v>198</v>
      </c>
      <c r="B193" t="s">
        <v>37</v>
      </c>
      <c r="C193" t="s">
        <v>50</v>
      </c>
      <c r="D193" t="s">
        <v>122</v>
      </c>
    </row>
    <row r="194" spans="1:4" x14ac:dyDescent="0.4">
      <c r="A194">
        <v>199</v>
      </c>
      <c r="B194" t="s">
        <v>37</v>
      </c>
      <c r="C194" t="s">
        <v>51</v>
      </c>
      <c r="D194" t="s">
        <v>122</v>
      </c>
    </row>
    <row r="195" spans="1:4" x14ac:dyDescent="0.4">
      <c r="A195">
        <v>200</v>
      </c>
      <c r="B195" t="s">
        <v>39</v>
      </c>
      <c r="C195" t="s">
        <v>44</v>
      </c>
      <c r="D195" t="s">
        <v>123</v>
      </c>
    </row>
    <row r="196" spans="1:4" x14ac:dyDescent="0.4">
      <c r="A196">
        <v>201</v>
      </c>
      <c r="B196" t="s">
        <v>39</v>
      </c>
      <c r="C196" t="s">
        <v>45</v>
      </c>
      <c r="D196" t="s">
        <v>123</v>
      </c>
    </row>
    <row r="197" spans="1:4" x14ac:dyDescent="0.4">
      <c r="A197">
        <v>202</v>
      </c>
      <c r="B197" t="s">
        <v>39</v>
      </c>
      <c r="C197" t="s">
        <v>46</v>
      </c>
      <c r="D197" t="s">
        <v>123</v>
      </c>
    </row>
    <row r="198" spans="1:4" x14ac:dyDescent="0.4">
      <c r="A198">
        <v>203</v>
      </c>
      <c r="B198" t="s">
        <v>39</v>
      </c>
      <c r="C198" t="s">
        <v>47</v>
      </c>
      <c r="D198" t="s">
        <v>123</v>
      </c>
    </row>
    <row r="199" spans="1:4" x14ac:dyDescent="0.4">
      <c r="A199">
        <v>204</v>
      </c>
      <c r="B199" t="s">
        <v>39</v>
      </c>
      <c r="C199" t="s">
        <v>48</v>
      </c>
      <c r="D199" t="s">
        <v>123</v>
      </c>
    </row>
    <row r="200" spans="1:4" x14ac:dyDescent="0.4">
      <c r="A200">
        <v>205</v>
      </c>
      <c r="B200" t="s">
        <v>39</v>
      </c>
      <c r="C200" t="s">
        <v>49</v>
      </c>
      <c r="D200" t="s">
        <v>123</v>
      </c>
    </row>
    <row r="201" spans="1:4" x14ac:dyDescent="0.4">
      <c r="A201">
        <v>206</v>
      </c>
      <c r="B201" t="s">
        <v>39</v>
      </c>
      <c r="C201" t="s">
        <v>50</v>
      </c>
      <c r="D201" t="s">
        <v>123</v>
      </c>
    </row>
    <row r="202" spans="1:4" x14ac:dyDescent="0.4">
      <c r="A202">
        <v>207</v>
      </c>
      <c r="B202" t="s">
        <v>39</v>
      </c>
      <c r="C202" t="s">
        <v>51</v>
      </c>
      <c r="D202" t="s">
        <v>123</v>
      </c>
    </row>
    <row r="203" spans="1:4" x14ac:dyDescent="0.4">
      <c r="A203">
        <v>208</v>
      </c>
      <c r="B203" t="s">
        <v>41</v>
      </c>
      <c r="C203" t="s">
        <v>44</v>
      </c>
      <c r="D203" t="s">
        <v>124</v>
      </c>
    </row>
    <row r="204" spans="1:4" x14ac:dyDescent="0.4">
      <c r="A204">
        <v>209</v>
      </c>
      <c r="B204" t="s">
        <v>41</v>
      </c>
      <c r="C204" t="s">
        <v>45</v>
      </c>
      <c r="D204" t="s">
        <v>124</v>
      </c>
    </row>
    <row r="205" spans="1:4" x14ac:dyDescent="0.4">
      <c r="A205">
        <v>210</v>
      </c>
      <c r="B205" t="s">
        <v>41</v>
      </c>
      <c r="C205" t="s">
        <v>46</v>
      </c>
      <c r="D205" t="s">
        <v>124</v>
      </c>
    </row>
    <row r="206" spans="1:4" x14ac:dyDescent="0.4">
      <c r="A206">
        <v>211</v>
      </c>
      <c r="B206" t="s">
        <v>41</v>
      </c>
      <c r="C206" t="s">
        <v>47</v>
      </c>
      <c r="D206" t="s">
        <v>124</v>
      </c>
    </row>
    <row r="207" spans="1:4" x14ac:dyDescent="0.4">
      <c r="A207">
        <v>212</v>
      </c>
      <c r="B207" t="s">
        <v>41</v>
      </c>
      <c r="C207" t="s">
        <v>48</v>
      </c>
      <c r="D207" t="s">
        <v>124</v>
      </c>
    </row>
    <row r="208" spans="1:4" x14ac:dyDescent="0.4">
      <c r="A208">
        <v>213</v>
      </c>
      <c r="B208" t="s">
        <v>41</v>
      </c>
      <c r="C208" t="s">
        <v>49</v>
      </c>
      <c r="D208" t="s">
        <v>124</v>
      </c>
    </row>
    <row r="209" spans="1:4" x14ac:dyDescent="0.4">
      <c r="A209">
        <v>214</v>
      </c>
      <c r="B209" t="s">
        <v>41</v>
      </c>
      <c r="C209" t="s">
        <v>50</v>
      </c>
      <c r="D209" t="s">
        <v>124</v>
      </c>
    </row>
    <row r="210" spans="1:4" x14ac:dyDescent="0.4">
      <c r="A210">
        <v>215</v>
      </c>
      <c r="B210" t="s">
        <v>41</v>
      </c>
      <c r="C210" t="s">
        <v>51</v>
      </c>
      <c r="D210" t="s">
        <v>124</v>
      </c>
    </row>
    <row r="211" spans="1:4" x14ac:dyDescent="0.4">
      <c r="A211">
        <v>217</v>
      </c>
      <c r="B211" t="s">
        <v>53</v>
      </c>
      <c r="C211" t="s">
        <v>11</v>
      </c>
      <c r="D211" t="s">
        <v>125</v>
      </c>
    </row>
    <row r="212" spans="1:4" x14ac:dyDescent="0.4">
      <c r="A212">
        <v>218</v>
      </c>
      <c r="B212" t="s">
        <v>53</v>
      </c>
      <c r="C212" t="s">
        <v>13</v>
      </c>
      <c r="D212" t="s">
        <v>125</v>
      </c>
    </row>
    <row r="213" spans="1:4" x14ac:dyDescent="0.4">
      <c r="A213">
        <v>219</v>
      </c>
      <c r="B213" t="s">
        <v>53</v>
      </c>
      <c r="C213" t="s">
        <v>14</v>
      </c>
      <c r="D213" t="s">
        <v>125</v>
      </c>
    </row>
    <row r="214" spans="1:4" x14ac:dyDescent="0.4">
      <c r="A214">
        <v>220</v>
      </c>
      <c r="B214" t="s">
        <v>53</v>
      </c>
      <c r="C214" t="s">
        <v>15</v>
      </c>
      <c r="D214" t="s">
        <v>125</v>
      </c>
    </row>
    <row r="215" spans="1:4" x14ac:dyDescent="0.4">
      <c r="A215">
        <v>221</v>
      </c>
      <c r="B215" t="s">
        <v>53</v>
      </c>
      <c r="C215" t="s">
        <v>16</v>
      </c>
      <c r="D215" t="s">
        <v>125</v>
      </c>
    </row>
    <row r="216" spans="1:4" x14ac:dyDescent="0.4">
      <c r="A216">
        <v>222</v>
      </c>
      <c r="B216" t="s">
        <v>53</v>
      </c>
      <c r="C216" t="s">
        <v>17</v>
      </c>
      <c r="D216" t="s">
        <v>125</v>
      </c>
    </row>
    <row r="217" spans="1:4" x14ac:dyDescent="0.4">
      <c r="A217">
        <v>223</v>
      </c>
      <c r="B217" t="s">
        <v>53</v>
      </c>
      <c r="C217" t="s">
        <v>18</v>
      </c>
      <c r="D217" t="s">
        <v>125</v>
      </c>
    </row>
    <row r="218" spans="1:4" x14ac:dyDescent="0.4">
      <c r="A218">
        <v>224</v>
      </c>
      <c r="B218" t="s">
        <v>53</v>
      </c>
      <c r="C218" t="s">
        <v>19</v>
      </c>
      <c r="D218" t="s">
        <v>125</v>
      </c>
    </row>
    <row r="219" spans="1:4" x14ac:dyDescent="0.4">
      <c r="A219">
        <v>225</v>
      </c>
      <c r="B219" t="s">
        <v>53</v>
      </c>
      <c r="C219" t="s">
        <v>20</v>
      </c>
      <c r="D219" t="s">
        <v>125</v>
      </c>
    </row>
    <row r="220" spans="1:4" x14ac:dyDescent="0.4">
      <c r="A220">
        <v>226</v>
      </c>
      <c r="B220" t="s">
        <v>53</v>
      </c>
      <c r="C220" t="s">
        <v>21</v>
      </c>
      <c r="D220" t="s">
        <v>125</v>
      </c>
    </row>
    <row r="221" spans="1:4" x14ac:dyDescent="0.4">
      <c r="A221">
        <v>227</v>
      </c>
      <c r="B221" t="s">
        <v>53</v>
      </c>
      <c r="C221" t="s">
        <v>22</v>
      </c>
      <c r="D221" t="s">
        <v>125</v>
      </c>
    </row>
    <row r="222" spans="1:4" x14ac:dyDescent="0.4">
      <c r="A222">
        <v>228</v>
      </c>
      <c r="B222" t="s">
        <v>55</v>
      </c>
      <c r="C222" t="s">
        <v>11</v>
      </c>
      <c r="D222" t="s">
        <v>126</v>
      </c>
    </row>
    <row r="223" spans="1:4" x14ac:dyDescent="0.4">
      <c r="A223">
        <v>229</v>
      </c>
      <c r="B223" t="s">
        <v>55</v>
      </c>
      <c r="C223" t="s">
        <v>13</v>
      </c>
      <c r="D223" t="s">
        <v>126</v>
      </c>
    </row>
    <row r="224" spans="1:4" x14ac:dyDescent="0.4">
      <c r="A224">
        <v>230</v>
      </c>
      <c r="B224" t="s">
        <v>55</v>
      </c>
      <c r="C224" t="s">
        <v>14</v>
      </c>
      <c r="D224" t="s">
        <v>126</v>
      </c>
    </row>
    <row r="225" spans="1:4" x14ac:dyDescent="0.4">
      <c r="A225">
        <v>231</v>
      </c>
      <c r="B225" t="s">
        <v>55</v>
      </c>
      <c r="C225" t="s">
        <v>15</v>
      </c>
      <c r="D225" t="s">
        <v>126</v>
      </c>
    </row>
    <row r="226" spans="1:4" x14ac:dyDescent="0.4">
      <c r="A226">
        <v>232</v>
      </c>
      <c r="B226" t="s">
        <v>55</v>
      </c>
      <c r="C226" t="s">
        <v>16</v>
      </c>
      <c r="D226" t="s">
        <v>126</v>
      </c>
    </row>
    <row r="227" spans="1:4" x14ac:dyDescent="0.4">
      <c r="A227">
        <v>233</v>
      </c>
      <c r="B227" t="s">
        <v>55</v>
      </c>
      <c r="C227" t="s">
        <v>17</v>
      </c>
      <c r="D227" t="s">
        <v>126</v>
      </c>
    </row>
    <row r="228" spans="1:4" x14ac:dyDescent="0.4">
      <c r="A228">
        <v>234</v>
      </c>
      <c r="B228" t="s">
        <v>55</v>
      </c>
      <c r="C228" t="s">
        <v>18</v>
      </c>
      <c r="D228" t="s">
        <v>126</v>
      </c>
    </row>
    <row r="229" spans="1:4" x14ac:dyDescent="0.4">
      <c r="A229">
        <v>235</v>
      </c>
      <c r="B229" t="s">
        <v>55</v>
      </c>
      <c r="C229" t="s">
        <v>19</v>
      </c>
      <c r="D229" t="s">
        <v>126</v>
      </c>
    </row>
    <row r="230" spans="1:4" x14ac:dyDescent="0.4">
      <c r="A230">
        <v>236</v>
      </c>
      <c r="B230" t="s">
        <v>55</v>
      </c>
      <c r="C230" t="s">
        <v>20</v>
      </c>
      <c r="D230" t="s">
        <v>126</v>
      </c>
    </row>
    <row r="231" spans="1:4" x14ac:dyDescent="0.4">
      <c r="A231">
        <v>237</v>
      </c>
      <c r="B231" t="s">
        <v>55</v>
      </c>
      <c r="C231" t="s">
        <v>21</v>
      </c>
      <c r="D231" t="s">
        <v>126</v>
      </c>
    </row>
    <row r="232" spans="1:4" x14ac:dyDescent="0.4">
      <c r="A232">
        <v>238</v>
      </c>
      <c r="B232" t="s">
        <v>55</v>
      </c>
      <c r="C232" t="s">
        <v>22</v>
      </c>
      <c r="D232" t="s">
        <v>126</v>
      </c>
    </row>
    <row r="233" spans="1:4" x14ac:dyDescent="0.4">
      <c r="A233">
        <v>239</v>
      </c>
      <c r="B233" t="s">
        <v>57</v>
      </c>
      <c r="C233" t="s">
        <v>11</v>
      </c>
      <c r="D233" t="s">
        <v>127</v>
      </c>
    </row>
    <row r="234" spans="1:4" x14ac:dyDescent="0.4">
      <c r="A234">
        <v>240</v>
      </c>
      <c r="B234" t="s">
        <v>57</v>
      </c>
      <c r="C234" t="s">
        <v>13</v>
      </c>
      <c r="D234" t="s">
        <v>127</v>
      </c>
    </row>
    <row r="235" spans="1:4" x14ac:dyDescent="0.4">
      <c r="A235">
        <v>241</v>
      </c>
      <c r="B235" t="s">
        <v>57</v>
      </c>
      <c r="C235" t="s">
        <v>14</v>
      </c>
      <c r="D235" t="s">
        <v>127</v>
      </c>
    </row>
    <row r="236" spans="1:4" x14ac:dyDescent="0.4">
      <c r="A236">
        <v>242</v>
      </c>
      <c r="B236" t="s">
        <v>57</v>
      </c>
      <c r="C236" t="s">
        <v>15</v>
      </c>
      <c r="D236" t="s">
        <v>127</v>
      </c>
    </row>
    <row r="237" spans="1:4" x14ac:dyDescent="0.4">
      <c r="A237">
        <v>243</v>
      </c>
      <c r="B237" t="s">
        <v>57</v>
      </c>
      <c r="C237" t="s">
        <v>16</v>
      </c>
      <c r="D237" t="s">
        <v>127</v>
      </c>
    </row>
    <row r="238" spans="1:4" x14ac:dyDescent="0.4">
      <c r="A238">
        <v>244</v>
      </c>
      <c r="B238" t="s">
        <v>57</v>
      </c>
      <c r="C238" t="s">
        <v>17</v>
      </c>
      <c r="D238" t="s">
        <v>127</v>
      </c>
    </row>
    <row r="239" spans="1:4" x14ac:dyDescent="0.4">
      <c r="A239">
        <v>245</v>
      </c>
      <c r="B239" t="s">
        <v>57</v>
      </c>
      <c r="C239" t="s">
        <v>18</v>
      </c>
      <c r="D239" t="s">
        <v>127</v>
      </c>
    </row>
    <row r="240" spans="1:4" x14ac:dyDescent="0.4">
      <c r="A240">
        <v>246</v>
      </c>
      <c r="B240" t="s">
        <v>57</v>
      </c>
      <c r="C240" t="s">
        <v>19</v>
      </c>
      <c r="D240" t="s">
        <v>127</v>
      </c>
    </row>
    <row r="241" spans="1:4" x14ac:dyDescent="0.4">
      <c r="A241">
        <v>247</v>
      </c>
      <c r="B241" t="s">
        <v>57</v>
      </c>
      <c r="C241" t="s">
        <v>20</v>
      </c>
      <c r="D241" t="s">
        <v>127</v>
      </c>
    </row>
    <row r="242" spans="1:4" x14ac:dyDescent="0.4">
      <c r="A242">
        <v>248</v>
      </c>
      <c r="B242" t="s">
        <v>57</v>
      </c>
      <c r="C242" t="s">
        <v>21</v>
      </c>
      <c r="D242" t="s">
        <v>127</v>
      </c>
    </row>
    <row r="243" spans="1:4" x14ac:dyDescent="0.4">
      <c r="A243">
        <v>249</v>
      </c>
      <c r="B243" t="s">
        <v>57</v>
      </c>
      <c r="C243" t="s">
        <v>22</v>
      </c>
      <c r="D243" t="s">
        <v>127</v>
      </c>
    </row>
    <row r="244" spans="1:4" x14ac:dyDescent="0.4">
      <c r="A244">
        <v>250</v>
      </c>
      <c r="B244" t="s">
        <v>59</v>
      </c>
      <c r="C244" t="s">
        <v>11</v>
      </c>
      <c r="D244" t="s">
        <v>128</v>
      </c>
    </row>
    <row r="245" spans="1:4" x14ac:dyDescent="0.4">
      <c r="A245">
        <v>251</v>
      </c>
      <c r="B245" t="s">
        <v>59</v>
      </c>
      <c r="C245" t="s">
        <v>13</v>
      </c>
      <c r="D245" t="s">
        <v>128</v>
      </c>
    </row>
    <row r="246" spans="1:4" x14ac:dyDescent="0.4">
      <c r="A246">
        <v>252</v>
      </c>
      <c r="B246" t="s">
        <v>59</v>
      </c>
      <c r="C246" t="s">
        <v>14</v>
      </c>
      <c r="D246" t="s">
        <v>128</v>
      </c>
    </row>
    <row r="247" spans="1:4" x14ac:dyDescent="0.4">
      <c r="A247">
        <v>253</v>
      </c>
      <c r="B247" t="s">
        <v>59</v>
      </c>
      <c r="C247" t="s">
        <v>15</v>
      </c>
      <c r="D247" t="s">
        <v>128</v>
      </c>
    </row>
    <row r="248" spans="1:4" x14ac:dyDescent="0.4">
      <c r="A248">
        <v>254</v>
      </c>
      <c r="B248" t="s">
        <v>59</v>
      </c>
      <c r="C248" t="s">
        <v>16</v>
      </c>
      <c r="D248" t="s">
        <v>128</v>
      </c>
    </row>
    <row r="249" spans="1:4" x14ac:dyDescent="0.4">
      <c r="A249">
        <v>255</v>
      </c>
      <c r="B249" t="s">
        <v>59</v>
      </c>
      <c r="C249" t="s">
        <v>17</v>
      </c>
      <c r="D249" t="s">
        <v>128</v>
      </c>
    </row>
    <row r="250" spans="1:4" x14ac:dyDescent="0.4">
      <c r="A250">
        <v>256</v>
      </c>
      <c r="B250" t="s">
        <v>59</v>
      </c>
      <c r="C250" t="s">
        <v>18</v>
      </c>
      <c r="D250" t="s">
        <v>128</v>
      </c>
    </row>
    <row r="251" spans="1:4" x14ac:dyDescent="0.4">
      <c r="A251">
        <v>257</v>
      </c>
      <c r="B251" t="s">
        <v>59</v>
      </c>
      <c r="C251" t="s">
        <v>19</v>
      </c>
      <c r="D251" t="s">
        <v>128</v>
      </c>
    </row>
    <row r="252" spans="1:4" x14ac:dyDescent="0.4">
      <c r="A252">
        <v>258</v>
      </c>
      <c r="B252" t="s">
        <v>59</v>
      </c>
      <c r="C252" t="s">
        <v>20</v>
      </c>
      <c r="D252" t="s">
        <v>128</v>
      </c>
    </row>
    <row r="253" spans="1:4" x14ac:dyDescent="0.4">
      <c r="A253">
        <v>259</v>
      </c>
      <c r="B253" t="s">
        <v>59</v>
      </c>
      <c r="C253" t="s">
        <v>21</v>
      </c>
      <c r="D253" t="s">
        <v>128</v>
      </c>
    </row>
    <row r="254" spans="1:4" x14ac:dyDescent="0.4">
      <c r="A254">
        <v>260</v>
      </c>
      <c r="B254" t="s">
        <v>59</v>
      </c>
      <c r="C254" t="s">
        <v>22</v>
      </c>
      <c r="D254" t="s">
        <v>128</v>
      </c>
    </row>
    <row r="255" spans="1:4" x14ac:dyDescent="0.4">
      <c r="A255">
        <v>261</v>
      </c>
      <c r="B255" t="s">
        <v>61</v>
      </c>
      <c r="C255" t="s">
        <v>11</v>
      </c>
      <c r="D255" t="s">
        <v>129</v>
      </c>
    </row>
    <row r="256" spans="1:4" x14ac:dyDescent="0.4">
      <c r="A256">
        <v>262</v>
      </c>
      <c r="B256" t="s">
        <v>61</v>
      </c>
      <c r="C256" t="s">
        <v>13</v>
      </c>
      <c r="D256" t="s">
        <v>129</v>
      </c>
    </row>
    <row r="257" spans="1:4" x14ac:dyDescent="0.4">
      <c r="A257">
        <v>263</v>
      </c>
      <c r="B257" t="s">
        <v>61</v>
      </c>
      <c r="C257" t="s">
        <v>14</v>
      </c>
      <c r="D257" t="s">
        <v>129</v>
      </c>
    </row>
    <row r="258" spans="1:4" x14ac:dyDescent="0.4">
      <c r="A258">
        <v>264</v>
      </c>
      <c r="B258" t="s">
        <v>61</v>
      </c>
      <c r="C258" t="s">
        <v>15</v>
      </c>
      <c r="D258" t="s">
        <v>129</v>
      </c>
    </row>
    <row r="259" spans="1:4" x14ac:dyDescent="0.4">
      <c r="A259">
        <v>265</v>
      </c>
      <c r="B259" t="s">
        <v>61</v>
      </c>
      <c r="C259" t="s">
        <v>16</v>
      </c>
      <c r="D259" t="s">
        <v>129</v>
      </c>
    </row>
    <row r="260" spans="1:4" x14ac:dyDescent="0.4">
      <c r="A260">
        <v>266</v>
      </c>
      <c r="B260" t="s">
        <v>61</v>
      </c>
      <c r="C260" t="s">
        <v>17</v>
      </c>
      <c r="D260" t="s">
        <v>129</v>
      </c>
    </row>
    <row r="261" spans="1:4" x14ac:dyDescent="0.4">
      <c r="A261">
        <v>267</v>
      </c>
      <c r="B261" t="s">
        <v>61</v>
      </c>
      <c r="C261" t="s">
        <v>18</v>
      </c>
      <c r="D261" t="s">
        <v>129</v>
      </c>
    </row>
    <row r="262" spans="1:4" x14ac:dyDescent="0.4">
      <c r="A262">
        <v>268</v>
      </c>
      <c r="B262" t="s">
        <v>61</v>
      </c>
      <c r="C262" t="s">
        <v>19</v>
      </c>
      <c r="D262" t="s">
        <v>129</v>
      </c>
    </row>
    <row r="263" spans="1:4" x14ac:dyDescent="0.4">
      <c r="A263">
        <v>269</v>
      </c>
      <c r="B263" t="s">
        <v>61</v>
      </c>
      <c r="C263" t="s">
        <v>20</v>
      </c>
      <c r="D263" t="s">
        <v>129</v>
      </c>
    </row>
    <row r="264" spans="1:4" x14ac:dyDescent="0.4">
      <c r="A264">
        <v>270</v>
      </c>
      <c r="B264" t="s">
        <v>61</v>
      </c>
      <c r="C264" t="s">
        <v>21</v>
      </c>
      <c r="D264" t="s">
        <v>129</v>
      </c>
    </row>
    <row r="265" spans="1:4" x14ac:dyDescent="0.4">
      <c r="A265">
        <v>271</v>
      </c>
      <c r="B265" t="s">
        <v>61</v>
      </c>
      <c r="C265" t="s">
        <v>22</v>
      </c>
      <c r="D265" t="s">
        <v>129</v>
      </c>
    </row>
    <row r="266" spans="1:4" x14ac:dyDescent="0.4">
      <c r="A266">
        <v>272</v>
      </c>
      <c r="B266" t="s">
        <v>63</v>
      </c>
      <c r="C266" t="s">
        <v>11</v>
      </c>
      <c r="D266" t="s">
        <v>130</v>
      </c>
    </row>
    <row r="267" spans="1:4" x14ac:dyDescent="0.4">
      <c r="A267">
        <v>273</v>
      </c>
      <c r="B267" t="s">
        <v>63</v>
      </c>
      <c r="C267" t="s">
        <v>13</v>
      </c>
      <c r="D267" t="s">
        <v>130</v>
      </c>
    </row>
    <row r="268" spans="1:4" x14ac:dyDescent="0.4">
      <c r="A268">
        <v>274</v>
      </c>
      <c r="B268" t="s">
        <v>63</v>
      </c>
      <c r="C268" t="s">
        <v>14</v>
      </c>
      <c r="D268" t="s">
        <v>130</v>
      </c>
    </row>
    <row r="269" spans="1:4" x14ac:dyDescent="0.4">
      <c r="A269">
        <v>275</v>
      </c>
      <c r="B269" t="s">
        <v>63</v>
      </c>
      <c r="C269" t="s">
        <v>15</v>
      </c>
      <c r="D269" t="s">
        <v>130</v>
      </c>
    </row>
    <row r="270" spans="1:4" x14ac:dyDescent="0.4">
      <c r="A270">
        <v>276</v>
      </c>
      <c r="B270" t="s">
        <v>63</v>
      </c>
      <c r="C270" t="s">
        <v>16</v>
      </c>
      <c r="D270" t="s">
        <v>130</v>
      </c>
    </row>
    <row r="271" spans="1:4" x14ac:dyDescent="0.4">
      <c r="A271">
        <v>277</v>
      </c>
      <c r="B271" t="s">
        <v>63</v>
      </c>
      <c r="C271" t="s">
        <v>17</v>
      </c>
      <c r="D271" t="s">
        <v>130</v>
      </c>
    </row>
    <row r="272" spans="1:4" x14ac:dyDescent="0.4">
      <c r="A272">
        <v>278</v>
      </c>
      <c r="B272" t="s">
        <v>63</v>
      </c>
      <c r="C272" t="s">
        <v>18</v>
      </c>
      <c r="D272" t="s">
        <v>130</v>
      </c>
    </row>
    <row r="273" spans="1:4" x14ac:dyDescent="0.4">
      <c r="A273">
        <v>279</v>
      </c>
      <c r="B273" t="s">
        <v>63</v>
      </c>
      <c r="C273" t="s">
        <v>19</v>
      </c>
      <c r="D273" t="s">
        <v>130</v>
      </c>
    </row>
    <row r="274" spans="1:4" x14ac:dyDescent="0.4">
      <c r="A274">
        <v>280</v>
      </c>
      <c r="B274" t="s">
        <v>63</v>
      </c>
      <c r="C274" t="s">
        <v>20</v>
      </c>
      <c r="D274" t="s">
        <v>130</v>
      </c>
    </row>
    <row r="275" spans="1:4" x14ac:dyDescent="0.4">
      <c r="A275">
        <v>281</v>
      </c>
      <c r="B275" t="s">
        <v>63</v>
      </c>
      <c r="C275" t="s">
        <v>21</v>
      </c>
      <c r="D275" t="s">
        <v>130</v>
      </c>
    </row>
    <row r="276" spans="1:4" x14ac:dyDescent="0.4">
      <c r="A276">
        <v>282</v>
      </c>
      <c r="B276" t="s">
        <v>63</v>
      </c>
      <c r="C276" t="s">
        <v>22</v>
      </c>
      <c r="D276" t="s">
        <v>130</v>
      </c>
    </row>
    <row r="277" spans="1:4" x14ac:dyDescent="0.4">
      <c r="A277">
        <v>284</v>
      </c>
      <c r="B277" t="s">
        <v>53</v>
      </c>
      <c r="C277" t="s">
        <v>44</v>
      </c>
      <c r="D277" t="s">
        <v>125</v>
      </c>
    </row>
    <row r="278" spans="1:4" x14ac:dyDescent="0.4">
      <c r="A278">
        <v>285</v>
      </c>
      <c r="B278" t="s">
        <v>55</v>
      </c>
      <c r="C278" t="s">
        <v>44</v>
      </c>
      <c r="D278" t="s">
        <v>126</v>
      </c>
    </row>
    <row r="279" spans="1:4" x14ac:dyDescent="0.4">
      <c r="A279">
        <v>286</v>
      </c>
      <c r="B279" t="s">
        <v>57</v>
      </c>
      <c r="C279" t="s">
        <v>44</v>
      </c>
      <c r="D279" t="s">
        <v>127</v>
      </c>
    </row>
    <row r="280" spans="1:4" x14ac:dyDescent="0.4">
      <c r="A280">
        <v>287</v>
      </c>
      <c r="B280" t="s">
        <v>59</v>
      </c>
      <c r="C280" t="s">
        <v>44</v>
      </c>
      <c r="D280" t="s">
        <v>128</v>
      </c>
    </row>
    <row r="281" spans="1:4" x14ac:dyDescent="0.4">
      <c r="A281">
        <v>288</v>
      </c>
      <c r="B281" t="s">
        <v>61</v>
      </c>
      <c r="C281" t="s">
        <v>44</v>
      </c>
      <c r="D281" t="s">
        <v>129</v>
      </c>
    </row>
    <row r="282" spans="1:4" x14ac:dyDescent="0.4">
      <c r="A282">
        <v>289</v>
      </c>
      <c r="B282" t="s">
        <v>63</v>
      </c>
      <c r="C282" t="s">
        <v>44</v>
      </c>
      <c r="D282" t="s">
        <v>130</v>
      </c>
    </row>
    <row r="283" spans="1:4" x14ac:dyDescent="0.4">
      <c r="A283">
        <v>291</v>
      </c>
      <c r="B283" t="s">
        <v>73</v>
      </c>
      <c r="C283" t="s">
        <v>74</v>
      </c>
      <c r="D283" t="s">
        <v>131</v>
      </c>
    </row>
    <row r="284" spans="1:4" x14ac:dyDescent="0.4">
      <c r="A284">
        <v>292</v>
      </c>
      <c r="B284" t="s">
        <v>76</v>
      </c>
      <c r="C284" t="s">
        <v>74</v>
      </c>
      <c r="D284" t="s">
        <v>132</v>
      </c>
    </row>
    <row r="285" spans="1:4" x14ac:dyDescent="0.4">
      <c r="A285">
        <v>293</v>
      </c>
      <c r="B285" t="s">
        <v>78</v>
      </c>
      <c r="C285" t="s">
        <v>74</v>
      </c>
      <c r="D285" t="s">
        <v>133</v>
      </c>
    </row>
    <row r="286" spans="1:4" x14ac:dyDescent="0.4">
      <c r="A286">
        <v>294</v>
      </c>
      <c r="B286" t="s">
        <v>80</v>
      </c>
      <c r="C286" t="s">
        <v>74</v>
      </c>
      <c r="D286" t="s">
        <v>134</v>
      </c>
    </row>
    <row r="287" spans="1:4" x14ac:dyDescent="0.4">
      <c r="A287">
        <v>295</v>
      </c>
      <c r="B287" t="s">
        <v>82</v>
      </c>
      <c r="C287" t="s">
        <v>83</v>
      </c>
      <c r="D287" t="s">
        <v>135</v>
      </c>
    </row>
    <row r="288" spans="1:4" x14ac:dyDescent="0.4">
      <c r="A288">
        <v>297</v>
      </c>
      <c r="B288" t="s">
        <v>86</v>
      </c>
      <c r="C288" t="s">
        <v>74</v>
      </c>
      <c r="D288" t="s">
        <v>136</v>
      </c>
    </row>
    <row r="289" spans="1:4" x14ac:dyDescent="0.4">
      <c r="A289">
        <v>298</v>
      </c>
      <c r="B289" t="s">
        <v>88</v>
      </c>
      <c r="C289" t="s">
        <v>74</v>
      </c>
      <c r="D289" t="s">
        <v>137</v>
      </c>
    </row>
    <row r="290" spans="1:4" x14ac:dyDescent="0.4">
      <c r="A290">
        <v>299</v>
      </c>
      <c r="B290" t="s">
        <v>90</v>
      </c>
      <c r="C290" t="s">
        <v>74</v>
      </c>
      <c r="D290" t="s">
        <v>138</v>
      </c>
    </row>
    <row r="291" spans="1:4" x14ac:dyDescent="0.4">
      <c r="A291">
        <v>301</v>
      </c>
      <c r="B291" t="s">
        <v>93</v>
      </c>
      <c r="C291" t="s">
        <v>74</v>
      </c>
      <c r="D291" t="s">
        <v>139</v>
      </c>
    </row>
    <row r="292" spans="1:4" x14ac:dyDescent="0.4">
      <c r="A292">
        <v>302</v>
      </c>
      <c r="B292" t="s">
        <v>95</v>
      </c>
      <c r="C292" t="s">
        <v>74</v>
      </c>
      <c r="D292" t="s">
        <v>140</v>
      </c>
    </row>
    <row r="293" spans="1:4" x14ac:dyDescent="0.4">
      <c r="A293">
        <v>303</v>
      </c>
      <c r="B293" t="s">
        <v>97</v>
      </c>
      <c r="C293" t="s">
        <v>74</v>
      </c>
      <c r="D293" t="s">
        <v>141</v>
      </c>
    </row>
    <row r="294" spans="1:4" x14ac:dyDescent="0.4">
      <c r="A294">
        <v>304</v>
      </c>
      <c r="B294" t="s">
        <v>99</v>
      </c>
      <c r="C294" t="s">
        <v>74</v>
      </c>
      <c r="D294" t="s">
        <v>142</v>
      </c>
    </row>
    <row r="295" spans="1:4" x14ac:dyDescent="0.4">
      <c r="A295">
        <v>305</v>
      </c>
      <c r="B295" t="s">
        <v>101</v>
      </c>
      <c r="C295" t="s">
        <v>74</v>
      </c>
      <c r="D295" t="s">
        <v>143</v>
      </c>
    </row>
    <row r="296" spans="1:4" x14ac:dyDescent="0.4">
      <c r="A296">
        <v>306</v>
      </c>
      <c r="B296" t="s">
        <v>103</v>
      </c>
      <c r="C296" t="s">
        <v>74</v>
      </c>
      <c r="D296" t="s">
        <v>144</v>
      </c>
    </row>
    <row r="297" spans="1:4" x14ac:dyDescent="0.4">
      <c r="A297">
        <v>308</v>
      </c>
      <c r="B297" t="s">
        <v>106</v>
      </c>
      <c r="C297" t="s">
        <v>11</v>
      </c>
      <c r="D297" t="s">
        <v>145</v>
      </c>
    </row>
    <row r="298" spans="1:4" x14ac:dyDescent="0.4">
      <c r="A298">
        <v>309</v>
      </c>
      <c r="B298" t="s">
        <v>108</v>
      </c>
      <c r="C298" t="s">
        <v>44</v>
      </c>
      <c r="D298" t="s">
        <v>145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CIQ_Data</vt:lpstr>
      <vt:lpstr>_RowMap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Yu29 Zhang</cp:lastModifiedBy>
  <dcterms:created xsi:type="dcterms:W3CDTF">2026-03-20T09:12:33Z</dcterms:created>
  <dcterms:modified xsi:type="dcterms:W3CDTF">2026-04-28T09:21:25Z</dcterms:modified>
</cp:coreProperties>
</file>