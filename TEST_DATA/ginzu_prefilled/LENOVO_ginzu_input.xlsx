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comments/comment3.xml" ContentType="application/vnd.openxmlformats-officedocument.spreadsheetml.comments+xml"/>
  <Override PartName="/xl/worksheets/sheet10.xml" ContentType="application/vnd.openxmlformats-officedocument.spreadsheetml.worksheet+xml"/>
  <Override PartName="/xl/comments/comment4.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comments/comment5.xml" ContentType="application/vnd.openxmlformats-officedocument.spreadsheetml.comments+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date1904="1" codeName="ThisWorkbook"/>
  <bookViews>
    <workbookView visibility="visible" minimized="0" showHorizontalScroll="1" showVerticalScroll="1" showSheetTabs="1" xWindow="0" yWindow="500" windowWidth="38400" windowHeight="23500" tabRatio="772" firstSheet="0" activeTab="0" autoFilterDateGrouping="1"/>
  </bookViews>
  <sheets>
    <sheet name="Input sheet" sheetId="1" state="visible" r:id="rId1"/>
    <sheet name="Valuation output" sheetId="2" state="visible" r:id="rId2"/>
    <sheet name="Stories to Numbers" sheetId="3" state="visible" r:id="rId3"/>
    <sheet name="Valuation as picture" sheetId="4" state="visible" r:id="rId4"/>
    <sheet name="Diagnostics" sheetId="5" state="visible" r:id="rId5"/>
    <sheet name="Option value" sheetId="6" state="visible" r:id="rId6"/>
    <sheet name="Operating lease converter" sheetId="7" state="visible" r:id="rId7"/>
    <sheet name="Synthetic rating" sheetId="8" state="visible" r:id="rId8"/>
    <sheet name="R&amp; D converter" sheetId="9" state="visible" r:id="rId9"/>
    <sheet name="Cost of capital worksheet" sheetId="10" state="visible" r:id="rId10"/>
    <sheet name="Failure Rate worksheet" sheetId="11" state="visible" r:id="rId11"/>
    <sheet name="Summary Sheet" sheetId="12" state="visible" r:id="rId12"/>
    <sheet name="Country equity risk premiums" sheetId="13" state="visible" r:id="rId13"/>
    <sheet name="Industry Averages(US)" sheetId="14" state="visible" r:id="rId14"/>
    <sheet name="Input Stat Distributioons" sheetId="15" state="visible" r:id="rId15"/>
    <sheet name="Industry Average Beta (Global)" sheetId="16" state="visible" r:id="rId16"/>
    <sheet name="Trailing 12 month" sheetId="17" state="visible" r:id="rId17"/>
    <sheet name="Answer keys" sheetId="18" state="visible" r:id="rId18"/>
  </sheets>
  <definedNames/>
  <calcPr calcId="191029" fullCalcOnLoad="1" iterate="1"/>
</workbook>
</file>

<file path=xl/styles.xml><?xml version="1.0" encoding="utf-8"?>
<styleSheet xmlns="http://schemas.openxmlformats.org/spreadsheetml/2006/main">
  <numFmts count="15">
    <numFmt numFmtId="164" formatCode="_(&quot;$&quot;* #,##0.00_);_(&quot;$&quot;* \(#,##0.00\);_(&quot;$&quot;* &quot;-&quot;??_);_(@_)"/>
    <numFmt numFmtId="165" formatCode="&quot;$&quot;#,##0.00_);[Red]\(&quot;$&quot;#,##0.00\)"/>
    <numFmt numFmtId="166" formatCode="0.0000%"/>
    <numFmt numFmtId="167" formatCode="_([$$-409]* #,##0.00_);_([$$-409]* \(#,##0.00\);_([$$-409]* &quot;-&quot;??_);_(@_)"/>
    <numFmt numFmtId="168" formatCode="0.0000"/>
    <numFmt numFmtId="169" formatCode="&quot;$&quot;#,##0.00"/>
    <numFmt numFmtId="170" formatCode="0.000%"/>
    <numFmt numFmtId="171" formatCode="_(&quot;$&quot;* #,##0_);_(&quot;$&quot;* \(#,##0\);_(&quot;$&quot;* &quot;-&quot;??_);_(@_)"/>
    <numFmt numFmtId="172" formatCode="_(* #,##0.0_);_(* \(#,##0.0\)_)\ ;_(* 0_)"/>
    <numFmt numFmtId="173" formatCode="[$₩-412]#,##0.00"/>
    <numFmt numFmtId="174" formatCode="0.0%"/>
    <numFmt numFmtId="175" formatCode="#,##0.0000"/>
    <numFmt numFmtId="176" formatCode="&quot;$&quot;#,##0_);[Red]\(&quot;$&quot;#,##0\)"/>
    <numFmt numFmtId="177" formatCode="&quot;$&quot;#,##0"/>
    <numFmt numFmtId="178" formatCode="#,##0.00%"/>
  </numFmts>
  <fonts count="104">
    <font>
      <name val="Geneva"/>
      <family val="2"/>
      <sz val="9"/>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Geneva"/>
      <family val="2"/>
      <i val="1"/>
      <sz val="9"/>
    </font>
    <font>
      <name val="Geneva"/>
      <family val="2"/>
      <sz val="9"/>
    </font>
    <font>
      <name val="Geneva"/>
      <family val="2"/>
      <sz val="8"/>
    </font>
    <font>
      <name val="돋움"/>
      <family val="3"/>
      <sz val="8"/>
    </font>
    <font>
      <name val="Verdana"/>
      <family val="2"/>
      <sz val="8"/>
    </font>
    <font>
      <name val="Helv"/>
      <sz val="9"/>
    </font>
    <font>
      <name val="Arial"/>
      <family val="2"/>
      <sz val="12"/>
    </font>
    <font>
      <name val="Arial"/>
      <family val="2"/>
      <b val="1"/>
      <i val="1"/>
      <sz val="12"/>
    </font>
    <font>
      <name val="Times"/>
      <family val="1"/>
      <b val="1"/>
      <sz val="14"/>
    </font>
    <font>
      <name val="Times"/>
      <family val="1"/>
      <sz val="10"/>
    </font>
    <font>
      <name val="Times"/>
      <family val="1"/>
      <b val="1"/>
      <i val="1"/>
      <sz val="10"/>
    </font>
    <font>
      <name val="Times"/>
      <family val="1"/>
      <i val="1"/>
      <sz val="10"/>
    </font>
    <font>
      <name val="Geneva"/>
      <family val="2"/>
      <i val="1"/>
      <sz val="10"/>
    </font>
    <font>
      <name val="Times"/>
      <family val="1"/>
      <b val="1"/>
      <sz val="10"/>
    </font>
    <font>
      <name val="Geneva"/>
      <family val="2"/>
      <color indexed="81"/>
      <sz val="9"/>
    </font>
    <font>
      <name val="Geneva"/>
      <family val="2"/>
      <b val="1"/>
      <color indexed="81"/>
      <sz val="9"/>
    </font>
    <font>
      <name val="Times"/>
      <family val="1"/>
      <b val="1"/>
      <sz val="12"/>
    </font>
    <font>
      <name val="Geneva"/>
      <family val="2"/>
      <sz val="10"/>
    </font>
    <font>
      <name val="Times"/>
      <family val="1"/>
      <i val="1"/>
      <sz val="12"/>
    </font>
    <font>
      <name val="Times"/>
      <family val="1"/>
      <sz val="12"/>
    </font>
    <font>
      <name val="Helv"/>
      <sz val="10"/>
    </font>
    <font>
      <name val="Helv"/>
      <i val="1"/>
      <sz val="10"/>
    </font>
    <font>
      <name val="Times"/>
      <family val="1"/>
      <b val="1"/>
      <i val="1"/>
      <sz val="14"/>
    </font>
    <font>
      <name val="Times"/>
      <family val="1"/>
      <b val="1"/>
      <i val="1"/>
      <sz val="12"/>
    </font>
    <font>
      <name val="Geneva"/>
      <family val="2"/>
      <i val="1"/>
      <sz val="12"/>
    </font>
    <font>
      <name val="Geneva"/>
      <family val="2"/>
      <b val="1"/>
      <sz val="10"/>
    </font>
    <font>
      <name val="Arial"/>
      <family val="2"/>
      <sz val="10"/>
    </font>
    <font>
      <name val="Times"/>
      <family val="1"/>
      <i val="1"/>
      <sz val="14"/>
    </font>
    <font>
      <name val="Arial"/>
      <family val="2"/>
      <sz val="8"/>
    </font>
    <font>
      <name val="Calibri"/>
      <family val="2"/>
      <b val="1"/>
      <color theme="1"/>
      <sz val="12"/>
      <scheme val="minor"/>
    </font>
    <font>
      <name val="Calibri"/>
      <family val="2"/>
      <color rgb="FFFF0000"/>
      <sz val="12"/>
      <scheme val="minor"/>
    </font>
    <font>
      <name val="Calibri"/>
      <family val="2"/>
      <sz val="10"/>
      <scheme val="minor"/>
    </font>
    <font>
      <name val="Calibri"/>
      <family val="2"/>
      <i val="1"/>
      <color theme="1"/>
      <sz val="12"/>
      <scheme val="minor"/>
    </font>
    <font>
      <name val="Calibri"/>
      <family val="2"/>
      <sz val="12"/>
      <scheme val="minor"/>
    </font>
    <font>
      <name val="Calibri"/>
      <family val="2"/>
      <sz val="9"/>
      <scheme val="minor"/>
    </font>
    <font>
      <name val="Calibri"/>
      <family val="2"/>
      <b val="1"/>
      <i val="1"/>
      <color theme="1"/>
      <sz val="12"/>
      <scheme val="minor"/>
    </font>
    <font>
      <name val="Calibri (Body)"/>
      <i val="1"/>
      <color rgb="FFFF0000"/>
      <sz val="12"/>
    </font>
    <font>
      <name val="Geneva"/>
      <family val="2"/>
      <i val="1"/>
      <color rgb="FFFF0000"/>
      <sz val="12"/>
    </font>
    <font>
      <name val="Calibri (Body)"/>
      <color rgb="FFFF0000"/>
      <sz val="12"/>
    </font>
    <font>
      <name val="Geneva"/>
      <family val="2"/>
      <b val="1"/>
      <color rgb="FF000000"/>
      <sz val="9"/>
    </font>
    <font>
      <name val="Geneva"/>
      <family val="2"/>
      <color rgb="FF000000"/>
      <sz val="9"/>
    </font>
    <font>
      <name val="Calibri"/>
      <family val="2"/>
      <b val="1"/>
      <color rgb="FF000000"/>
      <sz val="10"/>
    </font>
    <font>
      <name val="Calibri"/>
      <family val="2"/>
      <color rgb="FF000000"/>
      <sz val="10"/>
    </font>
    <font>
      <name val="Geneva"/>
      <family val="2"/>
      <b val="1"/>
      <sz val="9"/>
    </font>
    <font>
      <name val="Helvetica"/>
      <family val="2"/>
      <i val="1"/>
      <color rgb="FF000000"/>
      <sz val="12"/>
    </font>
    <font>
      <name val="Geneva"/>
      <charset val="1"/>
      <family val="2"/>
      <b val="1"/>
      <color rgb="FF000000"/>
      <sz val="9"/>
    </font>
    <font>
      <name val="Geneva"/>
      <charset val="1"/>
      <family val="2"/>
      <color rgb="FF000000"/>
      <sz val="9"/>
    </font>
    <font>
      <name val="Arial"/>
      <family val="2"/>
      <b val="1"/>
      <color rgb="FF0A0A0A"/>
      <sz val="12"/>
    </font>
    <font>
      <name val="Arial"/>
      <family val="2"/>
      <color rgb="FF0A0A0A"/>
      <sz val="12"/>
    </font>
    <font>
      <name val="Geneva"/>
      <charset val="1"/>
      <family val="2"/>
      <i val="1"/>
      <sz val="10"/>
    </font>
    <font>
      <name val="Geneva"/>
      <charset val="1"/>
      <family val="2"/>
      <i val="1"/>
      <sz val="9"/>
    </font>
    <font>
      <name val="Times"/>
      <sz val="10"/>
    </font>
    <font>
      <name val="Times"/>
      <sz val="12"/>
    </font>
    <font>
      <name val="Times"/>
      <i val="1"/>
      <sz val="14"/>
    </font>
    <font>
      <name val="Times"/>
      <b val="1"/>
      <sz val="12"/>
    </font>
    <font>
      <name val="Calibri"/>
      <family val="2"/>
      <sz val="12"/>
    </font>
    <font>
      <name val="Geneva"/>
      <family val="2"/>
      <sz val="12"/>
    </font>
    <font>
      <name val="Helvetica"/>
      <family val="2"/>
      <sz val="12"/>
    </font>
    <font>
      <name val="Helv"/>
      <sz val="12"/>
    </font>
    <font>
      <name val="Helv"/>
      <b val="1"/>
      <sz val="12"/>
    </font>
    <font>
      <name val="Helv"/>
      <b val="1"/>
      <color theme="1"/>
      <sz val="12"/>
    </font>
    <font>
      <name val="Helv"/>
      <i val="1"/>
      <color rgb="FF00B050"/>
      <sz val="12"/>
    </font>
    <font>
      <name val="Helv"/>
      <i val="1"/>
      <sz val="12"/>
    </font>
    <font>
      <name val="Helv"/>
      <i val="1"/>
      <color rgb="FFFF0000"/>
      <sz val="12"/>
    </font>
    <font>
      <name val="Helv"/>
      <color theme="1"/>
      <sz val="12"/>
    </font>
    <font>
      <name val="Helv"/>
      <b val="1"/>
      <i val="1"/>
      <sz val="12"/>
    </font>
    <font>
      <name val="Helv"/>
      <i val="1"/>
      <color theme="1"/>
      <sz val="12"/>
    </font>
    <font>
      <name val="Helvetica"/>
      <family val="2"/>
      <b val="1"/>
      <i val="1"/>
      <sz val="14"/>
    </font>
    <font>
      <name val="Helvetica"/>
      <family val="2"/>
      <b val="1"/>
      <i val="1"/>
      <sz val="18"/>
    </font>
    <font>
      <name val="Times Roman"/>
      <color theme="1"/>
      <sz val="12"/>
    </font>
    <font>
      <name val="Times Roman"/>
      <i val="1"/>
      <color theme="1"/>
      <sz val="12"/>
    </font>
    <font>
      <name val="Helvetica"/>
      <family val="2"/>
      <b val="1"/>
      <sz val="12"/>
    </font>
    <font>
      <name val="Times Roman"/>
      <b val="1"/>
      <color theme="1"/>
      <sz val="14"/>
    </font>
    <font>
      <name val="Arial"/>
      <family val="2"/>
      <b val="1"/>
      <sz val="12"/>
    </font>
    <font>
      <name val="Arial"/>
      <family val="2"/>
      <i val="1"/>
      <sz val="12"/>
    </font>
    <font>
      <name val="Helvetica"/>
      <family val="2"/>
      <b val="1"/>
      <sz val="10"/>
    </font>
    <font>
      <name val="Helvetica"/>
      <family val="2"/>
      <b val="1"/>
      <i val="1"/>
      <sz val="10"/>
    </font>
    <font>
      <name val="Helvetica"/>
      <family val="2"/>
      <sz val="10"/>
    </font>
    <font>
      <name val="Helvetica"/>
      <family val="2"/>
      <b val="1"/>
      <i val="1"/>
      <sz val="12"/>
    </font>
    <font>
      <name val="Helvetica"/>
      <family val="2"/>
      <color rgb="FFFF0000"/>
      <sz val="12"/>
    </font>
    <font>
      <name val="Helvetica"/>
      <family val="2"/>
      <b val="1"/>
      <sz val="14"/>
    </font>
    <font>
      <name val="Helvetica"/>
      <family val="2"/>
      <i val="1"/>
      <sz val="12"/>
    </font>
    <font>
      <name val="Helvetica"/>
      <family val="2"/>
      <sz val="9"/>
    </font>
    <font>
      <name val="Helvetica"/>
      <family val="2"/>
      <i val="1"/>
      <sz val="10"/>
    </font>
    <font>
      <name val="Helvetica"/>
      <family val="2"/>
      <b val="1"/>
      <color rgb="FF0A0A0A"/>
      <sz val="12"/>
    </font>
    <font>
      <name val="Helvetica"/>
      <family val="2"/>
      <color rgb="FF0A0A0A"/>
      <sz val="12"/>
    </font>
    <font>
      <name val="Helvetica"/>
      <family val="2"/>
      <b val="1"/>
      <sz val="9"/>
    </font>
    <font>
      <name val="Helvetica"/>
      <family val="2"/>
      <color theme="0"/>
      <sz val="10"/>
    </font>
    <font>
      <name val="Helvetica"/>
      <family val="2"/>
      <color rgb="FFFF0000"/>
      <sz val="10"/>
    </font>
    <font>
      <name val="Helvetica"/>
      <family val="2"/>
      <b val="1"/>
      <i val="1"/>
      <sz val="10"/>
      <u val="single"/>
    </font>
    <font>
      <name val="Helvetica"/>
      <family val="2"/>
      <color theme="1"/>
      <sz val="12"/>
    </font>
    <font>
      <name val="Helvetica"/>
      <family val="2"/>
      <i val="1"/>
      <color theme="1"/>
      <sz val="12"/>
    </font>
    <font>
      <name val="Times New Roman"/>
      <family val="1"/>
      <sz val="12"/>
    </font>
    <font>
      <name val="Times New Roman"/>
      <family val="1"/>
      <i val="1"/>
      <sz val="12"/>
    </font>
    <font>
      <name val="Calibri"/>
      <family val="2"/>
      <i val="1"/>
      <sz val="12"/>
      <scheme val="minor"/>
    </font>
    <font>
      <name val="Calibri"/>
      <family val="2"/>
      <color rgb="FF000000"/>
      <sz val="12"/>
      <scheme val="minor"/>
    </font>
    <font>
      <name val="Calibri"/>
      <family val="2"/>
      <color rgb="FF000000"/>
      <sz val="12"/>
    </font>
    <font>
      <name val="Arial"/>
      <family val="2"/>
      <color indexed="8"/>
      <sz val="12"/>
    </font>
  </fonts>
  <fills count="12">
    <fill>
      <patternFill/>
    </fill>
    <fill>
      <patternFill patternType="gray125"/>
    </fill>
    <fill>
      <patternFill patternType="solid">
        <fgColor indexed="42"/>
        <bgColor indexed="64"/>
      </patternFill>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CCFFCC"/>
        <bgColor indexed="64"/>
      </patternFill>
    </fill>
    <fill>
      <patternFill patternType="solid">
        <fgColor rgb="FFFFFF00"/>
        <bgColor rgb="FF000000"/>
      </patternFill>
    </fill>
    <fill>
      <patternFill patternType="solid">
        <fgColor rgb="FFFFFFFF"/>
        <bgColor rgb="FF000000"/>
      </patternFill>
    </fill>
    <fill>
      <patternFill patternType="solid">
        <fgColor theme="0" tint="-0.1499984740745262"/>
        <bgColor indexed="64"/>
      </patternFill>
    </fill>
    <fill>
      <patternFill patternType="solid">
        <fgColor theme="2"/>
        <bgColor indexed="64"/>
      </patternFill>
    </fill>
    <fill>
      <patternFill patternType="solid">
        <fgColor theme="1"/>
        <bgColor indexed="64"/>
      </patternFill>
    </fill>
  </fills>
  <borders count="59">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thin">
        <color indexed="64"/>
      </left>
      <right/>
      <top/>
      <bottom/>
      <diagonal/>
    </border>
    <border>
      <left/>
      <right style="thin">
        <color indexed="64"/>
      </right>
      <top/>
      <bottom/>
      <diagonal/>
    </border>
    <border>
      <left style="medium">
        <color indexed="64"/>
      </left>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right style="medium">
        <color indexed="64"/>
      </right>
      <top/>
      <bottom style="medium">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thin">
        <color indexed="64"/>
      </top>
      <bottom style="medium">
        <color indexed="64"/>
      </bottom>
      <diagonal/>
    </border>
    <border>
      <left style="medium">
        <color indexed="64"/>
      </left>
      <right style="thin">
        <color indexed="64"/>
      </right>
      <top style="thin">
        <color indexed="64"/>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diagonal/>
    </border>
    <border>
      <left style="medium">
        <color indexed="64"/>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theme="1"/>
      </left>
      <right style="thin">
        <color theme="1"/>
      </right>
      <top style="thin">
        <color theme="1"/>
      </top>
      <bottom style="thin">
        <color theme="1"/>
      </bottom>
      <diagonal/>
    </border>
    <border>
      <left style="thin">
        <color indexed="64"/>
      </left>
      <right style="medium">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4">
    <xf numFmtId="0" fontId="7" fillId="0" borderId="0"/>
    <xf numFmtId="43" fontId="7" fillId="0" borderId="0"/>
    <xf numFmtId="44" fontId="7" fillId="0" borderId="0"/>
    <xf numFmtId="9" fontId="7" fillId="0" borderId="0"/>
  </cellStyleXfs>
  <cellXfs count="875">
    <xf numFmtId="0" fontId="0" fillId="0" borderId="0" pivotButton="0" quotePrefix="0" xfId="0"/>
    <xf numFmtId="0" fontId="0" fillId="0" borderId="1" pivotButton="0" quotePrefix="0" xfId="0"/>
    <xf numFmtId="0" fontId="6" fillId="0" borderId="0" pivotButton="0" quotePrefix="0" xfId="0"/>
    <xf numFmtId="10" fontId="0" fillId="0" borderId="1" applyAlignment="1" pivotButton="0" quotePrefix="0" xfId="0">
      <alignment horizontal="center"/>
    </xf>
    <xf numFmtId="0" fontId="11" fillId="0" borderId="0" pivotButton="0" quotePrefix="0" xfId="0"/>
    <xf numFmtId="0" fontId="12" fillId="0" borderId="0" pivotButton="0" quotePrefix="0" xfId="0"/>
    <xf numFmtId="0" fontId="14" fillId="0" borderId="0" pivotButton="0" quotePrefix="0" xfId="0"/>
    <xf numFmtId="0" fontId="15" fillId="0" borderId="0" pivotButton="0" quotePrefix="0" xfId="0"/>
    <xf numFmtId="164" fontId="15" fillId="2" borderId="1" pivotButton="0" quotePrefix="0" xfId="2"/>
    <xf numFmtId="0" fontId="16" fillId="0" borderId="0" pivotButton="0" quotePrefix="0" xfId="0"/>
    <xf numFmtId="0" fontId="17" fillId="0" borderId="0" pivotButton="0" quotePrefix="0" xfId="0"/>
    <xf numFmtId="0" fontId="18" fillId="0" borderId="0" pivotButton="0" quotePrefix="0" xfId="0"/>
    <xf numFmtId="0" fontId="19" fillId="0" borderId="0" pivotButton="0" quotePrefix="0" xfId="0"/>
    <xf numFmtId="0" fontId="15" fillId="0" borderId="1" pivotButton="0" quotePrefix="0" xfId="0"/>
    <xf numFmtId="10" fontId="15" fillId="0" borderId="1" pivotButton="0" quotePrefix="0" xfId="0"/>
    <xf numFmtId="164" fontId="15" fillId="2" borderId="1" pivotButton="0" quotePrefix="0" xfId="0"/>
    <xf numFmtId="0" fontId="14" fillId="0" borderId="0" applyAlignment="1" pivotButton="0" quotePrefix="0" xfId="0">
      <alignment horizontal="centerContinuous"/>
    </xf>
    <xf numFmtId="0" fontId="15" fillId="0" borderId="1" applyAlignment="1" pivotButton="0" quotePrefix="0" xfId="0">
      <alignment horizontal="center"/>
    </xf>
    <xf numFmtId="0" fontId="22" fillId="0" borderId="0" pivotButton="0" quotePrefix="0" xfId="0"/>
    <xf numFmtId="0" fontId="15" fillId="0" borderId="2" pivotButton="0" quotePrefix="0" xfId="0"/>
    <xf numFmtId="164" fontId="15" fillId="3" borderId="1" pivotButton="0" quotePrefix="0" xfId="2"/>
    <xf numFmtId="164" fontId="15" fillId="0" borderId="0" pivotButton="0" quotePrefix="0" xfId="2"/>
    <xf numFmtId="0" fontId="15" fillId="2" borderId="1" applyAlignment="1" pivotButton="0" quotePrefix="0" xfId="0">
      <alignment horizontal="center"/>
    </xf>
    <xf numFmtId="0" fontId="15" fillId="0" borderId="3" pivotButton="0" quotePrefix="0" xfId="0"/>
    <xf numFmtId="164" fontId="15" fillId="2" borderId="3" pivotButton="0" quotePrefix="0" xfId="0"/>
    <xf numFmtId="164" fontId="15" fillId="2" borderId="3" pivotButton="0" quotePrefix="0" xfId="2"/>
    <xf numFmtId="0" fontId="15" fillId="2" borderId="2" pivotButton="0" quotePrefix="0" xfId="0"/>
    <xf numFmtId="164" fontId="15" fillId="2" borderId="2" pivotButton="0" quotePrefix="0" xfId="0"/>
    <xf numFmtId="164" fontId="15" fillId="2" borderId="4" pivotButton="0" quotePrefix="0" xfId="0"/>
    <xf numFmtId="0" fontId="26" fillId="0" borderId="0" pivotButton="0" quotePrefix="0" xfId="0"/>
    <xf numFmtId="0" fontId="26" fillId="0" borderId="1" pivotButton="0" quotePrefix="0" xfId="0"/>
    <xf numFmtId="0" fontId="27" fillId="0" borderId="0" pivotButton="0" quotePrefix="0" xfId="0"/>
    <xf numFmtId="10" fontId="15" fillId="4" borderId="2" applyAlignment="1" pivotButton="0" quotePrefix="0" xfId="0">
      <alignment horizontal="center"/>
    </xf>
    <xf numFmtId="165" fontId="15" fillId="2" borderId="2" pivotButton="0" quotePrefix="0" xfId="0"/>
    <xf numFmtId="0" fontId="28" fillId="0" borderId="0" pivotButton="0" quotePrefix="0" xfId="0"/>
    <xf numFmtId="0" fontId="15" fillId="3" borderId="1" pivotButton="0" quotePrefix="0" xfId="0"/>
    <xf numFmtId="0" fontId="17" fillId="0" borderId="0" applyAlignment="1" pivotButton="0" quotePrefix="0" xfId="0">
      <alignment horizontal="center"/>
    </xf>
    <xf numFmtId="0" fontId="17" fillId="0" borderId="1" applyAlignment="1" pivotButton="0" quotePrefix="0" xfId="0">
      <alignment horizontal="center"/>
    </xf>
    <xf numFmtId="2" fontId="15" fillId="6" borderId="1" pivotButton="0" quotePrefix="0" xfId="0"/>
    <xf numFmtId="164" fontId="15" fillId="6" borderId="1" pivotButton="0" quotePrefix="0" xfId="0"/>
    <xf numFmtId="164" fontId="15" fillId="6" borderId="1" pivotButton="0" quotePrefix="0" xfId="2"/>
    <xf numFmtId="10" fontId="15" fillId="6" borderId="1" pivotButton="0" quotePrefix="0" xfId="3"/>
    <xf numFmtId="10" fontId="15" fillId="6" borderId="3" pivotButton="0" quotePrefix="0" xfId="0"/>
    <xf numFmtId="10" fontId="15" fillId="6" borderId="1" pivotButton="0" quotePrefix="0" xfId="0"/>
    <xf numFmtId="10" fontId="15" fillId="6" borderId="13" pivotButton="0" quotePrefix="0" xfId="3"/>
    <xf numFmtId="10" fontId="15" fillId="6" borderId="2" pivotButton="0" quotePrefix="0" xfId="3"/>
    <xf numFmtId="2" fontId="15" fillId="6" borderId="1" pivotButton="0" quotePrefix="0" xfId="2"/>
    <xf numFmtId="0" fontId="29" fillId="0" borderId="0" pivotButton="0" quotePrefix="0" xfId="0"/>
    <xf numFmtId="0" fontId="30" fillId="0" borderId="0" pivotButton="0" quotePrefix="0" xfId="0"/>
    <xf numFmtId="0" fontId="23" fillId="0" borderId="0" pivotButton="0" quotePrefix="0" xfId="0"/>
    <xf numFmtId="0" fontId="15" fillId="3" borderId="1" applyAlignment="1" pivotButton="0" quotePrefix="0" xfId="0">
      <alignment horizontal="center"/>
    </xf>
    <xf numFmtId="0" fontId="32" fillId="0" borderId="0" pivotButton="0" quotePrefix="0" xfId="0"/>
    <xf numFmtId="0" fontId="11" fillId="5" borderId="0" pivotButton="0" quotePrefix="0" xfId="0"/>
    <xf numFmtId="0" fontId="32" fillId="0" borderId="10" pivotButton="0" quotePrefix="0" xfId="0"/>
    <xf numFmtId="0" fontId="0" fillId="0" borderId="1" applyAlignment="1" pivotButton="0" quotePrefix="0" xfId="0">
      <alignment horizontal="center"/>
    </xf>
    <xf numFmtId="0" fontId="15" fillId="4" borderId="1" pivotButton="0" quotePrefix="0" xfId="0"/>
    <xf numFmtId="0" fontId="15" fillId="6" borderId="1" pivotButton="0" quotePrefix="0" xfId="0"/>
    <xf numFmtId="0" fontId="16" fillId="0" borderId="1" pivotButton="0" quotePrefix="0" xfId="0"/>
    <xf numFmtId="166" fontId="15" fillId="6" borderId="1" pivotButton="0" quotePrefix="0" xfId="3"/>
    <xf numFmtId="166" fontId="15" fillId="6" borderId="1" pivotButton="0" quotePrefix="0" xfId="0"/>
    <xf numFmtId="2" fontId="15" fillId="3" borderId="1" pivotButton="0" quotePrefix="0" xfId="0"/>
    <xf numFmtId="167" fontId="15" fillId="4" borderId="1" pivotButton="0" quotePrefix="0" xfId="2"/>
    <xf numFmtId="168" fontId="15" fillId="6" borderId="1" pivotButton="0" quotePrefix="0" xfId="0"/>
    <xf numFmtId="167" fontId="15" fillId="6" borderId="1" pivotButton="0" quotePrefix="0" xfId="0"/>
    <xf numFmtId="0" fontId="0" fillId="6" borderId="1" pivotButton="0" quotePrefix="0" xfId="0"/>
    <xf numFmtId="167" fontId="7" fillId="6" borderId="1" pivotButton="0" quotePrefix="0" xfId="2"/>
    <xf numFmtId="168" fontId="0" fillId="6" borderId="1" pivotButton="0" quotePrefix="0" xfId="0"/>
    <xf numFmtId="0" fontId="0" fillId="0" borderId="0" applyAlignment="1" pivotButton="0" quotePrefix="0" xfId="0">
      <alignment horizontal="center"/>
    </xf>
    <xf numFmtId="10" fontId="0" fillId="0" borderId="1" applyAlignment="1" pivotButton="0" quotePrefix="0" xfId="3">
      <alignment horizontal="center"/>
    </xf>
    <xf numFmtId="169" fontId="0" fillId="4" borderId="1" applyAlignment="1" pivotButton="0" quotePrefix="0" xfId="0">
      <alignment horizontal="center"/>
    </xf>
    <xf numFmtId="2" fontId="15" fillId="0" borderId="0" pivotButton="0" quotePrefix="0" xfId="0"/>
    <xf numFmtId="169" fontId="0" fillId="0" borderId="1" applyAlignment="1" pivotButton="0" quotePrefix="0" xfId="0">
      <alignment horizontal="center"/>
    </xf>
    <xf numFmtId="169" fontId="0" fillId="0" borderId="1" pivotButton="0" quotePrefix="0" xfId="0"/>
    <xf numFmtId="169" fontId="0" fillId="0" borderId="1" applyAlignment="1" pivotButton="0" quotePrefix="0" xfId="3">
      <alignment horizontal="center"/>
    </xf>
    <xf numFmtId="169" fontId="0" fillId="0" borderId="0" applyAlignment="1" pivotButton="0" quotePrefix="0" xfId="0">
      <alignment horizontal="center"/>
    </xf>
    <xf numFmtId="169" fontId="0" fillId="0" borderId="0" pivotButton="0" quotePrefix="0" xfId="0"/>
    <xf numFmtId="169" fontId="6" fillId="0" borderId="0" applyAlignment="1" pivotButton="0" quotePrefix="0" xfId="0">
      <alignment horizontal="center"/>
    </xf>
    <xf numFmtId="169" fontId="6" fillId="0" borderId="0" pivotButton="0" quotePrefix="0" xfId="0"/>
    <xf numFmtId="10" fontId="15" fillId="4" borderId="1" applyAlignment="1" pivotButton="0" quotePrefix="0" xfId="0">
      <alignment horizontal="center"/>
    </xf>
    <xf numFmtId="10" fontId="15" fillId="6" borderId="1" applyAlignment="1" pivotButton="0" quotePrefix="0" xfId="0">
      <alignment horizontal="center"/>
    </xf>
    <xf numFmtId="170" fontId="15" fillId="3" borderId="1" pivotButton="0" quotePrefix="0" xfId="0"/>
    <xf numFmtId="9" fontId="15" fillId="6" borderId="1" applyAlignment="1" pivotButton="0" quotePrefix="0" xfId="0">
      <alignment horizontal="center"/>
    </xf>
    <xf numFmtId="0" fontId="33" fillId="0" borderId="0" pivotButton="0" quotePrefix="0" xfId="0"/>
    <xf numFmtId="2" fontId="15" fillId="4" borderId="1" pivotButton="0" quotePrefix="0" xfId="0"/>
    <xf numFmtId="0" fontId="28" fillId="0" borderId="0" applyAlignment="1" pivotButton="0" quotePrefix="0" xfId="0">
      <alignment horizontal="left"/>
    </xf>
    <xf numFmtId="169" fontId="0" fillId="6" borderId="1" pivotButton="0" quotePrefix="0" xfId="0"/>
    <xf numFmtId="0" fontId="6" fillId="0" borderId="1" applyAlignment="1" pivotButton="0" quotePrefix="0" xfId="0">
      <alignment horizontal="center" wrapText="1"/>
    </xf>
    <xf numFmtId="0" fontId="38" fillId="0" borderId="31" applyAlignment="1" pivotButton="0" quotePrefix="0" xfId="0">
      <alignment horizontal="center"/>
    </xf>
    <xf numFmtId="0" fontId="38" fillId="0" borderId="14" applyAlignment="1" pivotButton="0" quotePrefix="0" xfId="0">
      <alignment horizontal="center"/>
    </xf>
    <xf numFmtId="16" fontId="38" fillId="0" borderId="14" applyAlignment="1" pivotButton="0" quotePrefix="0" xfId="0">
      <alignment horizontal="center"/>
    </xf>
    <xf numFmtId="0" fontId="38" fillId="0" borderId="32" applyAlignment="1" pivotButton="0" quotePrefix="0" xfId="0">
      <alignment horizontal="center"/>
    </xf>
    <xf numFmtId="0" fontId="39" fillId="0" borderId="35" pivotButton="0" quotePrefix="0" xfId="0"/>
    <xf numFmtId="0" fontId="39" fillId="0" borderId="36" pivotButton="0" quotePrefix="0" xfId="0"/>
    <xf numFmtId="10" fontId="39" fillId="0" borderId="1" applyAlignment="1" pivotButton="0" quotePrefix="0" xfId="0">
      <alignment horizontal="center"/>
    </xf>
    <xf numFmtId="0" fontId="39" fillId="0" borderId="1" applyAlignment="1" pivotButton="0" quotePrefix="0" xfId="0">
      <alignment horizontal="center"/>
    </xf>
    <xf numFmtId="10" fontId="39" fillId="0" borderId="18" applyAlignment="1" pivotButton="0" quotePrefix="0" xfId="3">
      <alignment horizontal="center"/>
    </xf>
    <xf numFmtId="0" fontId="39" fillId="0" borderId="37" pivotButton="0" quotePrefix="0" xfId="0"/>
    <xf numFmtId="10" fontId="39" fillId="0" borderId="25" applyAlignment="1" pivotButton="0" quotePrefix="0" xfId="0">
      <alignment horizontal="center"/>
    </xf>
    <xf numFmtId="0" fontId="39" fillId="0" borderId="36" applyAlignment="1" pivotButton="0" quotePrefix="0" xfId="0">
      <alignment horizontal="center"/>
    </xf>
    <xf numFmtId="10" fontId="39" fillId="0" borderId="1" applyAlignment="1" pivotButton="0" quotePrefix="0" xfId="3">
      <alignment horizontal="center"/>
    </xf>
    <xf numFmtId="0" fontId="39" fillId="0" borderId="37" applyAlignment="1" pivotButton="0" quotePrefix="0" xfId="0">
      <alignment horizontal="center"/>
    </xf>
    <xf numFmtId="10" fontId="39" fillId="0" borderId="25" applyAlignment="1" pivotButton="0" quotePrefix="0" xfId="3">
      <alignment horizontal="center"/>
    </xf>
    <xf numFmtId="171" fontId="39" fillId="0" borderId="0" pivotButton="0" quotePrefix="0" xfId="2"/>
    <xf numFmtId="0" fontId="39" fillId="0" borderId="0" pivotButton="0" quotePrefix="0" xfId="0"/>
    <xf numFmtId="0" fontId="39" fillId="0" borderId="12" pivotButton="0" quotePrefix="0" xfId="0"/>
    <xf numFmtId="0" fontId="39" fillId="0" borderId="0" applyAlignment="1" pivotButton="0" quotePrefix="0" xfId="0">
      <alignment horizontal="left"/>
    </xf>
    <xf numFmtId="0" fontId="39" fillId="0" borderId="39" pivotButton="0" quotePrefix="0" xfId="0"/>
    <xf numFmtId="10" fontId="39" fillId="0" borderId="17" applyAlignment="1" pivotButton="0" quotePrefix="0" xfId="3">
      <alignment horizontal="center"/>
    </xf>
    <xf numFmtId="10" fontId="39" fillId="0" borderId="3" applyAlignment="1" pivotButton="0" quotePrefix="0" xfId="0">
      <alignment horizontal="center"/>
    </xf>
    <xf numFmtId="0" fontId="39" fillId="0" borderId="34" applyAlignment="1" pivotButton="0" quotePrefix="0" xfId="0">
      <alignment horizontal="center"/>
    </xf>
    <xf numFmtId="169" fontId="39" fillId="0" borderId="40" applyAlignment="1" pivotButton="0" quotePrefix="0" xfId="0">
      <alignment horizontal="left"/>
    </xf>
    <xf numFmtId="10" fontId="39" fillId="0" borderId="18" applyAlignment="1" pivotButton="0" quotePrefix="0" xfId="0">
      <alignment horizontal="left"/>
    </xf>
    <xf numFmtId="0" fontId="34" fillId="0" borderId="1" applyAlignment="1" pivotButton="0" quotePrefix="0" xfId="0">
      <alignment horizontal="center"/>
    </xf>
    <xf numFmtId="0" fontId="0" fillId="4" borderId="1" pivotButton="0" quotePrefix="0" xfId="0"/>
    <xf numFmtId="10" fontId="15" fillId="4" borderId="1" pivotButton="0" quotePrefix="0" xfId="0"/>
    <xf numFmtId="164" fontId="7" fillId="4" borderId="1" applyAlignment="1" pivotButton="0" quotePrefix="0" xfId="2">
      <alignment horizontal="center"/>
    </xf>
    <xf numFmtId="0" fontId="37" fillId="4" borderId="1" pivotButton="0" quotePrefix="0" xfId="0"/>
    <xf numFmtId="172" fontId="34" fillId="0" borderId="0" applyAlignment="1" pivotButton="0" quotePrefix="0" xfId="0">
      <alignment horizontal="right"/>
    </xf>
    <xf numFmtId="0" fontId="40" fillId="0" borderId="0" pivotButton="0" quotePrefix="0" xfId="0"/>
    <xf numFmtId="164" fontId="0" fillId="0" borderId="0" pivotButton="0" quotePrefix="0" xfId="0"/>
    <xf numFmtId="10" fontId="0" fillId="4" borderId="1" pivotButton="0" quotePrefix="0" xfId="0"/>
    <xf numFmtId="0" fontId="49" fillId="0" borderId="0" pivotButton="0" quotePrefix="0" xfId="0"/>
    <xf numFmtId="0" fontId="6" fillId="0" borderId="1" applyAlignment="1" pivotButton="0" quotePrefix="0" xfId="0">
      <alignment wrapText="1"/>
    </xf>
    <xf numFmtId="10" fontId="6" fillId="0" borderId="1" applyAlignment="1" pivotButton="0" quotePrefix="0" xfId="0">
      <alignment horizontal="center" wrapText="1"/>
    </xf>
    <xf numFmtId="2" fontId="6" fillId="0" borderId="1" applyAlignment="1" pivotButton="0" quotePrefix="0" xfId="0">
      <alignment horizontal="center" wrapText="1"/>
    </xf>
    <xf numFmtId="0" fontId="32" fillId="0" borderId="0" applyAlignment="1" pivotButton="0" quotePrefix="0" xfId="0">
      <alignment horizontal="left"/>
    </xf>
    <xf numFmtId="0" fontId="50" fillId="0" borderId="0" pivotButton="0" quotePrefix="0" xfId="0"/>
    <xf numFmtId="17" fontId="35" fillId="0" borderId="1" pivotButton="0" quotePrefix="0" xfId="0"/>
    <xf numFmtId="10" fontId="25" fillId="0" borderId="13" applyAlignment="1" pivotButton="0" quotePrefix="0" xfId="0">
      <alignment horizontal="center"/>
    </xf>
    <xf numFmtId="2" fontId="39" fillId="10" borderId="18" applyAlignment="1" pivotButton="0" quotePrefix="0" xfId="0">
      <alignment horizontal="center"/>
    </xf>
    <xf numFmtId="2" fontId="39" fillId="10" borderId="1" applyAlignment="1" pivotButton="0" quotePrefix="0" xfId="0">
      <alignment horizontal="center"/>
    </xf>
    <xf numFmtId="10" fontId="39" fillId="10" borderId="1" applyAlignment="1" pivotButton="0" quotePrefix="0" xfId="0">
      <alignment horizontal="center"/>
    </xf>
    <xf numFmtId="10" fontId="39" fillId="10" borderId="13" applyAlignment="1" pivotButton="0" quotePrefix="0" xfId="0">
      <alignment horizontal="center"/>
    </xf>
    <xf numFmtId="10" fontId="39" fillId="10" borderId="18" applyAlignment="1" pivotButton="0" quotePrefix="0" xfId="0">
      <alignment horizontal="center"/>
    </xf>
    <xf numFmtId="0" fontId="53" fillId="10" borderId="14" pivotButton="0" quotePrefix="0" xfId="0"/>
    <xf numFmtId="0" fontId="54" fillId="10" borderId="14" pivotButton="0" quotePrefix="0" xfId="0"/>
    <xf numFmtId="0" fontId="54" fillId="10" borderId="1" pivotButton="0" quotePrefix="0" xfId="0"/>
    <xf numFmtId="10" fontId="54" fillId="10" borderId="1" pivotButton="0" quotePrefix="0" xfId="3"/>
    <xf numFmtId="0" fontId="38" fillId="0" borderId="33" applyAlignment="1" pivotButton="0" quotePrefix="0" xfId="0">
      <alignment horizontal="center"/>
    </xf>
    <xf numFmtId="173" fontId="38" fillId="0" borderId="33" applyAlignment="1" pivotButton="0" quotePrefix="0" xfId="0">
      <alignment horizontal="center"/>
    </xf>
    <xf numFmtId="169" fontId="39" fillId="0" borderId="1" applyAlignment="1" pivotButton="0" quotePrefix="0" xfId="2">
      <alignment horizontal="center"/>
    </xf>
    <xf numFmtId="169" fontId="39" fillId="0" borderId="25" applyAlignment="1" pivotButton="0" quotePrefix="0" xfId="2">
      <alignment horizontal="center"/>
    </xf>
    <xf numFmtId="10" fontId="0" fillId="0" borderId="0" applyAlignment="1" pivotButton="0" quotePrefix="0" xfId="0">
      <alignment horizontal="center"/>
    </xf>
    <xf numFmtId="171" fontId="15" fillId="6" borderId="1" pivotButton="0" quotePrefix="0" xfId="2"/>
    <xf numFmtId="172" fontId="34" fillId="4" borderId="1" applyAlignment="1" pivotButton="0" quotePrefix="0" xfId="0">
      <alignment horizontal="right"/>
    </xf>
    <xf numFmtId="0" fontId="55" fillId="0" borderId="0" pivotButton="0" quotePrefix="0" xfId="0"/>
    <xf numFmtId="0" fontId="56" fillId="0" borderId="1" pivotButton="0" quotePrefix="0" xfId="0"/>
    <xf numFmtId="0" fontId="56" fillId="0" borderId="1" applyAlignment="1" pivotButton="0" quotePrefix="0" xfId="0">
      <alignment horizontal="center"/>
    </xf>
    <xf numFmtId="0" fontId="56" fillId="0" borderId="0" applyAlignment="1" pivotButton="0" quotePrefix="0" xfId="0">
      <alignment wrapText="1"/>
    </xf>
    <xf numFmtId="0" fontId="56" fillId="0" borderId="1" applyAlignment="1" pivotButton="0" quotePrefix="0" xfId="0">
      <alignment horizontal="center" wrapText="1"/>
    </xf>
    <xf numFmtId="0" fontId="38" fillId="0" borderId="1" applyAlignment="1" pivotButton="0" quotePrefix="0" xfId="0">
      <alignment horizontal="center"/>
    </xf>
    <xf numFmtId="174" fontId="4" fillId="0" borderId="1" applyAlignment="1" pivotButton="0" quotePrefix="0" xfId="3">
      <alignment horizontal="center"/>
    </xf>
    <xf numFmtId="10" fontId="4" fillId="0" borderId="1" applyAlignment="1" pivotButton="0" quotePrefix="0" xfId="0">
      <alignment horizontal="center"/>
    </xf>
    <xf numFmtId="2" fontId="4" fillId="0" borderId="1" applyAlignment="1" pivotButton="0" quotePrefix="0" xfId="0">
      <alignment horizontal="center"/>
    </xf>
    <xf numFmtId="169" fontId="39" fillId="10" borderId="1" pivotButton="0" quotePrefix="0" xfId="2"/>
    <xf numFmtId="169" fontId="39" fillId="10" borderId="13" pivotButton="0" quotePrefix="0" xfId="2"/>
    <xf numFmtId="43" fontId="39" fillId="10" borderId="1" pivotButton="0" quotePrefix="0" xfId="0"/>
    <xf numFmtId="169" fontId="36" fillId="10" borderId="34" pivotButton="0" quotePrefix="0" xfId="2"/>
    <xf numFmtId="0" fontId="33" fillId="5" borderId="0" pivotButton="0" quotePrefix="0" xfId="0"/>
    <xf numFmtId="0" fontId="33" fillId="5" borderId="45" pivotButton="0" quotePrefix="0" xfId="0"/>
    <xf numFmtId="0" fontId="15" fillId="4" borderId="18" pivotButton="0" quotePrefix="0" xfId="0"/>
    <xf numFmtId="168" fontId="15" fillId="6" borderId="1" applyAlignment="1" pivotButton="0" quotePrefix="0" xfId="0">
      <alignment horizontal="center"/>
    </xf>
    <xf numFmtId="168" fontId="0" fillId="6" borderId="1" applyAlignment="1" pivotButton="0" quotePrefix="0" xfId="0">
      <alignment horizontal="center"/>
    </xf>
    <xf numFmtId="10" fontId="15" fillId="6" borderId="1" applyAlignment="1" pivotButton="0" quotePrefix="0" xfId="3">
      <alignment horizontal="center"/>
    </xf>
    <xf numFmtId="10" fontId="0" fillId="6" borderId="1" applyAlignment="1" pivotButton="0" quotePrefix="0" xfId="3">
      <alignment horizontal="center"/>
    </xf>
    <xf numFmtId="0" fontId="15" fillId="4" borderId="3" pivotButton="0" quotePrefix="0" xfId="0"/>
    <xf numFmtId="10" fontId="0" fillId="6" borderId="2" applyAlignment="1" pivotButton="0" quotePrefix="0" xfId="0">
      <alignment horizontal="center"/>
    </xf>
    <xf numFmtId="0" fontId="58" fillId="0" borderId="0" applyAlignment="1" pivotButton="0" quotePrefix="0" xfId="0">
      <alignment horizontal="left" vertical="top" wrapText="1"/>
    </xf>
    <xf numFmtId="0" fontId="58" fillId="4" borderId="1" applyAlignment="1" pivotButton="0" quotePrefix="0" xfId="0">
      <alignment horizontal="center" vertical="top" wrapText="1"/>
    </xf>
    <xf numFmtId="10" fontId="0" fillId="4" borderId="1" applyAlignment="1" pivotButton="0" quotePrefix="0" xfId="0">
      <alignment horizontal="center"/>
    </xf>
    <xf numFmtId="10" fontId="58" fillId="6" borderId="1" applyAlignment="1" pivotButton="0" quotePrefix="0" xfId="3">
      <alignment horizontal="center" vertical="top" wrapText="1"/>
    </xf>
    <xf numFmtId="0" fontId="0" fillId="4" borderId="1" applyAlignment="1" pivotButton="0" quotePrefix="0" xfId="0">
      <alignment horizontal="center"/>
    </xf>
    <xf numFmtId="0" fontId="4" fillId="0" borderId="41" applyAlignment="1" pivotButton="0" quotePrefix="0" xfId="0">
      <alignment vertical="center" wrapText="1"/>
    </xf>
    <xf numFmtId="164" fontId="39" fillId="0" borderId="0" pivotButton="0" quotePrefix="0" xfId="0"/>
    <xf numFmtId="10" fontId="39" fillId="0" borderId="0" pivotButton="0" quotePrefix="0" xfId="0"/>
    <xf numFmtId="164" fontId="61" fillId="0" borderId="0" pivotButton="0" quotePrefix="0" xfId="0"/>
    <xf numFmtId="0" fontId="62" fillId="0" borderId="0" pivotButton="0" quotePrefix="0" xfId="0"/>
    <xf numFmtId="10" fontId="62" fillId="0" borderId="0" pivotButton="0" quotePrefix="0" xfId="0"/>
    <xf numFmtId="0" fontId="4" fillId="0" borderId="1" applyAlignment="1" pivotButton="0" quotePrefix="0" xfId="0">
      <alignment horizontal="center" vertical="center" wrapText="1"/>
    </xf>
    <xf numFmtId="0" fontId="4" fillId="0" borderId="1" applyAlignment="1" pivotButton="0" quotePrefix="0" xfId="0">
      <alignment vertical="center" wrapText="1"/>
    </xf>
    <xf numFmtId="164" fontId="39" fillId="0" borderId="1" applyAlignment="1" pivotButton="0" quotePrefix="0" xfId="0">
      <alignment horizontal="center"/>
    </xf>
    <xf numFmtId="164" fontId="39" fillId="0" borderId="1" applyAlignment="1" pivotButton="0" quotePrefix="0" xfId="2">
      <alignment horizontal="center"/>
    </xf>
    <xf numFmtId="2" fontId="39" fillId="0" borderId="1" applyAlignment="1" pivotButton="0" quotePrefix="0" xfId="0">
      <alignment horizontal="center"/>
    </xf>
    <xf numFmtId="0" fontId="62" fillId="0" borderId="1" pivotButton="0" quotePrefix="0" xfId="0"/>
    <xf numFmtId="10" fontId="62" fillId="0" borderId="1" pivotButton="0" quotePrefix="0" xfId="3"/>
    <xf numFmtId="168" fontId="62" fillId="0" borderId="1" pivotButton="0" quotePrefix="0" xfId="0"/>
    <xf numFmtId="164" fontId="62" fillId="0" borderId="1" pivotButton="0" quotePrefix="0" xfId="0"/>
    <xf numFmtId="0" fontId="63" fillId="0" borderId="0" pivotButton="0" quotePrefix="0" xfId="0"/>
    <xf numFmtId="0" fontId="64" fillId="0" borderId="0" pivotButton="0" quotePrefix="0" xfId="0"/>
    <xf numFmtId="0" fontId="65" fillId="0" borderId="0" pivotButton="0" quotePrefix="0" xfId="0"/>
    <xf numFmtId="17" fontId="65" fillId="4" borderId="1" applyAlignment="1" pivotButton="0" quotePrefix="0" xfId="0">
      <alignment horizontal="center"/>
    </xf>
    <xf numFmtId="0" fontId="64" fillId="0" borderId="15" pivotButton="0" quotePrefix="0" xfId="0"/>
    <xf numFmtId="0" fontId="64" fillId="0" borderId="16" pivotButton="0" quotePrefix="0" xfId="0"/>
    <xf numFmtId="0" fontId="64" fillId="0" borderId="17" pivotButton="0" quotePrefix="0" xfId="0"/>
    <xf numFmtId="0" fontId="66" fillId="4" borderId="1" applyAlignment="1" pivotButton="0" quotePrefix="0" xfId="0">
      <alignment horizontal="center"/>
    </xf>
    <xf numFmtId="0" fontId="64" fillId="0" borderId="20" pivotButton="0" quotePrefix="0" xfId="0"/>
    <xf numFmtId="0" fontId="64" fillId="0" borderId="21" pivotButton="0" quotePrefix="0" xfId="0"/>
    <xf numFmtId="0" fontId="67" fillId="0" borderId="1" pivotButton="0" quotePrefix="0" xfId="0"/>
    <xf numFmtId="0" fontId="64" fillId="4" borderId="1" pivotButton="0" quotePrefix="0" xfId="0"/>
    <xf numFmtId="0" fontId="68" fillId="0" borderId="1" pivotButton="0" quotePrefix="0" xfId="0"/>
    <xf numFmtId="0" fontId="64" fillId="0" borderId="1" pivotButton="0" quotePrefix="0" xfId="0"/>
    <xf numFmtId="164" fontId="64" fillId="4" borderId="1" applyAlignment="1" pivotButton="0" quotePrefix="0" xfId="2">
      <alignment horizontal="center"/>
    </xf>
    <xf numFmtId="0" fontId="69" fillId="0" borderId="0" pivotButton="0" quotePrefix="0" xfId="0"/>
    <xf numFmtId="164" fontId="64" fillId="7" borderId="18" applyAlignment="1" pivotButton="0" quotePrefix="0" xfId="0">
      <alignment horizontal="center"/>
    </xf>
    <xf numFmtId="164" fontId="64" fillId="4" borderId="14" applyAlignment="1" pivotButton="0" quotePrefix="0" xfId="2">
      <alignment horizontal="center"/>
    </xf>
    <xf numFmtId="2" fontId="64" fillId="4" borderId="14" applyAlignment="1" pivotButton="0" quotePrefix="0" xfId="2">
      <alignment horizontal="center"/>
    </xf>
    <xf numFmtId="10" fontId="64" fillId="4" borderId="1" applyAlignment="1" pivotButton="0" quotePrefix="0" xfId="2">
      <alignment horizontal="center"/>
    </xf>
    <xf numFmtId="164" fontId="64" fillId="0" borderId="0" applyAlignment="1" pivotButton="0" quotePrefix="0" xfId="2">
      <alignment horizontal="center"/>
    </xf>
    <xf numFmtId="0" fontId="64" fillId="0" borderId="11" pivotButton="0" quotePrefix="0" xfId="0"/>
    <xf numFmtId="10" fontId="64" fillId="6" borderId="1" pivotButton="0" quotePrefix="0" xfId="0"/>
    <xf numFmtId="0" fontId="70" fillId="0" borderId="1" pivotButton="0" quotePrefix="0" xfId="0"/>
    <xf numFmtId="10" fontId="70" fillId="4" borderId="1" applyAlignment="1" pivotButton="0" quotePrefix="0" xfId="2">
      <alignment horizontal="center"/>
    </xf>
    <xf numFmtId="10" fontId="64" fillId="4" borderId="1" applyAlignment="1" pivotButton="0" quotePrefix="0" xfId="0">
      <alignment horizontal="center"/>
    </xf>
    <xf numFmtId="10" fontId="64" fillId="5" borderId="0" pivotButton="0" quotePrefix="0" xfId="3"/>
    <xf numFmtId="2" fontId="64" fillId="4" borderId="1" applyAlignment="1" pivotButton="0" quotePrefix="0" xfId="0">
      <alignment horizontal="center"/>
    </xf>
    <xf numFmtId="0" fontId="64" fillId="0" borderId="9" pivotButton="0" quotePrefix="0" xfId="0"/>
    <xf numFmtId="171" fontId="64" fillId="6" borderId="1" pivotButton="0" quotePrefix="0" xfId="0"/>
    <xf numFmtId="10" fontId="64" fillId="0" borderId="0" pivotButton="0" quotePrefix="0" xfId="0"/>
    <xf numFmtId="0" fontId="64" fillId="0" borderId="29" pivotButton="0" quotePrefix="0" xfId="0"/>
    <xf numFmtId="10" fontId="64" fillId="5" borderId="0" applyAlignment="1" pivotButton="0" quotePrefix="0" xfId="0">
      <alignment horizontal="center"/>
    </xf>
    <xf numFmtId="2" fontId="64" fillId="0" borderId="0" applyAlignment="1" pivotButton="0" quotePrefix="0" xfId="0">
      <alignment horizontal="center"/>
    </xf>
    <xf numFmtId="169" fontId="64" fillId="4" borderId="1" applyAlignment="1" pivotButton="0" quotePrefix="0" xfId="0">
      <alignment horizontal="center"/>
    </xf>
    <xf numFmtId="169" fontId="64" fillId="0" borderId="0" applyAlignment="1" pivotButton="0" quotePrefix="0" xfId="0">
      <alignment horizontal="center"/>
    </xf>
    <xf numFmtId="0" fontId="68" fillId="0" borderId="0" pivotButton="0" quotePrefix="0" xfId="0"/>
    <xf numFmtId="10" fontId="64" fillId="0" borderId="0" applyAlignment="1" pivotButton="0" quotePrefix="0" xfId="0">
      <alignment horizontal="center"/>
    </xf>
    <xf numFmtId="0" fontId="71" fillId="5" borderId="0" pivotButton="0" quotePrefix="0" xfId="0"/>
    <xf numFmtId="0" fontId="68" fillId="5" borderId="0" pivotButton="0" quotePrefix="0" xfId="0"/>
    <xf numFmtId="0" fontId="64" fillId="4" borderId="1" applyAlignment="1" pivotButton="0" quotePrefix="0" xfId="0">
      <alignment horizontal="center"/>
    </xf>
    <xf numFmtId="9" fontId="64" fillId="4" borderId="1" applyAlignment="1" pivotButton="0" quotePrefix="0" xfId="0">
      <alignment horizontal="center"/>
    </xf>
    <xf numFmtId="9" fontId="64" fillId="5" borderId="0" applyAlignment="1" pivotButton="0" quotePrefix="0" xfId="0">
      <alignment horizontal="center"/>
    </xf>
    <xf numFmtId="169" fontId="64" fillId="10" borderId="0" applyAlignment="1" pivotButton="0" quotePrefix="0" xfId="0">
      <alignment horizontal="center"/>
    </xf>
    <xf numFmtId="10" fontId="64" fillId="4" borderId="1" applyAlignment="1" pivotButton="0" quotePrefix="0" xfId="3">
      <alignment horizontal="center"/>
    </xf>
    <xf numFmtId="169" fontId="62" fillId="4" borderId="1" applyAlignment="1" pivotButton="0" quotePrefix="0" xfId="0">
      <alignment horizontal="center"/>
    </xf>
    <xf numFmtId="0" fontId="63" fillId="4" borderId="1" pivotButton="0" quotePrefix="0" xfId="0"/>
    <xf numFmtId="0" fontId="63" fillId="6" borderId="1" pivotButton="0" quotePrefix="0" xfId="0"/>
    <xf numFmtId="0" fontId="72" fillId="0" borderId="1" pivotButton="0" quotePrefix="0" xfId="0"/>
    <xf numFmtId="0" fontId="73" fillId="0" borderId="0" pivotButton="0" quotePrefix="0" xfId="0"/>
    <xf numFmtId="0" fontId="54" fillId="10" borderId="0" pivotButton="0" quotePrefix="0" xfId="0"/>
    <xf numFmtId="0" fontId="74" fillId="0" borderId="0" pivotButton="0" quotePrefix="0" xfId="0"/>
    <xf numFmtId="0" fontId="75" fillId="0" borderId="0" pivotButton="0" quotePrefix="0" xfId="0"/>
    <xf numFmtId="0" fontId="75" fillId="0" borderId="1" pivotButton="0" quotePrefix="0" xfId="0"/>
    <xf numFmtId="0" fontId="76" fillId="0" borderId="1" applyAlignment="1" pivotButton="0" quotePrefix="0" xfId="0">
      <alignment horizontal="center"/>
    </xf>
    <xf numFmtId="10" fontId="75" fillId="10" borderId="1" applyAlignment="1" pivotButton="0" quotePrefix="0" xfId="0">
      <alignment horizontal="center"/>
    </xf>
    <xf numFmtId="10" fontId="0" fillId="0" borderId="0" pivotButton="0" quotePrefix="0" xfId="0"/>
    <xf numFmtId="0" fontId="75" fillId="0" borderId="1" applyAlignment="1" pivotButton="0" quotePrefix="0" xfId="0">
      <alignment horizontal="center"/>
    </xf>
    <xf numFmtId="0" fontId="77" fillId="0" borderId="0" pivotButton="0" quotePrefix="0" xfId="0"/>
    <xf numFmtId="0" fontId="75" fillId="0" borderId="0" applyAlignment="1" pivotButton="0" quotePrefix="0" xfId="0">
      <alignment horizontal="center"/>
    </xf>
    <xf numFmtId="10" fontId="75" fillId="0" borderId="0" applyAlignment="1" pivotButton="0" quotePrefix="0" xfId="0">
      <alignment horizontal="center"/>
    </xf>
    <xf numFmtId="0" fontId="39" fillId="10" borderId="5" applyAlignment="1" pivotButton="0" quotePrefix="0" xfId="0">
      <alignment wrapText="1"/>
    </xf>
    <xf numFmtId="0" fontId="39" fillId="10" borderId="5" pivotButton="0" quotePrefix="0" xfId="0"/>
    <xf numFmtId="0" fontId="12" fillId="0" borderId="0" applyAlignment="1" pivotButton="0" quotePrefix="0" xfId="0">
      <alignment horizontal="center"/>
    </xf>
    <xf numFmtId="0" fontId="79" fillId="0" borderId="0" applyAlignment="1" pivotButton="0" quotePrefix="0" xfId="0">
      <alignment horizontal="center"/>
    </xf>
    <xf numFmtId="169" fontId="12" fillId="0" borderId="1" applyAlignment="1" pivotButton="0" quotePrefix="0" xfId="0">
      <alignment horizontal="center"/>
    </xf>
    <xf numFmtId="10" fontId="12" fillId="0" borderId="1" applyAlignment="1" pivotButton="0" quotePrefix="0" xfId="3">
      <alignment horizontal="center"/>
    </xf>
    <xf numFmtId="10" fontId="12" fillId="0" borderId="1" applyAlignment="1" pivotButton="0" quotePrefix="0" xfId="0">
      <alignment horizontal="center"/>
    </xf>
    <xf numFmtId="169" fontId="12" fillId="10" borderId="1" applyAlignment="1" pivotButton="0" quotePrefix="0" xfId="0">
      <alignment horizontal="center"/>
    </xf>
    <xf numFmtId="10" fontId="12" fillId="10" borderId="1" applyAlignment="1" pivotButton="0" quotePrefix="0" xfId="3">
      <alignment horizontal="center"/>
    </xf>
    <xf numFmtId="0" fontId="12" fillId="0" borderId="1" pivotButton="0" quotePrefix="0" xfId="0"/>
    <xf numFmtId="0" fontId="80" fillId="0" borderId="1" applyAlignment="1" pivotButton="0" quotePrefix="0" xfId="0">
      <alignment horizontal="center"/>
    </xf>
    <xf numFmtId="0" fontId="77" fillId="0" borderId="10" pivotButton="0" quotePrefix="0" xfId="0"/>
    <xf numFmtId="0" fontId="77" fillId="0" borderId="6" applyAlignment="1" pivotButton="0" quotePrefix="0" xfId="0">
      <alignment horizontal="center"/>
    </xf>
    <xf numFmtId="0" fontId="12" fillId="0" borderId="6" applyAlignment="1" pivotButton="0" quotePrefix="0" xfId="0">
      <alignment horizontal="center"/>
    </xf>
    <xf numFmtId="0" fontId="12" fillId="0" borderId="11" pivotButton="0" quotePrefix="0" xfId="0"/>
    <xf numFmtId="0" fontId="80" fillId="0" borderId="0" applyAlignment="1" pivotButton="0" quotePrefix="0" xfId="0">
      <alignment horizontal="center"/>
    </xf>
    <xf numFmtId="0" fontId="80" fillId="0" borderId="12" applyAlignment="1" pivotButton="0" quotePrefix="0" xfId="0">
      <alignment horizontal="center"/>
    </xf>
    <xf numFmtId="0" fontId="12" fillId="0" borderId="7" applyAlignment="1" pivotButton="0" quotePrefix="0" xfId="0">
      <alignment horizontal="center"/>
    </xf>
    <xf numFmtId="0" fontId="12" fillId="0" borderId="12" applyAlignment="1" pivotButton="0" quotePrefix="0" xfId="0">
      <alignment horizontal="center"/>
    </xf>
    <xf numFmtId="0" fontId="79" fillId="0" borderId="10" pivotButton="0" quotePrefix="0" xfId="0"/>
    <xf numFmtId="0" fontId="80" fillId="0" borderId="6" applyAlignment="1" pivotButton="0" quotePrefix="0" xfId="0">
      <alignment horizontal="center"/>
    </xf>
    <xf numFmtId="0" fontId="80" fillId="0" borderId="7" applyAlignment="1" pivotButton="0" quotePrefix="0" xfId="0">
      <alignment horizontal="center"/>
    </xf>
    <xf numFmtId="0" fontId="80" fillId="0" borderId="11" pivotButton="0" quotePrefix="0" xfId="0"/>
    <xf numFmtId="0" fontId="12" fillId="10" borderId="11" pivotButton="0" quotePrefix="0" xfId="0"/>
    <xf numFmtId="0" fontId="12" fillId="10" borderId="37" pivotButton="0" quotePrefix="0" xfId="0"/>
    <xf numFmtId="10" fontId="12" fillId="10" borderId="25" applyAlignment="1" pivotButton="0" quotePrefix="0" xfId="0">
      <alignment horizontal="center"/>
    </xf>
    <xf numFmtId="10" fontId="12" fillId="10" borderId="25" applyAlignment="1" pivotButton="0" quotePrefix="0" xfId="3">
      <alignment horizontal="center"/>
    </xf>
    <xf numFmtId="10" fontId="12" fillId="10" borderId="26" applyAlignment="1" pivotButton="0" quotePrefix="0" xfId="0">
      <alignment horizontal="center"/>
    </xf>
    <xf numFmtId="0" fontId="12" fillId="10" borderId="1" pivotButton="0" quotePrefix="0" xfId="0"/>
    <xf numFmtId="164" fontId="12" fillId="10" borderId="1" applyAlignment="1" pivotButton="0" quotePrefix="0" xfId="0">
      <alignment horizontal="center"/>
    </xf>
    <xf numFmtId="10" fontId="12" fillId="10" borderId="1" applyAlignment="1" pivotButton="0" quotePrefix="0" xfId="0">
      <alignment horizontal="center"/>
    </xf>
    <xf numFmtId="0" fontId="12" fillId="0" borderId="1" applyAlignment="1" pivotButton="0" quotePrefix="0" xfId="0">
      <alignment wrapText="1"/>
    </xf>
    <xf numFmtId="0" fontId="12" fillId="10" borderId="36" pivotButton="0" quotePrefix="0" xfId="0"/>
    <xf numFmtId="10" fontId="12" fillId="10" borderId="24" applyAlignment="1" pivotButton="0" quotePrefix="0" xfId="3">
      <alignment horizontal="center"/>
    </xf>
    <xf numFmtId="0" fontId="12" fillId="0" borderId="9" applyAlignment="1" pivotButton="0" quotePrefix="0" xfId="0">
      <alignment horizontal="center"/>
    </xf>
    <xf numFmtId="0" fontId="12" fillId="0" borderId="29" applyAlignment="1" pivotButton="0" quotePrefix="0" xfId="0">
      <alignment horizontal="center"/>
    </xf>
    <xf numFmtId="10" fontId="32" fillId="10" borderId="3" applyAlignment="1" pivotButton="0" quotePrefix="0" xfId="0">
      <alignment horizontal="center"/>
    </xf>
    <xf numFmtId="0" fontId="82" fillId="5" borderId="14" applyAlignment="1" pivotButton="0" quotePrefix="0" xfId="0">
      <alignment horizontal="center" vertical="center" wrapText="1"/>
    </xf>
    <xf numFmtId="0" fontId="82" fillId="5" borderId="23" applyAlignment="1" pivotButton="0" quotePrefix="0" xfId="0">
      <alignment horizontal="center" vertical="center" wrapText="1"/>
    </xf>
    <xf numFmtId="0" fontId="83" fillId="5" borderId="22" applyAlignment="1" pivotButton="0" quotePrefix="0" xfId="0">
      <alignment vertical="center"/>
    </xf>
    <xf numFmtId="0" fontId="83" fillId="10" borderId="1" applyAlignment="1" pivotButton="0" quotePrefix="0" xfId="0">
      <alignment horizontal="left" vertical="top" wrapText="1"/>
    </xf>
    <xf numFmtId="0" fontId="83" fillId="10" borderId="24" applyAlignment="1" pivotButton="0" quotePrefix="0" xfId="0">
      <alignment horizontal="left" vertical="top" wrapText="1"/>
    </xf>
    <xf numFmtId="9" fontId="83" fillId="10" borderId="1" applyAlignment="1" pivotButton="0" quotePrefix="0" xfId="3">
      <alignment horizontal="left" vertical="top" wrapText="1"/>
    </xf>
    <xf numFmtId="0" fontId="83" fillId="5" borderId="27" pivotButton="0" quotePrefix="0" xfId="0"/>
    <xf numFmtId="0" fontId="83" fillId="5" borderId="28" pivotButton="0" quotePrefix="0" xfId="0"/>
    <xf numFmtId="10" fontId="83" fillId="10" borderId="25" applyAlignment="1" pivotButton="0" quotePrefix="0" xfId="3">
      <alignment horizontal="left" vertical="top" wrapText="1"/>
    </xf>
    <xf numFmtId="0" fontId="83" fillId="10" borderId="26" applyAlignment="1" pivotButton="0" quotePrefix="0" xfId="0">
      <alignment horizontal="left" vertical="top" wrapText="1"/>
    </xf>
    <xf numFmtId="0" fontId="32" fillId="10" borderId="39" pivotButton="0" quotePrefix="0" xfId="0"/>
    <xf numFmtId="0" fontId="32" fillId="0" borderId="0" applyAlignment="1" pivotButton="0" quotePrefix="0" xfId="0">
      <alignment horizontal="center"/>
    </xf>
    <xf numFmtId="0" fontId="32" fillId="0" borderId="12" pivotButton="0" quotePrefix="0" xfId="0"/>
    <xf numFmtId="0" fontId="15" fillId="0" borderId="0" applyAlignment="1" pivotButton="0" quotePrefix="0" xfId="0">
      <alignment horizontal="center"/>
    </xf>
    <xf numFmtId="0" fontId="15" fillId="0" borderId="12" pivotButton="0" quotePrefix="0" xfId="0"/>
    <xf numFmtId="0" fontId="15" fillId="0" borderId="9" applyAlignment="1" pivotButton="0" quotePrefix="0" xfId="0">
      <alignment horizontal="center"/>
    </xf>
    <xf numFmtId="0" fontId="15" fillId="0" borderId="29" pivotButton="0" quotePrefix="0" xfId="0"/>
    <xf numFmtId="0" fontId="81" fillId="5" borderId="22" applyAlignment="1" pivotButton="0" quotePrefix="0" xfId="0">
      <alignment horizontal="center" vertical="center" wrapText="1"/>
    </xf>
    <xf numFmtId="164" fontId="63" fillId="2" borderId="1" pivotButton="0" quotePrefix="0" xfId="0"/>
    <xf numFmtId="164" fontId="63" fillId="2" borderId="1" pivotButton="0" quotePrefix="0" xfId="2"/>
    <xf numFmtId="2" fontId="63" fillId="2" borderId="1" pivotButton="0" quotePrefix="0" xfId="0"/>
    <xf numFmtId="10" fontId="63" fillId="2" borderId="1" pivotButton="0" quotePrefix="0" xfId="3"/>
    <xf numFmtId="10" fontId="63" fillId="2" borderId="1" pivotButton="0" quotePrefix="0" xfId="0"/>
    <xf numFmtId="4" fontId="63" fillId="2" borderId="1" pivotButton="0" quotePrefix="0" xfId="0"/>
    <xf numFmtId="0" fontId="84" fillId="0" borderId="0" pivotButton="0" quotePrefix="0" xfId="0"/>
    <xf numFmtId="0" fontId="87" fillId="0" borderId="0" pivotButton="0" quotePrefix="0" xfId="0"/>
    <xf numFmtId="0" fontId="63" fillId="0" borderId="1" pivotButton="0" quotePrefix="0" xfId="0"/>
    <xf numFmtId="164" fontId="63" fillId="6" borderId="2" pivotButton="0" quotePrefix="0" xfId="2"/>
    <xf numFmtId="165" fontId="63" fillId="6" borderId="2" pivotButton="0" quotePrefix="0" xfId="0"/>
    <xf numFmtId="0" fontId="63" fillId="0" borderId="1" applyAlignment="1" pivotButton="0" quotePrefix="0" xfId="0">
      <alignment horizontal="center"/>
    </xf>
    <xf numFmtId="3" fontId="63" fillId="0" borderId="1" applyAlignment="1" pivotButton="0" quotePrefix="0" xfId="0">
      <alignment horizontal="center"/>
    </xf>
    <xf numFmtId="10" fontId="77" fillId="0" borderId="1" applyAlignment="1" pivotButton="0" quotePrefix="0" xfId="0">
      <alignment horizontal="center"/>
    </xf>
    <xf numFmtId="175" fontId="77" fillId="0" borderId="1" applyAlignment="1" pivotButton="0" quotePrefix="0" xfId="1">
      <alignment horizontal="center"/>
    </xf>
    <xf numFmtId="10" fontId="63" fillId="0" borderId="1" applyAlignment="1" pivotButton="0" quotePrefix="0" xfId="0">
      <alignment horizontal="center"/>
    </xf>
    <xf numFmtId="0" fontId="63" fillId="0" borderId="0" applyAlignment="1" pivotButton="0" quotePrefix="0" xfId="0">
      <alignment horizontal="center"/>
    </xf>
    <xf numFmtId="168" fontId="63" fillId="0" borderId="1" applyAlignment="1" pivotButton="0" quotePrefix="0" xfId="0">
      <alignment horizontal="center"/>
    </xf>
    <xf numFmtId="0" fontId="77" fillId="0" borderId="13" applyAlignment="1" pivotButton="0" quotePrefix="0" xfId="0">
      <alignment horizontal="center"/>
    </xf>
    <xf numFmtId="0" fontId="86" fillId="0" borderId="0" pivotButton="0" quotePrefix="0" xfId="0"/>
    <xf numFmtId="0" fontId="88" fillId="0" borderId="0" pivotButton="0" quotePrefix="0" xfId="0"/>
    <xf numFmtId="0" fontId="89" fillId="0" borderId="0" pivotButton="0" quotePrefix="0" xfId="0"/>
    <xf numFmtId="0" fontId="83" fillId="0" borderId="0" pivotButton="0" quotePrefix="0" xfId="0"/>
    <xf numFmtId="10" fontId="77" fillId="0" borderId="0" pivotButton="0" quotePrefix="0" xfId="0"/>
    <xf numFmtId="164" fontId="63" fillId="0" borderId="0" pivotButton="0" quotePrefix="0" xfId="2"/>
    <xf numFmtId="169" fontId="77" fillId="0" borderId="13" applyAlignment="1" pivotButton="0" quotePrefix="0" xfId="0">
      <alignment horizontal="center"/>
    </xf>
    <xf numFmtId="0" fontId="81" fillId="0" borderId="0" pivotButton="0" quotePrefix="0" xfId="0"/>
    <xf numFmtId="0" fontId="90" fillId="10" borderId="14" pivotButton="0" quotePrefix="0" xfId="0"/>
    <xf numFmtId="0" fontId="91" fillId="10" borderId="14" pivotButton="0" quotePrefix="0" xfId="0"/>
    <xf numFmtId="0" fontId="91" fillId="10" borderId="1" pivotButton="0" quotePrefix="0" xfId="0"/>
    <xf numFmtId="10" fontId="91" fillId="10" borderId="1" pivotButton="0" quotePrefix="0" xfId="3"/>
    <xf numFmtId="0" fontId="63" fillId="6" borderId="2" applyAlignment="1" pivotButton="0" quotePrefix="0" xfId="0">
      <alignment horizontal="center"/>
    </xf>
    <xf numFmtId="164" fontId="63" fillId="6" borderId="1" pivotButton="0" quotePrefix="0" xfId="0"/>
    <xf numFmtId="169" fontId="63" fillId="6" borderId="2" pivotButton="0" quotePrefix="0" xfId="0"/>
    <xf numFmtId="10" fontId="63" fillId="6" borderId="2" pivotButton="0" quotePrefix="0" xfId="0"/>
    <xf numFmtId="2" fontId="77" fillId="6" borderId="2" applyAlignment="1" pivotButton="0" quotePrefix="0" xfId="0">
      <alignment horizontal="center"/>
    </xf>
    <xf numFmtId="0" fontId="77" fillId="6" borderId="4" applyAlignment="1" pivotButton="0" quotePrefix="0" xfId="0">
      <alignment horizontal="center"/>
    </xf>
    <xf numFmtId="10" fontId="77" fillId="6" borderId="2" applyAlignment="1" pivotButton="0" quotePrefix="0" xfId="3">
      <alignment horizontal="center"/>
    </xf>
    <xf numFmtId="10" fontId="77" fillId="6" borderId="2" applyAlignment="1" pivotButton="0" quotePrefix="0" xfId="0">
      <alignment horizontal="center"/>
    </xf>
    <xf numFmtId="10" fontId="77" fillId="0" borderId="0" applyAlignment="1" pivotButton="0" quotePrefix="0" xfId="0">
      <alignment horizontal="center"/>
    </xf>
    <xf numFmtId="10" fontId="84" fillId="0" borderId="0" applyAlignment="1" pivotButton="0" quotePrefix="0" xfId="0">
      <alignment horizontal="center"/>
    </xf>
    <xf numFmtId="0" fontId="87" fillId="0" borderId="1" applyAlignment="1" pivotButton="0" quotePrefix="0" xfId="0">
      <alignment horizontal="centerContinuous"/>
    </xf>
    <xf numFmtId="0" fontId="87" fillId="0" borderId="1" pivotButton="0" quotePrefix="0" xfId="0"/>
    <xf numFmtId="0" fontId="87" fillId="0" borderId="1" applyAlignment="1" pivotButton="0" quotePrefix="0" xfId="0">
      <alignment horizontal="center"/>
    </xf>
    <xf numFmtId="10" fontId="63" fillId="0" borderId="30" applyAlignment="1" pivotButton="0" quotePrefix="0" xfId="3">
      <alignment horizontal="center"/>
    </xf>
    <xf numFmtId="2" fontId="63" fillId="0" borderId="1" applyAlignment="1" pivotButton="0" quotePrefix="0" xfId="0">
      <alignment horizontal="center"/>
    </xf>
    <xf numFmtId="0" fontId="63" fillId="0" borderId="1" applyAlignment="1" pivotButton="0" quotePrefix="0" xfId="0">
      <alignment horizontal="centerContinuous"/>
    </xf>
    <xf numFmtId="0" fontId="71" fillId="0" borderId="8" pivotButton="0" quotePrefix="0" xfId="0"/>
    <xf numFmtId="0" fontId="86" fillId="0" borderId="0" applyAlignment="1" pivotButton="0" quotePrefix="0" xfId="0">
      <alignment horizontal="centerContinuous"/>
    </xf>
    <xf numFmtId="0" fontId="83" fillId="3" borderId="1" applyAlignment="1" pivotButton="0" quotePrefix="0" xfId="0">
      <alignment horizontal="center"/>
    </xf>
    <xf numFmtId="164" fontId="83" fillId="3" borderId="1" pivotButton="0" quotePrefix="0" xfId="2"/>
    <xf numFmtId="2" fontId="88" fillId="0" borderId="1" applyAlignment="1" pivotButton="0" quotePrefix="0" xfId="0">
      <alignment horizontal="center"/>
    </xf>
    <xf numFmtId="2" fontId="88" fillId="0" borderId="0" pivotButton="0" quotePrefix="0" xfId="0"/>
    <xf numFmtId="2" fontId="83" fillId="0" borderId="0" pivotButton="0" quotePrefix="0" xfId="0"/>
    <xf numFmtId="1" fontId="88" fillId="0" borderId="1" applyAlignment="1" pivotButton="0" quotePrefix="0" xfId="0">
      <alignment horizontal="center"/>
    </xf>
    <xf numFmtId="2" fontId="88" fillId="3" borderId="1" applyAlignment="1" pivotButton="0" quotePrefix="0" xfId="0">
      <alignment horizontal="center"/>
    </xf>
    <xf numFmtId="2" fontId="92" fillId="0" borderId="0" pivotButton="0" quotePrefix="0" xfId="0"/>
    <xf numFmtId="2" fontId="88" fillId="0" borderId="13" applyAlignment="1" pivotButton="0" quotePrefix="0" xfId="0">
      <alignment horizontal="centerContinuous"/>
    </xf>
    <xf numFmtId="2" fontId="88" fillId="0" borderId="18" applyAlignment="1" pivotButton="0" quotePrefix="0" xfId="0">
      <alignment horizontal="centerContinuous"/>
    </xf>
    <xf numFmtId="164" fontId="88" fillId="0" borderId="1" pivotButton="0" quotePrefix="0" xfId="2"/>
    <xf numFmtId="2" fontId="88" fillId="0" borderId="3" applyAlignment="1" pivotButton="0" quotePrefix="0" xfId="0">
      <alignment horizontal="center"/>
    </xf>
    <xf numFmtId="164" fontId="88" fillId="0" borderId="3" pivotButton="0" quotePrefix="0" xfId="2"/>
    <xf numFmtId="164" fontId="83" fillId="0" borderId="2" pivotButton="0" quotePrefix="0" xfId="2"/>
    <xf numFmtId="164" fontId="88" fillId="0" borderId="0" pivotButton="0" quotePrefix="0" xfId="2"/>
    <xf numFmtId="164" fontId="83" fillId="0" borderId="0" pivotButton="0" quotePrefix="0" xfId="2"/>
    <xf numFmtId="169" fontId="83" fillId="0" borderId="19" pivotButton="0" quotePrefix="0" xfId="0"/>
    <xf numFmtId="176" fontId="83" fillId="0" borderId="1" pivotButton="0" quotePrefix="0" xfId="2"/>
    <xf numFmtId="0" fontId="64" fillId="0" borderId="1" applyAlignment="1" pivotButton="0" quotePrefix="0" xfId="0">
      <alignment vertical="center"/>
    </xf>
    <xf numFmtId="10" fontId="64" fillId="6" borderId="1" applyAlignment="1" pivotButton="0" quotePrefix="0" xfId="0">
      <alignment horizontal="center" vertical="center"/>
    </xf>
    <xf numFmtId="0" fontId="50" fillId="0" borderId="1" applyAlignment="1" pivotButton="0" quotePrefix="0" xfId="0">
      <alignment horizontal="center" wrapText="1"/>
    </xf>
    <xf numFmtId="0" fontId="50" fillId="0" borderId="18" applyAlignment="1" pivotButton="0" quotePrefix="0" xfId="0">
      <alignment horizontal="center" wrapText="1"/>
    </xf>
    <xf numFmtId="0" fontId="50" fillId="0" borderId="0" applyAlignment="1" pivotButton="0" quotePrefix="0" xfId="0">
      <alignment vertical="center"/>
    </xf>
    <xf numFmtId="0" fontId="68" fillId="0" borderId="1" applyAlignment="1" pivotButton="0" quotePrefix="0" xfId="0">
      <alignment horizontal="center"/>
    </xf>
    <xf numFmtId="10" fontId="64" fillId="6" borderId="14" applyAlignment="1" pivotButton="0" quotePrefix="0" xfId="3">
      <alignment horizontal="center"/>
    </xf>
    <xf numFmtId="10" fontId="64" fillId="6" borderId="1" applyAlignment="1" pivotButton="0" quotePrefix="0" xfId="3">
      <alignment horizontal="center"/>
    </xf>
    <xf numFmtId="10" fontId="64" fillId="6" borderId="1" applyAlignment="1" pivotButton="0" quotePrefix="0" xfId="0">
      <alignment horizontal="center"/>
    </xf>
    <xf numFmtId="2" fontId="64" fillId="6" borderId="1" applyAlignment="1" pivotButton="0" quotePrefix="0" xfId="0">
      <alignment horizontal="center"/>
    </xf>
    <xf numFmtId="2" fontId="64" fillId="6" borderId="0" applyAlignment="1" pivotButton="0" quotePrefix="0" xfId="0">
      <alignment horizontal="center"/>
    </xf>
    <xf numFmtId="9" fontId="64" fillId="0" borderId="0" applyAlignment="1" pivotButton="0" quotePrefix="0" xfId="0">
      <alignment horizontal="center"/>
    </xf>
    <xf numFmtId="1" fontId="64" fillId="4" borderId="1" applyAlignment="1" pivotButton="0" quotePrefix="0" xfId="0">
      <alignment horizontal="center"/>
    </xf>
    <xf numFmtId="164" fontId="69" fillId="8" borderId="18" pivotButton="0" quotePrefix="0" xfId="0"/>
    <xf numFmtId="0" fontId="83" fillId="0" borderId="1" pivotButton="0" quotePrefix="0" xfId="0"/>
    <xf numFmtId="0" fontId="83" fillId="0" borderId="0" applyAlignment="1" pivotButton="0" quotePrefix="0" xfId="0">
      <alignment horizontal="center"/>
    </xf>
    <xf numFmtId="2" fontId="12" fillId="10" borderId="1" applyAlignment="1" pivotButton="0" quotePrefix="0" xfId="0">
      <alignment horizontal="center"/>
    </xf>
    <xf numFmtId="0" fontId="89" fillId="0" borderId="1" applyAlignment="1" pivotButton="0" quotePrefix="0" xfId="0">
      <alignment horizontal="center"/>
    </xf>
    <xf numFmtId="169" fontId="70" fillId="4" borderId="1" applyAlignment="1" pivotButton="0" quotePrefix="0" xfId="0">
      <alignment horizontal="center"/>
    </xf>
    <xf numFmtId="169" fontId="70" fillId="4" borderId="1" pivotButton="0" quotePrefix="0" xfId="0"/>
    <xf numFmtId="10" fontId="70" fillId="4" borderId="1" applyAlignment="1" pivotButton="0" quotePrefix="0" xfId="3">
      <alignment horizontal="center"/>
    </xf>
    <xf numFmtId="10" fontId="70" fillId="4" borderId="1" pivotButton="0" quotePrefix="0" xfId="3"/>
    <xf numFmtId="0" fontId="70" fillId="4" borderId="1" applyAlignment="1" pivotButton="0" quotePrefix="0" xfId="0">
      <alignment horizontal="center"/>
    </xf>
    <xf numFmtId="0" fontId="89" fillId="0" borderId="5" applyAlignment="1" pivotButton="0" quotePrefix="0" xfId="0">
      <alignment horizontal="center"/>
    </xf>
    <xf numFmtId="0" fontId="83" fillId="6" borderId="1" pivotButton="0" quotePrefix="0" xfId="0"/>
    <xf numFmtId="10" fontId="83" fillId="6" borderId="1" applyAlignment="1" pivotButton="0" quotePrefix="0" xfId="3">
      <alignment horizontal="center"/>
    </xf>
    <xf numFmtId="10" fontId="83" fillId="6" borderId="1" applyAlignment="1" pivotButton="0" quotePrefix="0" xfId="0">
      <alignment horizontal="center"/>
    </xf>
    <xf numFmtId="164" fontId="83" fillId="6" borderId="1" pivotButton="0" quotePrefix="0" xfId="2"/>
    <xf numFmtId="164" fontId="83" fillId="6" borderId="1" applyAlignment="1" pivotButton="0" quotePrefix="0" xfId="2">
      <alignment horizontal="center"/>
    </xf>
    <xf numFmtId="10" fontId="83" fillId="6" borderId="1" pivotButton="0" quotePrefix="0" xfId="3"/>
    <xf numFmtId="10" fontId="83" fillId="6" borderId="1" pivotButton="0" quotePrefix="0" xfId="2"/>
    <xf numFmtId="10" fontId="83" fillId="6" borderId="1" applyAlignment="1" pivotButton="0" quotePrefix="0" xfId="2">
      <alignment horizontal="center"/>
    </xf>
    <xf numFmtId="164" fontId="83" fillId="6" borderId="1" applyAlignment="1" pivotButton="0" quotePrefix="0" xfId="0">
      <alignment horizontal="center"/>
    </xf>
    <xf numFmtId="164" fontId="83" fillId="6" borderId="1" pivotButton="0" quotePrefix="0" xfId="0"/>
    <xf numFmtId="0" fontId="83" fillId="6" borderId="1" applyAlignment="1" pivotButton="0" quotePrefix="0" xfId="0">
      <alignment horizontal="center"/>
    </xf>
    <xf numFmtId="0" fontId="83" fillId="6" borderId="3" pivotButton="0" quotePrefix="0" xfId="0"/>
    <xf numFmtId="168" fontId="83" fillId="6" borderId="3" applyAlignment="1" pivotButton="0" quotePrefix="0" xfId="0">
      <alignment horizontal="center"/>
    </xf>
    <xf numFmtId="0" fontId="83" fillId="6" borderId="3" applyAlignment="1" pivotButton="0" quotePrefix="0" xfId="0">
      <alignment horizontal="center"/>
    </xf>
    <xf numFmtId="164" fontId="83" fillId="0" borderId="0" applyAlignment="1" pivotButton="0" quotePrefix="0" xfId="0">
      <alignment horizontal="center"/>
    </xf>
    <xf numFmtId="164" fontId="83" fillId="0" borderId="0" applyAlignment="1" pivotButton="0" quotePrefix="0" xfId="0">
      <alignment horizontal="left"/>
    </xf>
    <xf numFmtId="10" fontId="83" fillId="6" borderId="1" pivotButton="0" quotePrefix="0" xfId="0"/>
    <xf numFmtId="169" fontId="83" fillId="6" borderId="1" pivotButton="0" quotePrefix="0" xfId="0"/>
    <xf numFmtId="165" fontId="83" fillId="6" borderId="1" pivotButton="0" quotePrefix="0" xfId="0"/>
    <xf numFmtId="43" fontId="83" fillId="6" borderId="1" pivotButton="0" quotePrefix="0" xfId="1"/>
    <xf numFmtId="164" fontId="94" fillId="6" borderId="1" pivotButton="0" quotePrefix="0" xfId="2"/>
    <xf numFmtId="0" fontId="95" fillId="0" borderId="1" pivotButton="0" quotePrefix="0" xfId="0"/>
    <xf numFmtId="2" fontId="83" fillId="6" borderId="1" applyAlignment="1" pivotButton="0" quotePrefix="0" xfId="0">
      <alignment horizontal="center"/>
    </xf>
    <xf numFmtId="171" fontId="83" fillId="6" borderId="1" pivotButton="0" quotePrefix="0" xfId="0"/>
    <xf numFmtId="171" fontId="83" fillId="6" borderId="1" applyAlignment="1" pivotButton="0" quotePrefix="0" xfId="0">
      <alignment horizontal="center"/>
    </xf>
    <xf numFmtId="164" fontId="83" fillId="6" borderId="1" pivotButton="0" quotePrefix="0" xfId="3"/>
    <xf numFmtId="164" fontId="83" fillId="0" borderId="0" pivotButton="0" quotePrefix="0" xfId="0"/>
    <xf numFmtId="0" fontId="83" fillId="0" borderId="13" applyAlignment="1" pivotButton="0" quotePrefix="0" xfId="0">
      <alignment horizontal="center"/>
    </xf>
    <xf numFmtId="10" fontId="83" fillId="6" borderId="13" applyAlignment="1" pivotButton="0" quotePrefix="0" xfId="0">
      <alignment horizontal="center"/>
    </xf>
    <xf numFmtId="164" fontId="93" fillId="11" borderId="13" applyAlignment="1" pivotButton="0" quotePrefix="0" xfId="2">
      <alignment horizontal="center"/>
    </xf>
    <xf numFmtId="10" fontId="83" fillId="6" borderId="13" applyAlignment="1" pivotButton="0" quotePrefix="0" xfId="2">
      <alignment horizontal="center"/>
    </xf>
    <xf numFmtId="164" fontId="83" fillId="6" borderId="13" applyAlignment="1" pivotButton="0" quotePrefix="0" xfId="2">
      <alignment horizontal="center"/>
    </xf>
    <xf numFmtId="164" fontId="83" fillId="6" borderId="13" applyAlignment="1" pivotButton="0" quotePrefix="0" xfId="0">
      <alignment horizontal="center"/>
    </xf>
    <xf numFmtId="164" fontId="83" fillId="6" borderId="13" pivotButton="0" quotePrefix="0" xfId="2"/>
    <xf numFmtId="0" fontId="83" fillId="0" borderId="51" pivotButton="0" quotePrefix="0" xfId="0"/>
    <xf numFmtId="0" fontId="81" fillId="0" borderId="19" applyAlignment="1" pivotButton="0" quotePrefix="0" xfId="0">
      <alignment horizontal="center"/>
    </xf>
    <xf numFmtId="164" fontId="81" fillId="6" borderId="52" pivotButton="0" quotePrefix="0" xfId="0"/>
    <xf numFmtId="0" fontId="81" fillId="0" borderId="51" pivotButton="0" quotePrefix="0" xfId="0"/>
    <xf numFmtId="164" fontId="81" fillId="6" borderId="53" pivotButton="0" quotePrefix="0" xfId="0"/>
    <xf numFmtId="0" fontId="41" fillId="0" borderId="0" applyAlignment="1" pivotButton="0" quotePrefix="0" xfId="0">
      <alignment horizontal="center"/>
    </xf>
    <xf numFmtId="164" fontId="3" fillId="10" borderId="1" applyAlignment="1" pivotButton="0" quotePrefix="0" xfId="0">
      <alignment horizontal="center"/>
    </xf>
    <xf numFmtId="173" fontId="38" fillId="0" borderId="46" applyAlignment="1" pivotButton="0" quotePrefix="0" xfId="0">
      <alignment horizontal="center"/>
    </xf>
    <xf numFmtId="169" fontId="39" fillId="0" borderId="24" applyAlignment="1" pivotButton="0" quotePrefix="0" xfId="2">
      <alignment horizontal="center"/>
    </xf>
    <xf numFmtId="169" fontId="39" fillId="0" borderId="26" applyAlignment="1" pivotButton="0" quotePrefix="0" xfId="2">
      <alignment horizontal="center"/>
    </xf>
    <xf numFmtId="0" fontId="39" fillId="10" borderId="5" applyAlignment="1" pivotButton="0" quotePrefix="0" xfId="0">
      <alignment horizontal="left" wrapText="1"/>
    </xf>
    <xf numFmtId="0" fontId="39" fillId="10" borderId="38" applyAlignment="1" pivotButton="0" quotePrefix="0" xfId="0">
      <alignment wrapText="1"/>
    </xf>
    <xf numFmtId="0" fontId="39" fillId="10" borderId="16" applyAlignment="1" pivotButton="0" quotePrefix="0" xfId="0">
      <alignment wrapText="1"/>
    </xf>
    <xf numFmtId="0" fontId="63" fillId="0" borderId="11" pivotButton="0" quotePrefix="0" xfId="0"/>
    <xf numFmtId="0" fontId="63" fillId="0" borderId="12" pivotButton="0" quotePrefix="0" xfId="0"/>
    <xf numFmtId="0" fontId="63" fillId="0" borderId="14" pivotButton="0" quotePrefix="0" xfId="0"/>
    <xf numFmtId="0" fontId="63" fillId="0" borderId="36" pivotButton="0" quotePrefix="0" xfId="0"/>
    <xf numFmtId="10" fontId="63" fillId="0" borderId="1" pivotButton="0" quotePrefix="0" xfId="0"/>
    <xf numFmtId="177" fontId="63" fillId="0" borderId="1" pivotButton="0" quotePrefix="0" xfId="0"/>
    <xf numFmtId="10" fontId="63" fillId="0" borderId="12" pivotButton="0" quotePrefix="0" xfId="0"/>
    <xf numFmtId="164" fontId="63" fillId="10" borderId="31" pivotButton="0" quotePrefix="0" xfId="0"/>
    <xf numFmtId="0" fontId="63" fillId="10" borderId="1" applyAlignment="1" pivotButton="0" quotePrefix="0" xfId="0">
      <alignment horizontal="center"/>
    </xf>
    <xf numFmtId="0" fontId="63" fillId="0" borderId="12" applyAlignment="1" pivotButton="0" quotePrefix="0" xfId="0">
      <alignment horizontal="center"/>
    </xf>
    <xf numFmtId="0" fontId="63" fillId="10" borderId="36" pivotButton="0" quotePrefix="0" xfId="0"/>
    <xf numFmtId="10" fontId="63" fillId="10" borderId="1" pivotButton="0" quotePrefix="0" xfId="0"/>
    <xf numFmtId="171" fontId="63" fillId="0" borderId="1" pivotButton="0" quotePrefix="0" xfId="0"/>
    <xf numFmtId="171" fontId="63" fillId="10" borderId="1" pivotButton="0" quotePrefix="0" xfId="0"/>
    <xf numFmtId="10" fontId="63" fillId="10" borderId="36" pivotButton="0" quotePrefix="0" xfId="0"/>
    <xf numFmtId="10" fontId="63" fillId="10" borderId="24" pivotButton="0" quotePrefix="0" xfId="0"/>
    <xf numFmtId="177" fontId="63" fillId="10" borderId="24" pivotButton="0" quotePrefix="0" xfId="0"/>
    <xf numFmtId="0" fontId="63" fillId="10" borderId="1" pivotButton="0" quotePrefix="0" xfId="0"/>
    <xf numFmtId="164" fontId="63" fillId="10" borderId="1" pivotButton="0" quotePrefix="0" xfId="0"/>
    <xf numFmtId="43" fontId="63" fillId="10" borderId="36" pivotButton="0" quotePrefix="0" xfId="0"/>
    <xf numFmtId="43" fontId="63" fillId="10" borderId="24" pivotButton="0" quotePrefix="0" xfId="0"/>
    <xf numFmtId="10" fontId="63" fillId="0" borderId="0" pivotButton="0" quotePrefix="0" xfId="0"/>
    <xf numFmtId="0" fontId="63" fillId="0" borderId="39" pivotButton="0" quotePrefix="0" xfId="0"/>
    <xf numFmtId="169" fontId="63" fillId="0" borderId="15" pivotButton="0" quotePrefix="0" xfId="0"/>
    <xf numFmtId="168" fontId="63" fillId="0" borderId="1" pivotButton="0" quotePrefix="0" xfId="0"/>
    <xf numFmtId="10" fontId="63" fillId="10" borderId="1" pivotButton="0" quotePrefix="0" xfId="3"/>
    <xf numFmtId="2" fontId="63" fillId="10" borderId="1" pivotButton="0" quotePrefix="0" xfId="0"/>
    <xf numFmtId="0" fontId="63" fillId="0" borderId="8" pivotButton="0" quotePrefix="0" xfId="0"/>
    <xf numFmtId="0" fontId="63" fillId="0" borderId="9" pivotButton="0" quotePrefix="0" xfId="0"/>
    <xf numFmtId="0" fontId="63" fillId="0" borderId="29" pivotButton="0" quotePrefix="0" xfId="0"/>
    <xf numFmtId="177" fontId="63" fillId="10" borderId="36" pivotButton="0" quotePrefix="0" xfId="0"/>
    <xf numFmtId="0" fontId="77" fillId="10" borderId="39" pivotButton="0" quotePrefix="0" xfId="0"/>
    <xf numFmtId="169" fontId="77" fillId="10" borderId="50" pivotButton="0" quotePrefix="0" xfId="0"/>
    <xf numFmtId="0" fontId="85" fillId="10" borderId="36" pivotButton="0" quotePrefix="0" xfId="0"/>
    <xf numFmtId="169" fontId="85" fillId="10" borderId="1" pivotButton="0" quotePrefix="0" xfId="0"/>
    <xf numFmtId="0" fontId="39" fillId="10" borderId="5" applyAlignment="1" pivotButton="0" quotePrefix="0" xfId="0">
      <alignment vertical="center" wrapText="1"/>
    </xf>
    <xf numFmtId="0" fontId="97" fillId="0" borderId="3" applyAlignment="1" pivotButton="0" quotePrefix="0" xfId="0">
      <alignment horizontal="center"/>
    </xf>
    <xf numFmtId="0" fontId="97" fillId="10" borderId="3" applyAlignment="1" pivotButton="0" quotePrefix="0" xfId="0">
      <alignment horizontal="center"/>
    </xf>
    <xf numFmtId="0" fontId="96" fillId="0" borderId="1" pivotButton="0" quotePrefix="0" xfId="0"/>
    <xf numFmtId="177" fontId="96" fillId="0" borderId="1" applyAlignment="1" pivotButton="0" quotePrefix="0" xfId="0">
      <alignment horizontal="center"/>
    </xf>
    <xf numFmtId="177" fontId="96" fillId="10" borderId="1" applyAlignment="1" pivotButton="0" quotePrefix="0" xfId="0">
      <alignment horizontal="center"/>
    </xf>
    <xf numFmtId="0" fontId="96" fillId="0" borderId="1" applyAlignment="1" pivotButton="0" quotePrefix="0" xfId="0">
      <alignment vertical="center"/>
    </xf>
    <xf numFmtId="9" fontId="96" fillId="0" borderId="1" applyAlignment="1" pivotButton="0" quotePrefix="0" xfId="0">
      <alignment horizontal="center" vertical="center"/>
    </xf>
    <xf numFmtId="0" fontId="97" fillId="10" borderId="50" applyAlignment="1" pivotButton="0" quotePrefix="0" xfId="0">
      <alignment horizontal="center"/>
    </xf>
    <xf numFmtId="177" fontId="96" fillId="10" borderId="24" applyAlignment="1" pivotButton="0" quotePrefix="0" xfId="0">
      <alignment horizontal="center"/>
    </xf>
    <xf numFmtId="0" fontId="96" fillId="0" borderId="20" pivotButton="0" quotePrefix="0" xfId="0"/>
    <xf numFmtId="177" fontId="63" fillId="10" borderId="31" pivotButton="0" quotePrefix="0" xfId="0"/>
    <xf numFmtId="0" fontId="98" fillId="0" borderId="0" pivotButton="0" quotePrefix="0" xfId="0"/>
    <xf numFmtId="0" fontId="55" fillId="0" borderId="0" applyAlignment="1" pivotButton="0" quotePrefix="0" xfId="0">
      <alignment horizontal="center"/>
    </xf>
    <xf numFmtId="0" fontId="99" fillId="0" borderId="0" pivotButton="0" quotePrefix="0" xfId="0"/>
    <xf numFmtId="0" fontId="100" fillId="0" borderId="1" pivotButton="0" quotePrefix="0" xfId="0"/>
    <xf numFmtId="0" fontId="39" fillId="10" borderId="1" applyAlignment="1" pivotButton="0" quotePrefix="0" xfId="0">
      <alignment horizontal="center"/>
    </xf>
    <xf numFmtId="0" fontId="100" fillId="10" borderId="1" applyAlignment="1" pivotButton="0" quotePrefix="0" xfId="0">
      <alignment horizontal="center"/>
    </xf>
    <xf numFmtId="0" fontId="24" fillId="10" borderId="1" applyAlignment="1" pivotButton="0" quotePrefix="0" xfId="0">
      <alignment horizontal="center"/>
    </xf>
    <xf numFmtId="0" fontId="39" fillId="0" borderId="1" pivotButton="0" quotePrefix="0" xfId="0"/>
    <xf numFmtId="0" fontId="2" fillId="0" borderId="1" pivotButton="0" quotePrefix="0" xfId="0"/>
    <xf numFmtId="0" fontId="2" fillId="0" borderId="1" applyAlignment="1" pivotButton="0" quotePrefix="0" xfId="0">
      <alignment horizontal="left"/>
    </xf>
    <xf numFmtId="0" fontId="101" fillId="0" borderId="1" applyAlignment="1" pivotButton="0" quotePrefix="0" xfId="0">
      <alignment horizontal="center"/>
    </xf>
    <xf numFmtId="10" fontId="101" fillId="0" borderId="1" applyAlignment="1" pivotButton="0" quotePrefix="0" xfId="0">
      <alignment horizontal="center"/>
    </xf>
    <xf numFmtId="10" fontId="102" fillId="0" borderId="0" applyAlignment="1" pivotButton="0" quotePrefix="0" xfId="0">
      <alignment horizontal="center"/>
    </xf>
    <xf numFmtId="177" fontId="0" fillId="0" borderId="1" applyAlignment="1" pivotButton="0" quotePrefix="0" xfId="0">
      <alignment horizontal="center"/>
    </xf>
    <xf numFmtId="0" fontId="0" fillId="0" borderId="54" pivotButton="0" quotePrefix="0" xfId="0"/>
    <xf numFmtId="0" fontId="0" fillId="0" borderId="54" applyAlignment="1" pivotButton="0" quotePrefix="0" xfId="0">
      <alignment horizontal="center" wrapText="1"/>
    </xf>
    <xf numFmtId="9" fontId="0" fillId="0" borderId="54" applyAlignment="1" pivotButton="0" quotePrefix="0" xfId="0">
      <alignment horizontal="center" wrapText="1"/>
    </xf>
    <xf numFmtId="178" fontId="0" fillId="10" borderId="54" applyAlignment="1" pivotButton="0" quotePrefix="0" xfId="0">
      <alignment horizontal="center"/>
    </xf>
    <xf numFmtId="0" fontId="103" fillId="0" borderId="0" applyAlignment="1" pivotButton="0" quotePrefix="0" xfId="0">
      <alignment horizontal="left" vertical="top"/>
    </xf>
    <xf numFmtId="172" fontId="103" fillId="0" borderId="0" applyAlignment="1" pivotButton="0" quotePrefix="0" xfId="0">
      <alignment horizontal="right" vertical="top" wrapText="1"/>
    </xf>
    <xf numFmtId="9" fontId="0" fillId="0" borderId="54" pivotButton="0" quotePrefix="0" xfId="0"/>
    <xf numFmtId="0" fontId="56" fillId="0" borderId="1" applyAlignment="1" pivotButton="0" quotePrefix="0" xfId="0">
      <alignment wrapText="1"/>
    </xf>
    <xf numFmtId="10" fontId="56" fillId="0" borderId="1" applyAlignment="1" pivotButton="0" quotePrefix="0" xfId="0">
      <alignment horizontal="center" wrapText="1"/>
    </xf>
    <xf numFmtId="2" fontId="56" fillId="0" borderId="1" applyAlignment="1" pivotButton="0" quotePrefix="0" xfId="0">
      <alignment horizontal="center" wrapText="1"/>
    </xf>
    <xf numFmtId="10" fontId="32" fillId="0" borderId="0" applyAlignment="1" pivotButton="0" quotePrefix="0" xfId="0">
      <alignment horizontal="center"/>
    </xf>
    <xf numFmtId="2" fontId="32" fillId="0" borderId="0" applyAlignment="1" pivotButton="0" quotePrefix="0" xfId="0">
      <alignment horizontal="center"/>
    </xf>
    <xf numFmtId="10" fontId="34" fillId="0" borderId="0" applyAlignment="1" pivotButton="0" quotePrefix="0" xfId="0">
      <alignment horizontal="center"/>
    </xf>
    <xf numFmtId="0" fontId="56" fillId="0" borderId="0" pivotButton="0" quotePrefix="0" xfId="0"/>
    <xf numFmtId="0" fontId="0" fillId="0" borderId="0" applyAlignment="1" pivotButton="0" quotePrefix="0" xfId="0">
      <alignment vertical="center"/>
    </xf>
    <xf numFmtId="3" fontId="0" fillId="0" borderId="0" pivotButton="0" quotePrefix="0" xfId="0"/>
    <xf numFmtId="10" fontId="0" fillId="0" borderId="0" pivotButton="0" quotePrefix="0" xfId="3"/>
    <xf numFmtId="2" fontId="0" fillId="0" borderId="0" pivotButton="0" quotePrefix="0" xfId="0"/>
    <xf numFmtId="178" fontId="0" fillId="0" borderId="0" pivotButton="0" quotePrefix="0" xfId="0"/>
    <xf numFmtId="0" fontId="39" fillId="0" borderId="3" applyAlignment="1" pivotButton="0" quotePrefix="0" xfId="0">
      <alignment horizontal="center"/>
    </xf>
    <xf numFmtId="0" fontId="39" fillId="0" borderId="3" pivotButton="0" quotePrefix="0" xfId="0"/>
    <xf numFmtId="0" fontId="96" fillId="0" borderId="54" pivotButton="0" quotePrefix="0" xfId="0"/>
    <xf numFmtId="0" fontId="63" fillId="0" borderId="54" applyAlignment="1" pivotButton="0" quotePrefix="0" xfId="0">
      <alignment horizontal="center"/>
    </xf>
    <xf numFmtId="10" fontId="63" fillId="0" borderId="54" applyAlignment="1" pivotButton="0" quotePrefix="0" xfId="0">
      <alignment horizontal="center"/>
    </xf>
    <xf numFmtId="0" fontId="88" fillId="0" borderId="54" applyAlignment="1" pivotButton="0" quotePrefix="0" xfId="0">
      <alignment horizontal="left"/>
    </xf>
    <xf numFmtId="0" fontId="88" fillId="0" borderId="54" applyAlignment="1" pivotButton="0" quotePrefix="0" xfId="0">
      <alignment horizontal="center"/>
    </xf>
    <xf numFmtId="10" fontId="88" fillId="0" borderId="54" applyAlignment="1" pivotButton="0" quotePrefix="0" xfId="0">
      <alignment horizontal="center"/>
    </xf>
    <xf numFmtId="10" fontId="2" fillId="0" borderId="13" applyAlignment="1" pivotButton="0" quotePrefix="0" xfId="3">
      <alignment horizontal="center"/>
    </xf>
    <xf numFmtId="10" fontId="39" fillId="0" borderId="42" applyAlignment="1" pivotButton="0" quotePrefix="0" xfId="0">
      <alignment horizontal="center"/>
    </xf>
    <xf numFmtId="10" fontId="0" fillId="0" borderId="54" applyAlignment="1" pivotButton="0" quotePrefix="0" xfId="0">
      <alignment horizontal="center"/>
    </xf>
    <xf numFmtId="0" fontId="71" fillId="0" borderId="0" pivotButton="0" quotePrefix="0" xfId="0"/>
    <xf numFmtId="0" fontId="65" fillId="0" borderId="43" applyAlignment="1" pivotButton="0" quotePrefix="0" xfId="0">
      <alignment horizontal="center"/>
    </xf>
    <xf numFmtId="0" fontId="65" fillId="0" borderId="9" applyAlignment="1" pivotButton="0" quotePrefix="0" xfId="0">
      <alignment horizontal="center"/>
    </xf>
    <xf numFmtId="0" fontId="65" fillId="0" borderId="41" applyAlignment="1" pivotButton="0" quotePrefix="0" xfId="0">
      <alignment horizontal="center"/>
    </xf>
    <xf numFmtId="0" fontId="65" fillId="0" borderId="6" applyAlignment="1" pivotButton="0" quotePrefix="0" xfId="0">
      <alignment horizontal="center"/>
    </xf>
    <xf numFmtId="0" fontId="65" fillId="0" borderId="7" applyAlignment="1" pivotButton="0" quotePrefix="0" xfId="0">
      <alignment horizontal="center"/>
    </xf>
    <xf numFmtId="0" fontId="65" fillId="0" borderId="10" applyAlignment="1" pivotButton="0" quotePrefix="0" xfId="0">
      <alignment horizontal="left"/>
    </xf>
    <xf numFmtId="0" fontId="65" fillId="0" borderId="6" applyAlignment="1" pivotButton="0" quotePrefix="0" xfId="0">
      <alignment horizontal="left"/>
    </xf>
    <xf numFmtId="0" fontId="65" fillId="0" borderId="7" applyAlignment="1" pivotButton="0" quotePrefix="0" xfId="0">
      <alignment horizontal="left"/>
    </xf>
    <xf numFmtId="0" fontId="69" fillId="0" borderId="20" applyAlignment="1" pivotButton="0" quotePrefix="0" xfId="0">
      <alignment horizontal="center" wrapText="1"/>
    </xf>
    <xf numFmtId="0" fontId="69" fillId="0" borderId="12" applyAlignment="1" pivotButton="0" quotePrefix="0" xfId="0">
      <alignment horizontal="center" wrapText="1"/>
    </xf>
    <xf numFmtId="0" fontId="68" fillId="0" borderId="1" applyAlignment="1" pivotButton="0" quotePrefix="0" xfId="0">
      <alignment horizontal="center"/>
    </xf>
    <xf numFmtId="0" fontId="65" fillId="0" borderId="0" applyAlignment="1" pivotButton="0" quotePrefix="0" xfId="0">
      <alignment horizontal="center"/>
    </xf>
    <xf numFmtId="0" fontId="41" fillId="0" borderId="13" applyAlignment="1" pivotButton="0" quotePrefix="0" xfId="0">
      <alignment horizontal="center"/>
    </xf>
    <xf numFmtId="0" fontId="41" fillId="0" borderId="5" applyAlignment="1" pivotButton="0" quotePrefix="0" xfId="0">
      <alignment horizontal="center"/>
    </xf>
    <xf numFmtId="0" fontId="41" fillId="0" borderId="18" applyAlignment="1" pivotButton="0" quotePrefix="0" xfId="0">
      <alignment horizontal="center"/>
    </xf>
    <xf numFmtId="0" fontId="41" fillId="0" borderId="42" applyAlignment="1" pivotButton="0" quotePrefix="0" xfId="0">
      <alignment horizontal="center"/>
    </xf>
    <xf numFmtId="0" fontId="39" fillId="0" borderId="22" applyAlignment="1" pivotButton="0" quotePrefix="0" xfId="0">
      <alignment horizontal="left"/>
    </xf>
    <xf numFmtId="0" fontId="39" fillId="0" borderId="5" applyAlignment="1" pivotButton="0" quotePrefix="0" xfId="0">
      <alignment horizontal="left"/>
    </xf>
    <xf numFmtId="0" fontId="39" fillId="0" borderId="18" applyAlignment="1" pivotButton="0" quotePrefix="0" xfId="0">
      <alignment horizontal="left"/>
    </xf>
    <xf numFmtId="10" fontId="39" fillId="10" borderId="13" applyAlignment="1" pivotButton="0" quotePrefix="0" xfId="3">
      <alignment horizontal="center"/>
    </xf>
    <xf numFmtId="10" fontId="39" fillId="10" borderId="18" applyAlignment="1" pivotButton="0" quotePrefix="0" xfId="3">
      <alignment horizontal="center"/>
    </xf>
    <xf numFmtId="0" fontId="3" fillId="0" borderId="13" applyAlignment="1" pivotButton="0" quotePrefix="0" xfId="0">
      <alignment horizontal="left"/>
    </xf>
    <xf numFmtId="0" fontId="41" fillId="0" borderId="5" applyAlignment="1" pivotButton="0" quotePrefix="0" xfId="0">
      <alignment horizontal="left"/>
    </xf>
    <xf numFmtId="0" fontId="41" fillId="0" borderId="18" applyAlignment="1" pivotButton="0" quotePrefix="0" xfId="0">
      <alignment horizontal="left"/>
    </xf>
    <xf numFmtId="0" fontId="3" fillId="0" borderId="5" applyAlignment="1" pivotButton="0" quotePrefix="0" xfId="0">
      <alignment horizontal="left"/>
    </xf>
    <xf numFmtId="0" fontId="3" fillId="0" borderId="18" applyAlignment="1" pivotButton="0" quotePrefix="0" xfId="0">
      <alignment horizontal="left"/>
    </xf>
    <xf numFmtId="0" fontId="35" fillId="0" borderId="13" applyAlignment="1" pivotButton="0" quotePrefix="0" xfId="0">
      <alignment horizontal="center"/>
    </xf>
    <xf numFmtId="0" fontId="35" fillId="0" borderId="5" applyAlignment="1" pivotButton="0" quotePrefix="0" xfId="0">
      <alignment horizontal="center"/>
    </xf>
    <xf numFmtId="0" fontId="35" fillId="0" borderId="18" applyAlignment="1" pivotButton="0" quotePrefix="0" xfId="0">
      <alignment horizontal="center"/>
    </xf>
    <xf numFmtId="0" fontId="1" fillId="10" borderId="15" applyAlignment="1" pivotButton="0" quotePrefix="0" xfId="0">
      <alignment horizontal="left" vertical="top" wrapText="1"/>
    </xf>
    <xf numFmtId="0" fontId="5" fillId="10" borderId="16" applyAlignment="1" pivotButton="0" quotePrefix="0" xfId="0">
      <alignment horizontal="left" vertical="top" wrapText="1"/>
    </xf>
    <xf numFmtId="0" fontId="5" fillId="10" borderId="17" applyAlignment="1" pivotButton="0" quotePrefix="0" xfId="0">
      <alignment horizontal="left" vertical="top" wrapText="1"/>
    </xf>
    <xf numFmtId="0" fontId="5" fillId="10" borderId="20" applyAlignment="1" pivotButton="0" quotePrefix="0" xfId="0">
      <alignment horizontal="left" vertical="top" wrapText="1"/>
    </xf>
    <xf numFmtId="0" fontId="5" fillId="10" borderId="0" applyAlignment="1" pivotButton="0" quotePrefix="0" xfId="0">
      <alignment horizontal="left" vertical="top" wrapText="1"/>
    </xf>
    <xf numFmtId="0" fontId="5" fillId="10" borderId="21" applyAlignment="1" pivotButton="0" quotePrefix="0" xfId="0">
      <alignment horizontal="left" vertical="top" wrapText="1"/>
    </xf>
    <xf numFmtId="0" fontId="5" fillId="10" borderId="44" applyAlignment="1" pivotButton="0" quotePrefix="0" xfId="0">
      <alignment horizontal="left" vertical="top" wrapText="1"/>
    </xf>
    <xf numFmtId="0" fontId="5" fillId="10" borderId="45" applyAlignment="1" pivotButton="0" quotePrefix="0" xfId="0">
      <alignment horizontal="left" vertical="top" wrapText="1"/>
    </xf>
    <xf numFmtId="0" fontId="5" fillId="10" borderId="30" applyAlignment="1" pivotButton="0" quotePrefix="0" xfId="0">
      <alignment horizontal="left" vertical="top" wrapText="1"/>
    </xf>
    <xf numFmtId="0" fontId="42" fillId="0" borderId="15" applyAlignment="1" pivotButton="0" quotePrefix="0" xfId="0">
      <alignment horizontal="left" wrapText="1"/>
    </xf>
    <xf numFmtId="0" fontId="43" fillId="0" borderId="16" applyAlignment="1" pivotButton="0" quotePrefix="0" xfId="0">
      <alignment horizontal="left" wrapText="1"/>
    </xf>
    <xf numFmtId="0" fontId="43" fillId="0" borderId="17" applyAlignment="1" pivotButton="0" quotePrefix="0" xfId="0">
      <alignment horizontal="left" wrapText="1"/>
    </xf>
    <xf numFmtId="0" fontId="43" fillId="0" borderId="20" applyAlignment="1" pivotButton="0" quotePrefix="0" xfId="0">
      <alignment horizontal="left" wrapText="1"/>
    </xf>
    <xf numFmtId="0" fontId="43" fillId="0" borderId="0" applyAlignment="1" pivotButton="0" quotePrefix="0" xfId="0">
      <alignment horizontal="left" wrapText="1"/>
    </xf>
    <xf numFmtId="0" fontId="43" fillId="0" borderId="21" applyAlignment="1" pivotButton="0" quotePrefix="0" xfId="0">
      <alignment horizontal="left" wrapText="1"/>
    </xf>
    <xf numFmtId="0" fontId="43" fillId="0" borderId="44" applyAlignment="1" pivotButton="0" quotePrefix="0" xfId="0">
      <alignment horizontal="left" wrapText="1"/>
    </xf>
    <xf numFmtId="0" fontId="43" fillId="0" borderId="45" applyAlignment="1" pivotButton="0" quotePrefix="0" xfId="0">
      <alignment horizontal="left" wrapText="1"/>
    </xf>
    <xf numFmtId="0" fontId="43" fillId="0" borderId="30" applyAlignment="1" pivotButton="0" quotePrefix="0" xfId="0">
      <alignment horizontal="left" wrapText="1"/>
    </xf>
    <xf numFmtId="0" fontId="36" fillId="0" borderId="15" applyAlignment="1" pivotButton="0" quotePrefix="0" xfId="0">
      <alignment horizontal="left" vertical="center" wrapText="1"/>
    </xf>
    <xf numFmtId="0" fontId="36" fillId="0" borderId="16" applyAlignment="1" pivotButton="0" quotePrefix="0" xfId="0">
      <alignment horizontal="left" vertical="center" wrapText="1"/>
    </xf>
    <xf numFmtId="0" fontId="36" fillId="0" borderId="17" applyAlignment="1" pivotButton="0" quotePrefix="0" xfId="0">
      <alignment horizontal="left" vertical="center" wrapText="1"/>
    </xf>
    <xf numFmtId="0" fontId="36" fillId="0" borderId="20" applyAlignment="1" pivotButton="0" quotePrefix="0" xfId="0">
      <alignment horizontal="left" vertical="center" wrapText="1"/>
    </xf>
    <xf numFmtId="0" fontId="36" fillId="0" borderId="0" applyAlignment="1" pivotButton="0" quotePrefix="0" xfId="0">
      <alignment horizontal="left" vertical="center" wrapText="1"/>
    </xf>
    <xf numFmtId="0" fontId="36" fillId="0" borderId="21" applyAlignment="1" pivotButton="0" quotePrefix="0" xfId="0">
      <alignment horizontal="left" vertical="center" wrapText="1"/>
    </xf>
    <xf numFmtId="0" fontId="36" fillId="0" borderId="44" applyAlignment="1" pivotButton="0" quotePrefix="0" xfId="0">
      <alignment horizontal="left" vertical="center" wrapText="1"/>
    </xf>
    <xf numFmtId="0" fontId="36" fillId="0" borderId="45" applyAlignment="1" pivotButton="0" quotePrefix="0" xfId="0">
      <alignment horizontal="left" vertical="center" wrapText="1"/>
    </xf>
    <xf numFmtId="0" fontId="36" fillId="0" borderId="30" applyAlignment="1" pivotButton="0" quotePrefix="0" xfId="0">
      <alignment horizontal="left" vertical="center" wrapText="1"/>
    </xf>
    <xf numFmtId="0" fontId="44" fillId="0" borderId="16" applyAlignment="1" pivotButton="0" quotePrefix="0" xfId="0">
      <alignment horizontal="left" vertical="center" wrapText="1"/>
    </xf>
    <xf numFmtId="0" fontId="39" fillId="0" borderId="16" applyAlignment="1" pivotButton="0" quotePrefix="0" xfId="0">
      <alignment horizontal="left" vertical="center" wrapText="1"/>
    </xf>
    <xf numFmtId="0" fontId="39" fillId="0" borderId="17" applyAlignment="1" pivotButton="0" quotePrefix="0" xfId="0">
      <alignment horizontal="left" vertical="center" wrapText="1"/>
    </xf>
    <xf numFmtId="0" fontId="39" fillId="0" borderId="0" applyAlignment="1" pivotButton="0" quotePrefix="0" xfId="0">
      <alignment horizontal="left" vertical="center" wrapText="1"/>
    </xf>
    <xf numFmtId="0" fontId="39" fillId="0" borderId="21" applyAlignment="1" pivotButton="0" quotePrefix="0" xfId="0">
      <alignment horizontal="left" vertical="center" wrapText="1"/>
    </xf>
    <xf numFmtId="0" fontId="39" fillId="0" borderId="45" applyAlignment="1" pivotButton="0" quotePrefix="0" xfId="0">
      <alignment horizontal="left" vertical="center" wrapText="1"/>
    </xf>
    <xf numFmtId="0" fontId="39" fillId="0" borderId="30" applyAlignment="1" pivotButton="0" quotePrefix="0" xfId="0">
      <alignment horizontal="left" vertical="center" wrapText="1"/>
    </xf>
    <xf numFmtId="0" fontId="36" fillId="0" borderId="11" applyAlignment="1" pivotButton="0" quotePrefix="0" xfId="0">
      <alignment horizontal="left" vertical="center" wrapText="1"/>
    </xf>
    <xf numFmtId="171" fontId="39" fillId="0" borderId="13" applyAlignment="1" pivotButton="0" quotePrefix="0" xfId="2">
      <alignment horizontal="right"/>
    </xf>
    <xf numFmtId="171" fontId="39" fillId="0" borderId="5" applyAlignment="1" pivotButton="0" quotePrefix="0" xfId="2">
      <alignment horizontal="right"/>
    </xf>
    <xf numFmtId="0" fontId="39" fillId="0" borderId="36" applyAlignment="1" pivotButton="0" quotePrefix="0" xfId="0">
      <alignment horizontal="left"/>
    </xf>
    <xf numFmtId="0" fontId="39" fillId="0" borderId="1" applyAlignment="1" pivotButton="0" quotePrefix="0" xfId="0">
      <alignment horizontal="left"/>
    </xf>
    <xf numFmtId="0" fontId="39" fillId="0" borderId="37" applyAlignment="1" pivotButton="0" quotePrefix="0" xfId="0">
      <alignment horizontal="left"/>
    </xf>
    <xf numFmtId="0" fontId="39" fillId="0" borderId="25" applyAlignment="1" pivotButton="0" quotePrefix="0" xfId="0">
      <alignment horizontal="left"/>
    </xf>
    <xf numFmtId="0" fontId="39" fillId="0" borderId="43" applyAlignment="1" pivotButton="0" quotePrefix="0" xfId="0">
      <alignment horizontal="right"/>
    </xf>
    <xf numFmtId="0" fontId="39" fillId="0" borderId="41" applyAlignment="1" pivotButton="0" quotePrefix="0" xfId="0">
      <alignment horizontal="right"/>
    </xf>
    <xf numFmtId="0" fontId="41" fillId="10" borderId="1" applyAlignment="1" pivotButton="0" quotePrefix="0" xfId="0">
      <alignment horizontal="center"/>
    </xf>
    <xf numFmtId="0" fontId="63" fillId="10" borderId="1" applyAlignment="1" pivotButton="0" quotePrefix="0" xfId="0">
      <alignment horizontal="left" vertical="top" wrapText="1"/>
    </xf>
    <xf numFmtId="0" fontId="63" fillId="10" borderId="25" applyAlignment="1" pivotButton="0" quotePrefix="0" xfId="0">
      <alignment horizontal="left" vertical="top" wrapText="1"/>
    </xf>
    <xf numFmtId="0" fontId="77" fillId="0" borderId="47" applyAlignment="1" pivotButton="0" quotePrefix="0" xfId="0">
      <alignment horizontal="center"/>
    </xf>
    <xf numFmtId="0" fontId="77" fillId="0" borderId="48" applyAlignment="1" pivotButton="0" quotePrefix="0" xfId="0">
      <alignment horizontal="center"/>
    </xf>
    <xf numFmtId="0" fontId="77" fillId="0" borderId="49" applyAlignment="1" pivotButton="0" quotePrefix="0" xfId="0">
      <alignment horizontal="center"/>
    </xf>
    <xf numFmtId="0" fontId="97" fillId="0" borderId="14" applyAlignment="1" pivotButton="0" quotePrefix="0" xfId="0">
      <alignment horizontal="center"/>
    </xf>
    <xf numFmtId="0" fontId="97" fillId="0" borderId="23" applyAlignment="1" pivotButton="0" quotePrefix="0" xfId="0">
      <alignment horizontal="center"/>
    </xf>
    <xf numFmtId="0" fontId="87" fillId="0" borderId="1" applyAlignment="1" pivotButton="0" quotePrefix="0" xfId="0">
      <alignment horizontal="center"/>
    </xf>
    <xf numFmtId="0" fontId="87" fillId="0" borderId="24" applyAlignment="1" pivotButton="0" quotePrefix="0" xfId="0">
      <alignment horizontal="center"/>
    </xf>
    <xf numFmtId="0" fontId="77" fillId="0" borderId="10" applyAlignment="1" pivotButton="0" quotePrefix="0" xfId="0">
      <alignment horizontal="center"/>
    </xf>
    <xf numFmtId="0" fontId="77" fillId="0" borderId="7" applyAlignment="1" pivotButton="0" quotePrefix="0" xfId="0">
      <alignment horizontal="center"/>
    </xf>
    <xf numFmtId="0" fontId="77" fillId="0" borderId="6" applyAlignment="1" pivotButton="0" quotePrefix="0" xfId="0">
      <alignment horizontal="center"/>
    </xf>
    <xf numFmtId="17" fontId="77" fillId="0" borderId="43" applyAlignment="1" pivotButton="0" quotePrefix="0" xfId="0">
      <alignment horizontal="center"/>
    </xf>
    <xf numFmtId="0" fontId="77" fillId="0" borderId="40" applyAlignment="1" pivotButton="0" quotePrefix="0" xfId="0">
      <alignment horizontal="center"/>
    </xf>
    <xf numFmtId="0" fontId="77" fillId="0" borderId="43" applyAlignment="1" pivotButton="0" quotePrefix="0" xfId="0">
      <alignment horizontal="center"/>
    </xf>
    <xf numFmtId="0" fontId="77" fillId="0" borderId="41" applyAlignment="1" pivotButton="0" quotePrefix="0" xfId="0">
      <alignment horizontal="center"/>
    </xf>
    <xf numFmtId="0" fontId="63" fillId="10" borderId="10" applyAlignment="1" pivotButton="0" quotePrefix="0" xfId="0">
      <alignment horizontal="left" vertical="top" wrapText="1"/>
    </xf>
    <xf numFmtId="0" fontId="63" fillId="10" borderId="7" applyAlignment="1" pivotButton="0" quotePrefix="0" xfId="0">
      <alignment horizontal="left" vertical="top" wrapText="1"/>
    </xf>
    <xf numFmtId="0" fontId="63" fillId="10" borderId="11" applyAlignment="1" pivotButton="0" quotePrefix="0" xfId="0">
      <alignment horizontal="left" vertical="top" wrapText="1"/>
    </xf>
    <xf numFmtId="0" fontId="63" fillId="10" borderId="12" applyAlignment="1" pivotButton="0" quotePrefix="0" xfId="0">
      <alignment horizontal="left" vertical="top" wrapText="1"/>
    </xf>
    <xf numFmtId="0" fontId="63" fillId="10" borderId="8" applyAlignment="1" pivotButton="0" quotePrefix="0" xfId="0">
      <alignment horizontal="left" vertical="top" wrapText="1"/>
    </xf>
    <xf numFmtId="0" fontId="63" fillId="10" borderId="29" applyAlignment="1" pivotButton="0" quotePrefix="0" xfId="0">
      <alignment horizontal="left" vertical="top" wrapText="1"/>
    </xf>
    <xf numFmtId="10" fontId="85" fillId="0" borderId="43" applyAlignment="1" pivotButton="0" quotePrefix="0" xfId="0">
      <alignment horizontal="center"/>
    </xf>
    <xf numFmtId="10" fontId="85" fillId="0" borderId="40" applyAlignment="1" pivotButton="0" quotePrefix="0" xfId="0">
      <alignment horizontal="center"/>
    </xf>
    <xf numFmtId="0" fontId="79" fillId="0" borderId="6" applyAlignment="1" pivotButton="0" quotePrefix="0" xfId="0">
      <alignment horizontal="center"/>
    </xf>
    <xf numFmtId="0" fontId="79" fillId="0" borderId="7" applyAlignment="1" pivotButton="0" quotePrefix="0" xfId="0">
      <alignment horizontal="center"/>
    </xf>
    <xf numFmtId="0" fontId="86" fillId="10" borderId="11" applyAlignment="1" pivotButton="0" quotePrefix="0" xfId="0">
      <alignment horizontal="left" vertical="top" wrapText="1"/>
    </xf>
    <xf numFmtId="0" fontId="86" fillId="10" borderId="0" applyAlignment="1" pivotButton="0" quotePrefix="0" xfId="0">
      <alignment horizontal="left" vertical="top" wrapText="1"/>
    </xf>
    <xf numFmtId="0" fontId="57" fillId="10" borderId="10" applyAlignment="1" pivotButton="0" quotePrefix="0" xfId="0">
      <alignment horizontal="left" vertical="top" wrapText="1"/>
    </xf>
    <xf numFmtId="0" fontId="57" fillId="10" borderId="6" applyAlignment="1" pivotButton="0" quotePrefix="0" xfId="0">
      <alignment horizontal="left" vertical="top" wrapText="1"/>
    </xf>
    <xf numFmtId="0" fontId="57" fillId="10" borderId="7" applyAlignment="1" pivotButton="0" quotePrefix="0" xfId="0">
      <alignment horizontal="left" vertical="top" wrapText="1"/>
    </xf>
    <xf numFmtId="0" fontId="57" fillId="10" borderId="11" applyAlignment="1" pivotButton="0" quotePrefix="0" xfId="0">
      <alignment horizontal="left" vertical="top" wrapText="1"/>
    </xf>
    <xf numFmtId="0" fontId="57" fillId="10" borderId="0" applyAlignment="1" pivotButton="0" quotePrefix="0" xfId="0">
      <alignment horizontal="left" vertical="top" wrapText="1"/>
    </xf>
    <xf numFmtId="0" fontId="57" fillId="10" borderId="12" applyAlignment="1" pivotButton="0" quotePrefix="0" xfId="0">
      <alignment horizontal="left" vertical="top" wrapText="1"/>
    </xf>
    <xf numFmtId="0" fontId="57" fillId="10" borderId="8" applyAlignment="1" pivotButton="0" quotePrefix="0" xfId="0">
      <alignment horizontal="left" vertical="top" wrapText="1"/>
    </xf>
    <xf numFmtId="0" fontId="57" fillId="10" borderId="9" applyAlignment="1" pivotButton="0" quotePrefix="0" xfId="0">
      <alignment horizontal="left" vertical="top" wrapText="1"/>
    </xf>
    <xf numFmtId="0" fontId="57" fillId="10" borderId="29" applyAlignment="1" pivotButton="0" quotePrefix="0" xfId="0">
      <alignment horizontal="left" vertical="top" wrapText="1"/>
    </xf>
    <xf numFmtId="0" fontId="77" fillId="10" borderId="43" applyAlignment="1" pivotButton="0" quotePrefix="0" xfId="0">
      <alignment horizontal="center"/>
    </xf>
    <xf numFmtId="0" fontId="77" fillId="10" borderId="41" applyAlignment="1" pivotButton="0" quotePrefix="0" xfId="0">
      <alignment horizontal="center"/>
    </xf>
    <xf numFmtId="0" fontId="77" fillId="10" borderId="40" applyAlignment="1" pivotButton="0" quotePrefix="0" xfId="0">
      <alignment horizontal="center"/>
    </xf>
    <xf numFmtId="0" fontId="63" fillId="10" borderId="10" applyAlignment="1" pivotButton="0" quotePrefix="0" xfId="0">
      <alignment horizontal="left" wrapText="1"/>
    </xf>
    <xf numFmtId="0" fontId="63" fillId="10" borderId="6" applyAlignment="1" pivotButton="0" quotePrefix="0" xfId="0">
      <alignment horizontal="left" wrapText="1"/>
    </xf>
    <xf numFmtId="0" fontId="63" fillId="10" borderId="7" applyAlignment="1" pivotButton="0" quotePrefix="0" xfId="0">
      <alignment horizontal="left" wrapText="1"/>
    </xf>
    <xf numFmtId="0" fontId="63" fillId="10" borderId="8" applyAlignment="1" pivotButton="0" quotePrefix="0" xfId="0">
      <alignment horizontal="left" wrapText="1"/>
    </xf>
    <xf numFmtId="0" fontId="63" fillId="10" borderId="9" applyAlignment="1" pivotButton="0" quotePrefix="0" xfId="0">
      <alignment horizontal="left" wrapText="1"/>
    </xf>
    <xf numFmtId="0" fontId="63" fillId="10" borderId="29" applyAlignment="1" pivotButton="0" quotePrefix="0" xfId="0">
      <alignment horizontal="left" wrapText="1"/>
    </xf>
    <xf numFmtId="0" fontId="0" fillId="0" borderId="16" applyAlignment="1" pivotButton="0" quotePrefix="0" xfId="0">
      <alignment horizontal="left" vertical="top" wrapText="1"/>
    </xf>
    <xf numFmtId="0" fontId="0" fillId="0" borderId="0" applyAlignment="1" pivotButton="0" quotePrefix="0" xfId="0">
      <alignment horizontal="left" vertical="top" wrapText="1"/>
    </xf>
    <xf numFmtId="0" fontId="58" fillId="6" borderId="10" applyAlignment="1" pivotButton="0" quotePrefix="0" xfId="0">
      <alignment horizontal="left" vertical="top" wrapText="1"/>
    </xf>
    <xf numFmtId="0" fontId="58" fillId="6" borderId="6" applyAlignment="1" pivotButton="0" quotePrefix="0" xfId="0">
      <alignment horizontal="left" vertical="top" wrapText="1"/>
    </xf>
    <xf numFmtId="0" fontId="58" fillId="6" borderId="7" applyAlignment="1" pivotButton="0" quotePrefix="0" xfId="0">
      <alignment horizontal="left" vertical="top" wrapText="1"/>
    </xf>
    <xf numFmtId="0" fontId="58" fillId="6" borderId="11" applyAlignment="1" pivotButton="0" quotePrefix="0" xfId="0">
      <alignment horizontal="left" vertical="top" wrapText="1"/>
    </xf>
    <xf numFmtId="0" fontId="58" fillId="6" borderId="0" applyAlignment="1" pivotButton="0" quotePrefix="0" xfId="0">
      <alignment horizontal="left" vertical="top" wrapText="1"/>
    </xf>
    <xf numFmtId="0" fontId="58" fillId="6" borderId="12" applyAlignment="1" pivotButton="0" quotePrefix="0" xfId="0">
      <alignment horizontal="left" vertical="top" wrapText="1"/>
    </xf>
    <xf numFmtId="0" fontId="58" fillId="6" borderId="8" applyAlignment="1" pivotButton="0" quotePrefix="0" xfId="0">
      <alignment horizontal="left" vertical="top" wrapText="1"/>
    </xf>
    <xf numFmtId="0" fontId="58" fillId="6" borderId="9" applyAlignment="1" pivotButton="0" quotePrefix="0" xfId="0">
      <alignment horizontal="left" vertical="top" wrapText="1"/>
    </xf>
    <xf numFmtId="0" fontId="58" fillId="6" borderId="29" applyAlignment="1" pivotButton="0" quotePrefix="0" xfId="0">
      <alignment horizontal="left" vertical="top" wrapText="1"/>
    </xf>
    <xf numFmtId="0" fontId="0" fillId="10" borderId="15" applyAlignment="1" pivotButton="0" quotePrefix="0" xfId="0">
      <alignment horizontal="left" vertical="top" wrapText="1"/>
    </xf>
    <xf numFmtId="0" fontId="0" fillId="10" borderId="16" applyAlignment="1" pivotButton="0" quotePrefix="0" xfId="0">
      <alignment horizontal="left" vertical="top" wrapText="1"/>
    </xf>
    <xf numFmtId="0" fontId="0" fillId="10" borderId="17" applyAlignment="1" pivotButton="0" quotePrefix="0" xfId="0">
      <alignment horizontal="left" vertical="top" wrapText="1"/>
    </xf>
    <xf numFmtId="0" fontId="0" fillId="10" borderId="20" applyAlignment="1" pivotButton="0" quotePrefix="0" xfId="0">
      <alignment horizontal="left" vertical="top" wrapText="1"/>
    </xf>
    <xf numFmtId="0" fontId="0" fillId="10" borderId="0" applyAlignment="1" pivotButton="0" quotePrefix="0" xfId="0">
      <alignment horizontal="left" vertical="top" wrapText="1"/>
    </xf>
    <xf numFmtId="0" fontId="0" fillId="10" borderId="21" applyAlignment="1" pivotButton="0" quotePrefix="0" xfId="0">
      <alignment horizontal="left" vertical="top" wrapText="1"/>
    </xf>
    <xf numFmtId="0" fontId="0" fillId="10" borderId="44" applyAlignment="1" pivotButton="0" quotePrefix="0" xfId="0">
      <alignment horizontal="left" vertical="top" wrapText="1"/>
    </xf>
    <xf numFmtId="0" fontId="0" fillId="10" borderId="45" applyAlignment="1" pivotButton="0" quotePrefix="0" xfId="0">
      <alignment horizontal="left" vertical="top" wrapText="1"/>
    </xf>
    <xf numFmtId="0" fontId="0" fillId="10" borderId="30" applyAlignment="1" pivotButton="0" quotePrefix="0" xfId="0">
      <alignment horizontal="left" vertical="top" wrapText="1"/>
    </xf>
    <xf numFmtId="0" fontId="15" fillId="9" borderId="0" applyAlignment="1" pivotButton="0" quotePrefix="0" xfId="0">
      <alignment horizontal="center" vertical="center" wrapText="1"/>
    </xf>
    <xf numFmtId="0" fontId="6" fillId="10" borderId="15" applyAlignment="1" pivotButton="0" quotePrefix="0" xfId="0">
      <alignment horizontal="left" vertical="top" wrapText="1"/>
    </xf>
    <xf numFmtId="0" fontId="6" fillId="10" borderId="16" applyAlignment="1" pivotButton="0" quotePrefix="0" xfId="0">
      <alignment horizontal="left" vertical="top" wrapText="1"/>
    </xf>
    <xf numFmtId="0" fontId="6" fillId="10" borderId="17" applyAlignment="1" pivotButton="0" quotePrefix="0" xfId="0">
      <alignment horizontal="left" vertical="top" wrapText="1"/>
    </xf>
    <xf numFmtId="0" fontId="6" fillId="10" borderId="44" applyAlignment="1" pivotButton="0" quotePrefix="0" xfId="0">
      <alignment horizontal="left" vertical="top" wrapText="1"/>
    </xf>
    <xf numFmtId="0" fontId="6" fillId="10" borderId="45" applyAlignment="1" pivotButton="0" quotePrefix="0" xfId="0">
      <alignment horizontal="left" vertical="top" wrapText="1"/>
    </xf>
    <xf numFmtId="0" fontId="6" fillId="10" borderId="30" applyAlignment="1" pivotButton="0" quotePrefix="0" xfId="0">
      <alignment horizontal="left" vertical="top" wrapText="1"/>
    </xf>
    <xf numFmtId="0" fontId="28" fillId="0" borderId="38" applyAlignment="1" pivotButton="0" quotePrefix="0" xfId="0">
      <alignment horizontal="center"/>
    </xf>
    <xf numFmtId="0" fontId="59" fillId="0" borderId="43" applyAlignment="1" pivotButton="0" quotePrefix="0" xfId="0">
      <alignment horizontal="center"/>
    </xf>
    <xf numFmtId="0" fontId="59" fillId="0" borderId="41" applyAlignment="1" pivotButton="0" quotePrefix="0" xfId="0">
      <alignment horizontal="center"/>
    </xf>
    <xf numFmtId="0" fontId="59" fillId="0" borderId="40" applyAlignment="1" pivotButton="0" quotePrefix="0" xfId="0">
      <alignment horizontal="center"/>
    </xf>
    <xf numFmtId="0" fontId="30" fillId="0" borderId="43" applyAlignment="1" pivotButton="0" quotePrefix="0" xfId="0">
      <alignment horizontal="center"/>
    </xf>
    <xf numFmtId="0" fontId="30" fillId="0" borderId="41" applyAlignment="1" pivotButton="0" quotePrefix="0" xfId="0">
      <alignment horizontal="center"/>
    </xf>
    <xf numFmtId="0" fontId="30" fillId="0" borderId="40" applyAlignment="1" pivotButton="0" quotePrefix="0" xfId="0">
      <alignment horizontal="center"/>
    </xf>
    <xf numFmtId="0" fontId="30" fillId="0" borderId="10" applyAlignment="1" pivotButton="0" quotePrefix="0" xfId="0">
      <alignment horizontal="center"/>
    </xf>
    <xf numFmtId="0" fontId="30" fillId="0" borderId="6" applyAlignment="1" pivotButton="0" quotePrefix="0" xfId="0">
      <alignment horizontal="center"/>
    </xf>
    <xf numFmtId="0" fontId="30" fillId="0" borderId="7" applyAlignment="1" pivotButton="0" quotePrefix="0" xfId="0">
      <alignment horizontal="center"/>
    </xf>
    <xf numFmtId="0" fontId="31" fillId="10" borderId="43" applyAlignment="1" pivotButton="0" quotePrefix="0" xfId="0">
      <alignment horizontal="center"/>
    </xf>
    <xf numFmtId="0" fontId="31" fillId="10" borderId="41" applyAlignment="1" pivotButton="0" quotePrefix="0" xfId="0">
      <alignment horizontal="center"/>
    </xf>
    <xf numFmtId="0" fontId="31" fillId="10" borderId="40" applyAlignment="1" pivotButton="0" quotePrefix="0" xfId="0">
      <alignment horizontal="center"/>
    </xf>
    <xf numFmtId="0" fontId="78" fillId="0" borderId="3" applyAlignment="1" pivotButton="0" quotePrefix="0" xfId="0">
      <alignment horizontal="center" vertical="center" textRotation="90" wrapText="1"/>
    </xf>
    <xf numFmtId="0" fontId="78" fillId="0" borderId="42" applyAlignment="1" pivotButton="0" quotePrefix="0" xfId="0">
      <alignment horizontal="center" vertical="center" textRotation="90" wrapText="1"/>
    </xf>
    <xf numFmtId="0" fontId="78" fillId="0" borderId="14" applyAlignment="1" pivotButton="0" quotePrefix="0" xfId="0">
      <alignment horizontal="center" vertical="center" textRotation="90" wrapText="1"/>
    </xf>
    <xf numFmtId="0" fontId="0" fillId="0" borderId="0" applyAlignment="1" pivotButton="0" quotePrefix="0" xfId="0">
      <alignment horizontal="center"/>
    </xf>
    <xf numFmtId="0" fontId="50" fillId="0" borderId="45" applyAlignment="1" pivotButton="0" quotePrefix="0" xfId="0">
      <alignment horizontal="center"/>
    </xf>
    <xf numFmtId="2" fontId="50" fillId="0" borderId="45" applyAlignment="1" pivotButton="0" quotePrefix="0" xfId="0">
      <alignment horizontal="center"/>
    </xf>
    <xf numFmtId="169" fontId="0" fillId="0" borderId="20" applyAlignment="1" pivotButton="0" quotePrefix="0" xfId="0">
      <alignment horizontal="center" vertical="center" wrapText="1"/>
    </xf>
    <xf numFmtId="0" fontId="65" fillId="0" borderId="2" applyAlignment="1" pivotButton="0" quotePrefix="0" xfId="0">
      <alignment horizontal="center"/>
    </xf>
    <xf numFmtId="0" fontId="0" fillId="0" borderId="41" pivotButton="0" quotePrefix="0" xfId="0"/>
    <xf numFmtId="0" fontId="0" fillId="0" borderId="40" pivotButton="0" quotePrefix="0" xfId="0"/>
    <xf numFmtId="164" fontId="64" fillId="4" borderId="1" applyAlignment="1" pivotButton="0" quotePrefix="0" xfId="2">
      <alignment horizontal="center"/>
    </xf>
    <xf numFmtId="164" fontId="64" fillId="7" borderId="18" applyAlignment="1" pivotButton="0" quotePrefix="0" xfId="0">
      <alignment horizontal="center"/>
    </xf>
    <xf numFmtId="164" fontId="69" fillId="8" borderId="18" pivotButton="0" quotePrefix="0" xfId="0"/>
    <xf numFmtId="164" fontId="64" fillId="4" borderId="14" applyAlignment="1" pivotButton="0" quotePrefix="0" xfId="2">
      <alignment horizontal="center"/>
    </xf>
    <xf numFmtId="0" fontId="0" fillId="0" borderId="5" pivotButton="0" quotePrefix="0" xfId="0"/>
    <xf numFmtId="0" fontId="0" fillId="0" borderId="18" pivotButton="0" quotePrefix="0" xfId="0"/>
    <xf numFmtId="164" fontId="64" fillId="0" borderId="0" applyAlignment="1" pivotButton="0" quotePrefix="0" xfId="2">
      <alignment horizontal="center"/>
    </xf>
    <xf numFmtId="0" fontId="65" fillId="0" borderId="19" applyAlignment="1" pivotButton="0" quotePrefix="0" xfId="0">
      <alignment horizontal="left"/>
    </xf>
    <xf numFmtId="0" fontId="0" fillId="0" borderId="6" pivotButton="0" quotePrefix="0" xfId="0"/>
    <xf numFmtId="0" fontId="0" fillId="0" borderId="7" pivotButton="0" quotePrefix="0" xfId="0"/>
    <xf numFmtId="0" fontId="69" fillId="0" borderId="55" applyAlignment="1" pivotButton="0" quotePrefix="0" xfId="0">
      <alignment horizontal="center" wrapText="1"/>
    </xf>
    <xf numFmtId="0" fontId="0" fillId="0" borderId="12" pivotButton="0" quotePrefix="0" xfId="0"/>
    <xf numFmtId="171" fontId="64" fillId="6" borderId="1" pivotButton="0" quotePrefix="0" xfId="0"/>
    <xf numFmtId="169" fontId="64" fillId="4" borderId="1" applyAlignment="1" pivotButton="0" quotePrefix="0" xfId="0">
      <alignment horizontal="center"/>
    </xf>
    <xf numFmtId="169" fontId="64" fillId="0" borderId="0" applyAlignment="1" pivotButton="0" quotePrefix="0" xfId="0">
      <alignment horizontal="center"/>
    </xf>
    <xf numFmtId="169" fontId="70" fillId="4" borderId="1" applyAlignment="1" pivotButton="0" quotePrefix="0" xfId="0">
      <alignment horizontal="center"/>
    </xf>
    <xf numFmtId="169" fontId="70" fillId="4" borderId="1" pivotButton="0" quotePrefix="0" xfId="0"/>
    <xf numFmtId="169" fontId="64" fillId="10" borderId="0" applyAlignment="1" pivotButton="0" quotePrefix="0" xfId="0">
      <alignment horizontal="center"/>
    </xf>
    <xf numFmtId="169" fontId="62" fillId="4" borderId="1" applyAlignment="1" pivotButton="0" quotePrefix="0" xfId="0">
      <alignment horizontal="center"/>
    </xf>
    <xf numFmtId="164" fontId="83" fillId="6" borderId="1" pivotButton="0" quotePrefix="0" xfId="2"/>
    <xf numFmtId="164" fontId="83" fillId="6" borderId="1" applyAlignment="1" pivotButton="0" quotePrefix="0" xfId="2">
      <alignment horizontal="center"/>
    </xf>
    <xf numFmtId="164" fontId="93" fillId="11" borderId="13" applyAlignment="1" pivotButton="0" quotePrefix="0" xfId="2">
      <alignment horizontal="center"/>
    </xf>
    <xf numFmtId="164" fontId="83" fillId="6" borderId="13" applyAlignment="1" pivotButton="0" quotePrefix="0" xfId="2">
      <alignment horizontal="center"/>
    </xf>
    <xf numFmtId="164" fontId="83" fillId="6" borderId="13" applyAlignment="1" pivotButton="0" quotePrefix="0" xfId="0">
      <alignment horizontal="center"/>
    </xf>
    <xf numFmtId="164" fontId="81" fillId="6" borderId="52" pivotButton="0" quotePrefix="0" xfId="0"/>
    <xf numFmtId="164" fontId="83" fillId="6" borderId="13" pivotButton="0" quotePrefix="0" xfId="2"/>
    <xf numFmtId="164" fontId="83" fillId="6" borderId="1" applyAlignment="1" pivotButton="0" quotePrefix="0" xfId="0">
      <alignment horizontal="center"/>
    </xf>
    <xf numFmtId="164" fontId="81" fillId="6" borderId="53" pivotButton="0" quotePrefix="0" xfId="0"/>
    <xf numFmtId="168" fontId="83" fillId="6" borderId="3" applyAlignment="1" pivotButton="0" quotePrefix="0" xfId="0">
      <alignment horizontal="center"/>
    </xf>
    <xf numFmtId="164" fontId="83" fillId="6" borderId="1" pivotButton="0" quotePrefix="0" xfId="3"/>
    <xf numFmtId="164" fontId="83" fillId="0" borderId="0" applyAlignment="1" pivotButton="0" quotePrefix="0" xfId="0">
      <alignment horizontal="center"/>
    </xf>
    <xf numFmtId="164" fontId="83" fillId="0" borderId="0" applyAlignment="1" pivotButton="0" quotePrefix="0" xfId="0">
      <alignment horizontal="left"/>
    </xf>
    <xf numFmtId="164" fontId="83" fillId="6" borderId="1" pivotButton="0" quotePrefix="0" xfId="0"/>
    <xf numFmtId="169" fontId="83" fillId="6" borderId="1" pivotButton="0" quotePrefix="0" xfId="0"/>
    <xf numFmtId="165" fontId="83" fillId="6" borderId="1" pivotButton="0" quotePrefix="0" xfId="0"/>
    <xf numFmtId="164" fontId="94" fillId="6" borderId="1" pivotButton="0" quotePrefix="0" xfId="2"/>
    <xf numFmtId="171" fontId="83" fillId="6" borderId="1" pivotButton="0" quotePrefix="0" xfId="0"/>
    <xf numFmtId="171" fontId="83" fillId="6" borderId="1" applyAlignment="1" pivotButton="0" quotePrefix="0" xfId="0">
      <alignment horizontal="center"/>
    </xf>
    <xf numFmtId="164" fontId="83" fillId="0" borderId="0" pivotButton="0" quotePrefix="0" xfId="0"/>
    <xf numFmtId="0" fontId="35" fillId="0" borderId="1" applyAlignment="1" pivotButton="0" quotePrefix="0" xfId="0">
      <alignment horizontal="center"/>
    </xf>
    <xf numFmtId="0" fontId="1" fillId="10" borderId="1" applyAlignment="1" pivotButton="0" quotePrefix="0" xfId="0">
      <alignment horizontal="left" vertical="top" wrapText="1"/>
    </xf>
    <xf numFmtId="0" fontId="0" fillId="0" borderId="16" pivotButton="0" quotePrefix="0" xfId="0"/>
    <xf numFmtId="0" fontId="0" fillId="0" borderId="17" pivotButton="0" quotePrefix="0" xfId="0"/>
    <xf numFmtId="0" fontId="42" fillId="0" borderId="1" applyAlignment="1" pivotButton="0" quotePrefix="0" xfId="0">
      <alignment horizontal="left" wrapText="1"/>
    </xf>
    <xf numFmtId="0" fontId="0" fillId="0" borderId="20" pivotButton="0" quotePrefix="0" xfId="0"/>
    <xf numFmtId="0" fontId="0" fillId="0" borderId="21" pivotButton="0" quotePrefix="0" xfId="0"/>
    <xf numFmtId="0" fontId="0" fillId="0" borderId="44" pivotButton="0" quotePrefix="0" xfId="0"/>
    <xf numFmtId="0" fontId="0" fillId="0" borderId="45" pivotButton="0" quotePrefix="0" xfId="0"/>
    <xf numFmtId="0" fontId="0" fillId="0" borderId="30" pivotButton="0" quotePrefix="0" xfId="0"/>
    <xf numFmtId="0" fontId="41" fillId="0" borderId="1" applyAlignment="1" pivotButton="0" quotePrefix="0" xfId="0">
      <alignment horizontal="center"/>
    </xf>
    <xf numFmtId="169" fontId="39" fillId="0" borderId="1" applyAlignment="1" pivotButton="0" quotePrefix="0" xfId="2">
      <alignment horizontal="center"/>
    </xf>
    <xf numFmtId="174" fontId="4" fillId="0" borderId="1" applyAlignment="1" pivotButton="0" quotePrefix="0" xfId="3">
      <alignment horizontal="center"/>
    </xf>
    <xf numFmtId="0" fontId="36" fillId="0" borderId="1" applyAlignment="1" pivotButton="0" quotePrefix="0" xfId="0">
      <alignment horizontal="left" vertical="center" wrapText="1"/>
    </xf>
    <xf numFmtId="10" fontId="39" fillId="10" borderId="1" applyAlignment="1" pivotButton="0" quotePrefix="0" xfId="3">
      <alignment horizontal="center"/>
    </xf>
    <xf numFmtId="0" fontId="44" fillId="0" borderId="18" applyAlignment="1" pivotButton="0" quotePrefix="0" xfId="0">
      <alignment horizontal="left" vertical="center" wrapText="1"/>
    </xf>
    <xf numFmtId="169" fontId="39" fillId="0" borderId="24" applyAlignment="1" pivotButton="0" quotePrefix="0" xfId="2">
      <alignment horizontal="center"/>
    </xf>
    <xf numFmtId="169" fontId="39" fillId="0" borderId="25" applyAlignment="1" pivotButton="0" quotePrefix="0" xfId="2">
      <alignment horizontal="center"/>
    </xf>
    <xf numFmtId="169" fontId="39" fillId="0" borderId="26" applyAlignment="1" pivotButton="0" quotePrefix="0" xfId="2">
      <alignment horizontal="center"/>
    </xf>
    <xf numFmtId="0" fontId="3" fillId="0" borderId="1" applyAlignment="1" pivotButton="0" quotePrefix="0" xfId="0">
      <alignment horizontal="left"/>
    </xf>
    <xf numFmtId="164" fontId="3" fillId="10" borderId="1" applyAlignment="1" pivotButton="0" quotePrefix="0" xfId="0">
      <alignment horizontal="center"/>
    </xf>
    <xf numFmtId="169" fontId="39" fillId="10" borderId="1" pivotButton="0" quotePrefix="0" xfId="2"/>
    <xf numFmtId="171" fontId="39" fillId="0" borderId="0" pivotButton="0" quotePrefix="0" xfId="2"/>
    <xf numFmtId="169" fontId="39" fillId="10" borderId="13" pivotButton="0" quotePrefix="0" xfId="2"/>
    <xf numFmtId="171" fontId="39" fillId="0" borderId="13" applyAlignment="1" pivotButton="0" quotePrefix="0" xfId="2">
      <alignment horizontal="right"/>
    </xf>
    <xf numFmtId="0" fontId="0" fillId="0" borderId="11" pivotButton="0" quotePrefix="0" xfId="0"/>
    <xf numFmtId="0" fontId="0" fillId="0" borderId="38" pivotButton="0" quotePrefix="0" xfId="0"/>
    <xf numFmtId="0" fontId="0" fillId="0" borderId="56" pivotButton="0" quotePrefix="0" xfId="0"/>
    <xf numFmtId="169" fontId="36" fillId="10" borderId="34" pivotButton="0" quotePrefix="0" xfId="2"/>
    <xf numFmtId="169" fontId="39" fillId="0" borderId="40" applyAlignment="1" pivotButton="0" quotePrefix="0" xfId="0">
      <alignment horizontal="left"/>
    </xf>
    <xf numFmtId="164" fontId="0" fillId="0" borderId="0" pivotButton="0" quotePrefix="0" xfId="0"/>
    <xf numFmtId="0" fontId="77" fillId="0" borderId="2" applyAlignment="1" pivotButton="0" quotePrefix="0" xfId="0">
      <alignment horizontal="center"/>
    </xf>
    <xf numFmtId="17" fontId="77" fillId="0" borderId="2" applyAlignment="1" pivotButton="0" quotePrefix="0" xfId="0">
      <alignment horizontal="center"/>
    </xf>
    <xf numFmtId="0" fontId="0" fillId="0" borderId="58" pivotButton="0" quotePrefix="0" xfId="0"/>
    <xf numFmtId="0" fontId="77" fillId="0" borderId="19" applyAlignment="1" pivotButton="0" quotePrefix="0" xfId="0">
      <alignment horizontal="center"/>
    </xf>
    <xf numFmtId="0" fontId="63" fillId="10" borderId="2" applyAlignment="1" pivotButton="0" quotePrefix="0" xfId="0">
      <alignment horizontal="left" vertical="top" wrapText="1"/>
    </xf>
    <xf numFmtId="177" fontId="63" fillId="0" borderId="1" pivotButton="0" quotePrefix="0" xfId="0"/>
    <xf numFmtId="0" fontId="0" fillId="0" borderId="8" pivotButton="0" quotePrefix="0" xfId="0"/>
    <xf numFmtId="0" fontId="0" fillId="0" borderId="29" pivotButton="0" quotePrefix="0" xfId="0"/>
    <xf numFmtId="164" fontId="63" fillId="10" borderId="31" pivotButton="0" quotePrefix="0" xfId="0"/>
    <xf numFmtId="177" fontId="63" fillId="10" borderId="31" pivotButton="0" quotePrefix="0" xfId="0"/>
    <xf numFmtId="177" fontId="63" fillId="10" borderId="36" pivotButton="0" quotePrefix="0" xfId="0"/>
    <xf numFmtId="171" fontId="63" fillId="0" borderId="1" pivotButton="0" quotePrefix="0" xfId="0"/>
    <xf numFmtId="171" fontId="63" fillId="10" borderId="1" pivotButton="0" quotePrefix="0" xfId="0"/>
    <xf numFmtId="177" fontId="63" fillId="10" borderId="24" pivotButton="0" quotePrefix="0" xfId="0"/>
    <xf numFmtId="164" fontId="63" fillId="10" borderId="1" pivotButton="0" quotePrefix="0" xfId="0"/>
    <xf numFmtId="169" fontId="77" fillId="10" borderId="50" pivotButton="0" quotePrefix="0" xfId="0"/>
    <xf numFmtId="168" fontId="63" fillId="0" borderId="1" pivotButton="0" quotePrefix="0" xfId="0"/>
    <xf numFmtId="169" fontId="63" fillId="0" borderId="15" pivotButton="0" quotePrefix="0" xfId="0"/>
    <xf numFmtId="169" fontId="85" fillId="10" borderId="1" pivotButton="0" quotePrefix="0" xfId="0"/>
    <xf numFmtId="177" fontId="96" fillId="0" borderId="1" applyAlignment="1" pivotButton="0" quotePrefix="0" xfId="0">
      <alignment horizontal="center"/>
    </xf>
    <xf numFmtId="177" fontId="96" fillId="10" borderId="1" applyAlignment="1" pivotButton="0" quotePrefix="0" xfId="0">
      <alignment horizontal="center"/>
    </xf>
    <xf numFmtId="177" fontId="96" fillId="10" borderId="24" applyAlignment="1" pivotButton="0" quotePrefix="0" xfId="0">
      <alignment horizontal="center"/>
    </xf>
    <xf numFmtId="164" fontId="12" fillId="10" borderId="1" applyAlignment="1" pivotButton="0" quotePrefix="0" xfId="0">
      <alignment horizontal="center"/>
    </xf>
    <xf numFmtId="169" fontId="12" fillId="0" borderId="1" applyAlignment="1" pivotButton="0" quotePrefix="0" xfId="0">
      <alignment horizontal="center"/>
    </xf>
    <xf numFmtId="169" fontId="12" fillId="10" borderId="1" applyAlignment="1" pivotButton="0" quotePrefix="0" xfId="0">
      <alignment horizontal="center"/>
    </xf>
    <xf numFmtId="10" fontId="85" fillId="0" borderId="2" applyAlignment="1" pivotButton="0" quotePrefix="0" xfId="0">
      <alignment horizontal="center"/>
    </xf>
    <xf numFmtId="164" fontId="63" fillId="2" borderId="1" pivotButton="0" quotePrefix="0" xfId="0"/>
    <xf numFmtId="164" fontId="63" fillId="2" borderId="1" pivotButton="0" quotePrefix="0" xfId="2"/>
    <xf numFmtId="169" fontId="77" fillId="0" borderId="13" applyAlignment="1" pivotButton="0" quotePrefix="0" xfId="0">
      <alignment horizontal="center"/>
    </xf>
    <xf numFmtId="175" fontId="77" fillId="0" borderId="1" applyAlignment="1" pivotButton="0" quotePrefix="0" xfId="1">
      <alignment horizontal="center"/>
    </xf>
    <xf numFmtId="168" fontId="63" fillId="0" borderId="1" applyAlignment="1" pivotButton="0" quotePrefix="0" xfId="0">
      <alignment horizontal="center"/>
    </xf>
    <xf numFmtId="164" fontId="63" fillId="6" borderId="2" pivotButton="0" quotePrefix="0" xfId="2"/>
    <xf numFmtId="164" fontId="63" fillId="0" borderId="0" pivotButton="0" quotePrefix="0" xfId="2"/>
    <xf numFmtId="165" fontId="63" fillId="6" borderId="2" pivotButton="0" quotePrefix="0" xfId="0"/>
    <xf numFmtId="0" fontId="57" fillId="10" borderId="2" applyAlignment="1" pivotButton="0" quotePrefix="0" xfId="0">
      <alignment horizontal="left" vertical="top" wrapText="1"/>
    </xf>
    <xf numFmtId="164" fontId="15" fillId="3" borderId="1" pivotButton="0" quotePrefix="0" xfId="2"/>
    <xf numFmtId="172" fontId="34" fillId="4" borderId="1" applyAlignment="1" pivotButton="0" quotePrefix="0" xfId="0">
      <alignment horizontal="right"/>
    </xf>
    <xf numFmtId="0" fontId="0" fillId="0" borderId="9" pivotButton="0" quotePrefix="0" xfId="0"/>
    <xf numFmtId="164" fontId="15" fillId="0" borderId="0" pivotButton="0" quotePrefix="0" xfId="2"/>
    <xf numFmtId="164" fontId="15" fillId="2" borderId="1" pivotButton="0" quotePrefix="0" xfId="0"/>
    <xf numFmtId="164" fontId="15" fillId="2" borderId="1" pivotButton="0" quotePrefix="0" xfId="2"/>
    <xf numFmtId="164" fontId="15" fillId="2" borderId="3" pivotButton="0" quotePrefix="0" xfId="0"/>
    <xf numFmtId="164" fontId="15" fillId="2" borderId="3" pivotButton="0" quotePrefix="0" xfId="2"/>
    <xf numFmtId="164" fontId="15" fillId="2" borderId="2" pivotButton="0" quotePrefix="0" xfId="0"/>
    <xf numFmtId="165" fontId="15" fillId="2" borderId="2" pivotButton="0" quotePrefix="0" xfId="0"/>
    <xf numFmtId="164" fontId="15" fillId="2" borderId="4" pivotButton="0" quotePrefix="0" xfId="0"/>
    <xf numFmtId="169" fontId="0" fillId="6" borderId="1" pivotButton="0" quotePrefix="0" xfId="0"/>
    <xf numFmtId="0" fontId="63" fillId="10" borderId="2" applyAlignment="1" pivotButton="0" quotePrefix="0" xfId="0">
      <alignment horizontal="left" wrapText="1"/>
    </xf>
    <xf numFmtId="164" fontId="63" fillId="6" borderId="1" pivotButton="0" quotePrefix="0" xfId="0"/>
    <xf numFmtId="169" fontId="63" fillId="6" borderId="2" pivotButton="0" quotePrefix="0" xfId="0"/>
    <xf numFmtId="0" fontId="77" fillId="10" borderId="2" applyAlignment="1" pivotButton="0" quotePrefix="0" xfId="0">
      <alignment horizontal="center"/>
    </xf>
    <xf numFmtId="164" fontId="83" fillId="3" borderId="1" pivotButton="0" quotePrefix="0" xfId="2"/>
    <xf numFmtId="164" fontId="88" fillId="0" borderId="1" pivotButton="0" quotePrefix="0" xfId="2"/>
    <xf numFmtId="164" fontId="88" fillId="0" borderId="3" pivotButton="0" quotePrefix="0" xfId="2"/>
    <xf numFmtId="164" fontId="83" fillId="0" borderId="2" pivotButton="0" quotePrefix="0" xfId="2"/>
    <xf numFmtId="164" fontId="88" fillId="0" borderId="0" pivotButton="0" quotePrefix="0" xfId="2"/>
    <xf numFmtId="164" fontId="83" fillId="0" borderId="0" pivotButton="0" quotePrefix="0" xfId="2"/>
    <xf numFmtId="169" fontId="83" fillId="0" borderId="19" pivotButton="0" quotePrefix="0" xfId="0"/>
    <xf numFmtId="176" fontId="83" fillId="0" borderId="1" pivotButton="0" quotePrefix="0" xfId="2"/>
    <xf numFmtId="0" fontId="6" fillId="10" borderId="1" applyAlignment="1" pivotButton="0" quotePrefix="0" xfId="0">
      <alignment horizontal="left" vertical="top" wrapText="1"/>
    </xf>
    <xf numFmtId="0" fontId="58" fillId="6" borderId="2" applyAlignment="1" pivotButton="0" quotePrefix="0" xfId="0">
      <alignment horizontal="left" vertical="top" wrapText="1"/>
    </xf>
    <xf numFmtId="172" fontId="103" fillId="0" borderId="0" applyAlignment="1" pivotButton="0" quotePrefix="0" xfId="0">
      <alignment horizontal="right" vertical="top" wrapText="1"/>
    </xf>
    <xf numFmtId="0" fontId="59" fillId="0" borderId="2" applyAlignment="1" pivotButton="0" quotePrefix="0" xfId="0">
      <alignment horizontal="center"/>
    </xf>
    <xf numFmtId="164" fontId="15" fillId="6" borderId="1" pivotButton="0" quotePrefix="0" xfId="0"/>
    <xf numFmtId="166" fontId="15" fillId="6" borderId="1" pivotButton="0" quotePrefix="0" xfId="3"/>
    <xf numFmtId="166" fontId="15" fillId="6" borderId="1" pivotButton="0" quotePrefix="0" xfId="0"/>
    <xf numFmtId="170" fontId="15" fillId="3" borderId="1" pivotButton="0" quotePrefix="0" xfId="0"/>
    <xf numFmtId="167" fontId="15" fillId="4" borderId="1" pivotButton="0" quotePrefix="0" xfId="2"/>
    <xf numFmtId="168" fontId="15" fillId="6" borderId="1" pivotButton="0" quotePrefix="0" xfId="0"/>
    <xf numFmtId="167" fontId="15" fillId="6" borderId="1" pivotButton="0" quotePrefix="0" xfId="0"/>
    <xf numFmtId="168" fontId="15" fillId="6" borderId="1" applyAlignment="1" pivotButton="0" quotePrefix="0" xfId="0">
      <alignment horizontal="center"/>
    </xf>
    <xf numFmtId="0" fontId="0" fillId="10" borderId="1" applyAlignment="1" pivotButton="0" quotePrefix="0" xfId="0">
      <alignment horizontal="left" vertical="top" wrapText="1"/>
    </xf>
    <xf numFmtId="167" fontId="7" fillId="6" borderId="1" pivotButton="0" quotePrefix="0" xfId="2"/>
    <xf numFmtId="168" fontId="0" fillId="6" borderId="1" pivotButton="0" quotePrefix="0" xfId="0"/>
    <xf numFmtId="168" fontId="0" fillId="6" borderId="1" applyAlignment="1" pivotButton="0" quotePrefix="0" xfId="0">
      <alignment horizontal="center"/>
    </xf>
    <xf numFmtId="164" fontId="15" fillId="6" borderId="1" pivotButton="0" quotePrefix="0" xfId="2"/>
    <xf numFmtId="171" fontId="15" fillId="6" borderId="1" pivotButton="0" quotePrefix="0" xfId="2"/>
    <xf numFmtId="0" fontId="30" fillId="0" borderId="2" applyAlignment="1" pivotButton="0" quotePrefix="0" xfId="0">
      <alignment horizontal="center"/>
    </xf>
    <xf numFmtId="0" fontId="30" fillId="0" borderId="19" applyAlignment="1" pivotButton="0" quotePrefix="0" xfId="0">
      <alignment horizontal="center"/>
    </xf>
    <xf numFmtId="178" fontId="0" fillId="10" borderId="54" applyAlignment="1" pivotButton="0" quotePrefix="0" xfId="0">
      <alignment horizontal="center"/>
    </xf>
    <xf numFmtId="0" fontId="31" fillId="10" borderId="2" applyAlignment="1" pivotButton="0" quotePrefix="0" xfId="0">
      <alignment horizontal="center"/>
    </xf>
    <xf numFmtId="0" fontId="78" fillId="0" borderId="1" applyAlignment="1" pivotButton="0" quotePrefix="0" xfId="0">
      <alignment horizontal="center" vertical="center" textRotation="90" wrapText="1"/>
    </xf>
    <xf numFmtId="0" fontId="0" fillId="0" borderId="42" pivotButton="0" quotePrefix="0" xfId="0"/>
    <xf numFmtId="0" fontId="0" fillId="0" borderId="14" pivotButton="0" quotePrefix="0" xfId="0"/>
    <xf numFmtId="164" fontId="39" fillId="0" borderId="0" pivotButton="0" quotePrefix="0" xfId="0"/>
    <xf numFmtId="164" fontId="61" fillId="0" borderId="0" pivotButton="0" quotePrefix="0" xfId="0"/>
    <xf numFmtId="164" fontId="39" fillId="0" borderId="1" applyAlignment="1" pivotButton="0" quotePrefix="0" xfId="0">
      <alignment horizontal="center"/>
    </xf>
    <xf numFmtId="164" fontId="39" fillId="0" borderId="1" applyAlignment="1" pivotButton="0" quotePrefix="0" xfId="2">
      <alignment horizontal="center"/>
    </xf>
    <xf numFmtId="168" fontId="62" fillId="0" borderId="1" pivotButton="0" quotePrefix="0" xfId="0"/>
    <xf numFmtId="164" fontId="62" fillId="0" borderId="1" pivotButton="0" quotePrefix="0" xfId="0"/>
    <xf numFmtId="177" fontId="0" fillId="0" borderId="1" applyAlignment="1" pivotButton="0" quotePrefix="0" xfId="0">
      <alignment horizontal="center"/>
    </xf>
    <xf numFmtId="178" fontId="0" fillId="0" borderId="0" pivotButton="0" quotePrefix="0" xfId="0"/>
    <xf numFmtId="169" fontId="0" fillId="0" borderId="1" applyAlignment="1" pivotButton="0" quotePrefix="0" xfId="0">
      <alignment horizontal="center"/>
    </xf>
    <xf numFmtId="169" fontId="0" fillId="0" borderId="1" pivotButton="0" quotePrefix="0" xfId="0"/>
    <xf numFmtId="169" fontId="0" fillId="0" borderId="1" applyAlignment="1" pivotButton="0" quotePrefix="0" xfId="3">
      <alignment horizontal="center"/>
    </xf>
    <xf numFmtId="169" fontId="6" fillId="0" borderId="0" applyAlignment="1" pivotButton="0" quotePrefix="0" xfId="0">
      <alignment horizontal="center"/>
    </xf>
    <xf numFmtId="169" fontId="6" fillId="0" borderId="0" pivotButton="0" quotePrefix="0" xfId="0"/>
    <xf numFmtId="172" fontId="34" fillId="0" borderId="0" applyAlignment="1" pivotButton="0" quotePrefix="0" xfId="0">
      <alignment horizontal="right"/>
    </xf>
    <xf numFmtId="169" fontId="0" fillId="0" borderId="0" applyAlignment="1" pivotButton="0" quotePrefix="0" xfId="0">
      <alignment horizontal="center"/>
    </xf>
    <xf numFmtId="169" fontId="0" fillId="0" borderId="0" pivotButton="0" quotePrefix="0" xfId="0"/>
    <xf numFmtId="169" fontId="0" fillId="0" borderId="20" applyAlignment="1" pivotButton="0" quotePrefix="0" xfId="0">
      <alignment horizontal="center" vertical="center" wrapText="1"/>
    </xf>
    <xf numFmtId="169" fontId="0" fillId="4" borderId="1" applyAlignment="1" pivotButton="0" quotePrefix="0" xfId="0">
      <alignment horizontal="center"/>
    </xf>
    <xf numFmtId="164" fontId="7" fillId="4" borderId="1" applyAlignment="1" pivotButton="0" quotePrefix="0" xfId="2">
      <alignment horizontal="center"/>
    </xf>
  </cellXfs>
  <cellStyles count="4">
    <cellStyle name="Normal" xfId="0" builtinId="0"/>
    <cellStyle name="Comma" xfId="1" builtinId="3"/>
    <cellStyle name="Currency" xfId="2" builtinId="4"/>
    <cellStyle name="Percent" xfId="3" builtinId="5"/>
  </cellStyles>
  <dxfs count="2">
    <dxf>
      <border>
        <left/>
        <right/>
        <top/>
        <bottom/>
      </border>
    </dxf>
    <dxf>
      <border>
        <left/>
        <right/>
        <top/>
        <bottom/>
      </border>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omments/comment1.xml><?xml version="1.0" encoding="utf-8"?>
<comments xmlns="http://schemas.openxmlformats.org/spreadsheetml/2006/main">
  <authors>
    <author>Aswath Damodaran</author>
    <author>tc={7BAE0B7D-2A22-9646-AFBD-9CED059E2F7D}</author>
    <author>tc={DF1B34C1-6F66-8E4E-B352-B5D7538E8B46}</author>
    <author>tc={4ADC1F30-8193-6A46-9CCC-BC8DC63A7A6F}</author>
  </authors>
  <commentList>
    <comment ref="C6" authorId="0" shapeId="0">
      <text>
        <t>Aswath Damodaran:
If you are using trailing 12-month data, it is best if the last year is the 12-month period just prior to the one that you are using. Thus, if you are looking at June 2011-June 2012, your trailing 12 month for the income statement numbers will be June 2010-June 2011 and your balance sheet numbers should be as of June 2011.</t>
      </text>
    </comment>
    <comment ref="B8" authorId="0" shapeId="0">
      <text>
        <t>Aswath Damodaran:
If you are in multiple businesses, you can construct your own weighted averages using the industry average table from this spreadsheet and your company's business breakdown.</t>
      </text>
    </comment>
    <comment ref="D9" authorId="0" shapeId="0">
      <text>
        <t>Aswath Damodaran:
If you have trailing 12 month numbers, the last year's numbers may be only 3 months, 6 months or 9 months ago.</t>
      </text>
    </comment>
    <comment ref="B10" authorId="0" shapeId="0">
      <text>
        <t>Aswath Damodaran:
Enter the revenues from the most recent period (you can either use annual or the trailing 12 months). If your company had no revenues, enter a very small positive number. (You need a base for your growth rate)</t>
      </text>
    </comment>
    <comment ref="C10" authorId="0" shapeId="0">
      <text>
        <t>Aswath Damodaran:
Enter the revenues from the most recent period (you can either use annual or the trailing 12 months). If your company had no revenues, enter a very small positive number. (You need a base for your growth rate)</t>
      </text>
    </comment>
    <comment ref="B11" authorId="0" shapeId="0">
      <text>
        <t>Aswath Damodaran:
Enter the operating income or EBIT from the most recent time period, even if that number is negative. If you have operating leases or R&amp;D and want to adjust for them, use the options below to start the process and enter the numbers in the relevan t worksheets.</t>
      </text>
    </comment>
    <comment ref="C11" authorId="0" shapeId="0">
      <text>
        <t>Aswath Damodaran:
Enter the operating income or EBIT from the most recent time period, even if that number is negative. If you have operating leases, enter the adjusted operating income (see the operating lease worksheet for the amount you have to adjust operating income by).</t>
      </text>
    </comment>
    <comment ref="B13" authorId="0" shapeId="0">
      <text>
        <t>Aswath Damodaran:
Enter the book value of equity (total) from the end of the most recent time period (i.e. the most recent balance sheet). This book equity will include everything - paid in capital, retained earnings etc. and may even be negative for companies that have been losing money for a while.</t>
      </text>
    </comment>
    <comment ref="C13" authorId="0" shapeId="0">
      <text>
        <t>Aswath Damodaran:
Enter the book value of equity (total) from the end of the most recent time period (i.e. the most recent balance sheet). This book equity will include everything - paid in capital, retained earnings etc. and may even be negative for companies that have been losing money for a while.</t>
      </text>
    </comment>
    <comment ref="B14" authorId="0" shapeId="0">
      <text>
        <t xml:space="preserve">Aswath Damodaran:
Enter the book value of interest bearing debt (short and long term) at your company from the most recent balance sheet. (Do not include accounts payable, supplier credit or other non-interest bearing liabilities.) </t>
      </text>
    </comment>
    <comment ref="C14" authorId="0" shapeId="0">
      <text>
        <t xml:space="preserve">Aswath Damodaran:
Enter the book value of interest bearing debt (short and long term) at your company from the most recent balance sheet. (Do not include accounts payable, supplier credit or other non-interest bearing liabilities.) </t>
      </text>
    </comment>
    <comment ref="B15" authorId="1" shapeId="0">
      <text>
        <t>[Threaded comment]
Your version of Excel allows you to read this threaded comment; however, any edits to it will get removed if the file is opened in a newer version of Excel. Learn more: https://go.microsoft.com/fwlink/?linkid=870924
Comment:
    If you have R&amp;D or R&amp;D-like expenses (customer acquisitions, exploration costs, brand advertising), say yes, and input data into the R&amp;D page.</t>
      </text>
    </comment>
    <comment ref="B16" authorId="2" shapeId="0">
      <text>
        <t>[Threaded comment]
Your version of Excel allows you to read this threaded comment; however, any edits to it will get removed if the file is opened in a newer version of Excel. Learn more: https://go.microsoft.com/fwlink/?linkid=870924
Comment:
    If accountants have already converted leases to debt, and you included that debt is cell B12, answer no to this question. Do not double count.</t>
      </text>
    </comment>
    <comment ref="B17" authorId="0" shapeId="0">
      <text>
        <t>Aswath Damodaran:
Enter the cash balance from the most recent balance sheet. This should include marketable securities.</t>
      </text>
    </comment>
    <comment ref="C17" authorId="0" shapeId="0">
      <text>
        <t>Aswath Damodaran:
Enter the cash balance from the most recent balance sheet. This should include marketable securities.</t>
      </text>
    </comment>
    <comment ref="B18" authorId="0" shapeId="0">
      <text>
        <t>Aswath Damodaran:
Enter the market value of those non-cash assets whose earnings are (and will never) show up as part of operating income. The most common non-operating assets are minority holdings in other companies (which are not consoldiated). You can find the book value of these holdings on the balance sheet, but see if you can convert to market value. (I apply a price to book ratio, based on the sector that the company is in to the book value).</t>
      </text>
    </comment>
    <comment ref="B19" authorId="0" shapeId="0">
      <text>
        <t>Aswath Damodaran:
Enter the "market" value of minority interests. This is a uniquely accounting item and will be on the liability side of your company's balance sheet. It reflects the requirement that if you own more than 50% of another company or have effective control of it, you have to consolidate that company's statements with yours. Thus, you count 100% of that subsidiaries assets, revenues and operating income with your company, even if you own only 60%. The minority interest reflects the book value of the 40% of the equity in the subsidiary that does not belong to you. Again, it is best if you can convert the book value to a market value by applying the price to book ratio for the sector in which the subsidiary operates</t>
      </text>
    </comment>
    <comment ref="B20" authorId="0" shapeId="0">
      <text>
        <t>Aswath Damodaran:
Enter the most recent update you have on the number of shares. If you have different classes of shares, aggregate them all and enter one number. Count restricted stock units (RSUs) as shares but don't count shares underlying employee options.</t>
      </text>
    </comment>
    <comment ref="B21" authorId="0" shapeId="0">
      <text>
        <t xml:space="preserve">Aswath Damodaran:
Enter the most recent stock price (how about today's?) in here. </t>
      </text>
    </comment>
    <comment ref="B22" authorId="0" shapeId="0">
      <text>
        <t>Aswath Damodaran:
Enter your effective (not marginal) tax rate for your firm. You will find this in your company's annual report. If you cannot, you can compute it as follows, from the income statement:
Effective tax rate = Taxes paid/ Taxable income
If your effective tax rate varies across years, you can use an average. If the effective tax rate is less than zero, enter zero.
If you have a money losing company, don't enter zero but enter the tax rate that you will have when you start making money.</t>
      </text>
    </comment>
    <comment ref="B23" authorId="0" shapeId="0">
      <text>
        <t>Aswath Damodaran:
This is a statutory tax rate. I use the tax rate of the country the company is domiciled in. See worksheet embedded in this spreadshseet for country tax rates.</t>
      </text>
    </comment>
    <comment ref="B25" authorId="3" shapeId="0">
      <text>
        <t>[Threaded comment]
Your version of Excel allows you to read this threaded comment; however, any edits to it will get removed if the file is opened in a newer version of Excel. Learn more: https://go.microsoft.com/fwlink/?linkid=870924
Comment:
    If you want to adjust for something specific (an aberrant base year, an unusual upcoming year, you can use your year 1 revenue growth rate to do that.</t>
      </text>
    </comment>
    <comment ref="B27" authorId="0" shapeId="0">
      <text>
        <t>Aswath Damodaran:
I don't have a crystal ball but you should look at 
a. Revenue growth in your company in recent years
b. Your company's revenues, relative to the overall market size and larger players in the sector. 
Suggestion: Check your revenues in year 10 against the overall market and see what market share are you giving your company. Check your company's revenues against other companies in the sector.
Note that this number can be negative for a declining firm.</t>
      </text>
    </comment>
    <comment ref="B28" authorId="0" shapeId="0">
      <text>
        <t xml:space="preserve">Aswath Damodaran:
You should start by looking at your company's current pre-tax operating margin  but also look at the average for your industry. (You can check my estimates of industry averages in the last worksheet on this spreadsheet.) </t>
      </text>
    </comment>
    <comment ref="B29" authorId="0" shapeId="0">
      <text>
        <t>Aswath Damodaran:
This is the forecast year in which your current margin will converge on target.</t>
      </text>
    </comment>
    <comment ref="B30" authorId="0" shapeId="0">
      <text>
        <t>Aswath Damodaran:
You are probably wondering what this is but it is how I compute how much you are going to reinvest to keep your business growing in future years. The higher you set this number, the more efficiently you are growing and the higher the value of your growth. Again, look at your company's current number (check on the right). Look at the industry averages as well in the worksheet.</t>
      </text>
    </comment>
    <comment ref="B33" authorId="0" shapeId="0">
      <text>
        <t>Aswath Damodaran:
This should be today's long term riskfree rate. If you are working with a currency where the government has default risk, clean up the government bond rate to make it riskfree (by subtracting the default spread for the government).</t>
      </text>
    </comment>
    <comment ref="B34" authorId="0" shapeId="0">
      <text>
        <t xml:space="preserve">Aswath Damodaran:
Enter the current cost of capital for your firm. If you don't know what it is, you can use the built-in worksheet to compute it. </t>
      </text>
    </comment>
    <comment ref="J34" authorId="0" shapeId="0">
      <text>
        <t>Aswath Damodaran:
Compare to your total market and check your market share.</t>
      </text>
    </comment>
    <comment ref="J35" authorId="0" shapeId="0">
      <text>
        <t xml:space="preserve">Aswath Damodaran:
Determined by your target margin. </t>
      </text>
    </comment>
    <comment ref="J36" authorId="0" shapeId="0">
      <text>
        <t>Aswath Damodaran:
Function of both your target margin and your sales to capital ratio.</t>
      </text>
    </comment>
    <comment ref="B37" authorId="0" shapeId="0">
      <text>
        <t>Aswath Damodaran:
Check your company's annual report or 10K. If it does have options outstanding, enter the total number here (vested and non vested, in the money and out…)</t>
      </text>
    </comment>
    <comment ref="B38" authorId="0" shapeId="0">
      <text>
        <t>Aswath Damodaran:
Enter the weighted average strike price of your options. (Should be in your 10K or annual report.)</t>
      </text>
    </comment>
    <comment ref="B39" authorId="0" shapeId="0">
      <text>
        <t>Aswath Damodaran:
The weighted average maturity of your options should be reported in your financial statements.</t>
      </text>
    </comment>
    <comment ref="B40" authorId="0" shapeId="0">
      <text>
        <t>Aswath Damodaran:
If you have a standard deviation for your stock, enter that number. If not, use the industry average standard deviation from the worksheet.</t>
      </text>
    </comment>
    <comment ref="B56" authorId="0" shapeId="0">
      <text>
        <t>Aswath Damodaran:
Mature companies tend to have costs of capital closer to the market average. While the riskfree rate + 4.5% is a close approximation of the average, you can use a slightly higher number (riskfree rate + 6%) for mature companies in riskier businesses and a slightly lower number (risfree rate + 4%) for safer companies.</t>
      </text>
    </comment>
    <comment ref="B59" authorId="0" shapeId="0">
      <text>
        <t>Aswath Damodaran:
The default assumption is that competitive advantages will fade to zero over time. While this is a good assumption for many firms (about 7 in 10), there are some firms with sustainable competitive advantages (brand name, for instance), where the excess returns may continue beyond year 10. If your firm is one of those, you can enter a return on capital higher than your cost of capital in the cell below. Just don't get carried away. At the maximum, the excess return should not exceed 5% for a mature firm.</t>
      </text>
    </comment>
    <comment ref="B60" authorId="0" shapeId="0">
      <text>
        <t xml:space="preserve">Aswath Damodaran:
Even if you believe your firm has significant competitive advantages, don't set this number to more than 5% more than your cost of capital. </t>
      </text>
    </comment>
    <comment ref="B62" authorId="0" shapeId="0">
      <text>
        <t>Aswath Damodaran:
Companies at either end of the life cycle - young, growth and old, declining firms have a significant likelihood of failure. While we tend to ignore this in conventional DCF, it is worth thinking about whether you want to estimate a probability of failure. It is not easy to do but it can be done by looking at either history (with young, growth companies) or the debt market (with distressed companies).</t>
      </text>
    </comment>
    <comment ref="B63" authorId="0" shapeId="0">
      <text>
        <t xml:space="preserve">Aswath Damodaran
If you want to look at ways of estimating this probability, try these papers I have on the topic:
For young growth companies: http://papers.ssrn.com/sol3/papers.cfm?abstract_id=1418687  
For declining, distressed companies: http://papers.ssrn.com/sol3/papers.cfm?abstract_id=1428022 </t>
      </text>
    </comment>
    <comment ref="B64" authorId="0" shapeId="0">
      <text>
        <t>Aswath Damodaran:
If the firm fail and has to liquidate its assets, you need to specify what the liquidation proceeds will be tied to. For young growth companies, I would tie it to value and with distressed firms (especially ones with significant assets in place), I would use book value.</t>
      </text>
    </comment>
    <comment ref="B65" authorId="0" shapeId="0">
      <text>
        <t>Aswath Damodaran:
You will generally not get 100% of fair value. How much less than 100% you get will depend on whether there are lots of potential buyers for your assets and how much of a hurry you are in to liquidate. It may well be zero for a young growth company with no tangible assets.</t>
      </text>
    </comment>
    <comment ref="B67" authorId="0" shapeId="0">
      <text>
        <t>Aswath Damodaran:
Companies at either end of the life cycle - young, growth and old, declining firms have a significant likelihood of failure. While we tend to ignore this in conventional DCF, it is worth thinking about whether you want to estimate a probability of failure. It is not easy to do but it can be done by looking at either history (with young, growth companies) or the debt market (with distressed companies).</t>
      </text>
    </comment>
    <comment ref="B70" authorId="0" shapeId="0">
      <text>
        <t>Aswath Damodaran:
Companies generally pay less than the marginal tax rate on their income. Some of that is due to tax deferral and others to quirks in the tax law. Over time, the conservative assumption is to require the tax rate to move towards the marginal tax rate. However, if you believe that your firm's tax benefits are permanent, you can override this assumption.</t>
      </text>
    </comment>
    <comment ref="B72" authorId="0" shapeId="0">
      <text>
        <t>Aswath Damodaran:
If your company has been losing money for a while, there will be accumulated losses from prior periods. Check your financial statements.</t>
      </text>
    </comment>
    <comment ref="B73" authorId="0" shapeId="0">
      <text>
        <t>Aswath Damodaran:
This is the NOL from prior years carried forward into this year.</t>
      </text>
    </comment>
    <comment ref="B79" authorId="0" shapeId="0">
      <text>
        <t xml:space="preserve">Aswath Damodaran:
Be VERY, VERY careful. This is a growth rate in perpetuity, after year 10. Entering numbers significantly (more than 1%) higher than the risk free rate will render your valuation close to useless.
</t>
      </text>
    </comment>
    <comment ref="B82" authorId="0" shapeId="0">
      <text>
        <t>Aswath Damodaran:
If your concern is that a portion of the cash is trapped in foreign markets and will be subject to tax, when returned, enter the trapped cash balance. If you feel that the entire cash balance is being discounted because markets don't trust managers, enter the entire cash balance.</t>
      </text>
    </comment>
    <comment ref="B83" authorId="0" shapeId="0">
      <text>
        <t>Aswath Damodaran:
This is the additional tax due, if the cash is trapped cash. If your concern is that all cash is being discounted by the market because of management mistrust, enter the percentage discount to apply to cash.</t>
      </text>
    </comment>
  </commentList>
</comments>
</file>

<file path=xl/comments/comment2.xml><?xml version="1.0" encoding="utf-8"?>
<comments xmlns="http://schemas.openxmlformats.org/spreadsheetml/2006/main">
  <authors>
    <author>Aswath Damodaran</author>
  </authors>
  <commentList>
    <comment ref="F8" authorId="0" shapeId="0">
      <text>
        <t xml:space="preserve">Aswath Damodaran:
If your most recent year's operating income is unusually low or high, you can use the average operating income from the last few years. </t>
      </text>
    </comment>
    <comment ref="F9" authorId="0" shapeId="0">
      <text>
        <t>Aswath Damodaran:
Enter the interest expense from the most recent income statement.</t>
      </text>
    </comment>
    <comment ref="F10" authorId="0" shapeId="0">
      <text>
        <t>Aswath Damodaran:
I use a 10 year government bond rate.</t>
      </text>
    </comment>
  </commentList>
</comments>
</file>

<file path=xl/comments/comment3.xml><?xml version="1.0" encoding="utf-8"?>
<comments xmlns="http://schemas.openxmlformats.org/spreadsheetml/2006/main">
  <authors>
    <author>Aswath Damodaran</author>
  </authors>
  <commentList>
    <comment ref="D40" authorId="0" shapeId="0">
      <text>
        <t>Aswath Damodaran:
By expensing R&amp;D rather than capitalizing it, the firm gets a tax benefit. This is the dollar value of that tax benefit.</t>
      </text>
    </comment>
  </commentList>
</comments>
</file>

<file path=xl/comments/comment4.xml><?xml version="1.0" encoding="utf-8"?>
<comments xmlns="http://schemas.openxmlformats.org/spreadsheetml/2006/main">
  <authors>
    <author>Aswath Damodaran</author>
  </authors>
  <commentList>
    <comment ref="B23" authorId="0" shapeId="0">
      <text>
        <t>Aswath Damodaran:
Use a sector average beta, if need be.</t>
      </text>
    </comment>
    <comment ref="B25" authorId="0" shapeId="0">
      <text>
        <t>Aswath Damodaran:
If you pick operating regions or countries, please input the revenues by country or region in the table to the right.</t>
      </text>
    </comment>
    <comment ref="B27" authorId="0" shapeId="0">
      <text>
        <t>Aswath Damodaran:
If your company has risk exposure in emergiing markets, incorporate that risk premiums here. See worksheet on country risk premiums.</t>
      </text>
    </comment>
    <comment ref="B31" authorId="0" shapeId="0">
      <text>
        <t>Aswath Damodaran:
Interest expense (gross) from most recent financial statement.</t>
      </text>
    </comment>
    <comment ref="B32" authorId="0" shapeId="0">
      <text>
        <t>Aswath Damodaran:
Generally found in footnotes to financial statements.</t>
      </text>
    </comment>
    <comment ref="B36" authorId="0" shapeId="0">
      <text>
        <t>Aswath Damodaran:
1: Large market cap (&gt;$5 billion) and safe.
2: Small market cap (&lt;$5 billion) or risky.
If company has volatile earnings or is in risky business, use 2, even if large market cap.</t>
      </text>
    </comment>
    <comment ref="B37" authorId="0" shapeId="0">
      <text>
        <t>Aswath Damodaran:
Current, long term cost of borrowing money. If you have a rating use it, if not use a synthetic rating. See the worksheet attached.</t>
      </text>
    </comment>
  </commentList>
</comments>
</file>

<file path=xl/comments/comment5.xml><?xml version="1.0" encoding="utf-8"?>
<comments xmlns="http://schemas.openxmlformats.org/spreadsheetml/2006/main">
  <authors>
    <author>tc={07FDDA8E-E380-7540-BB28-57DD78A067CA}</author>
  </authors>
  <commentList>
    <comment ref="B1" authorId="0" shapeId="0">
      <text>
        <t>[Threaded comment]
Your version of Excel allows you to read this threaded comment; however, any edits to it will get removed if the file is opened in a newer version of Excel. Learn more: https://go.microsoft.com/fwlink/?linkid=870924
Comment:
    This is the estimate for the ERP for a mature market, that then updates all of the ERP for other countries by adding the CRP to it. I update the ERP for the S&amp;P 500 at the start of every month on my website (damodaran.com) and if you want, you can change this number to the most recent update.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9.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0.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3.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sheet1.xml><?xml version="1.0" encoding="utf-8"?>
<worksheet xmlns="http://schemas.openxmlformats.org/spreadsheetml/2006/main">
  <sheetPr>
    <outlinePr summaryBelow="1" summaryRight="1"/>
    <pageSetUpPr/>
  </sheetPr>
  <dimension ref="A1:N86"/>
  <sheetViews>
    <sheetView tabSelected="1" topLeftCell="A59" zoomScale="150" zoomScaleNormal="100" workbookViewId="0">
      <selection activeCell="D23" sqref="D23"/>
    </sheetView>
  </sheetViews>
  <sheetFormatPr baseColWidth="10" defaultRowHeight="12"/>
  <cols>
    <col width="73.6640625" customWidth="1" style="4" min="1" max="1"/>
    <col width="26.5" customWidth="1" style="4" min="2" max="2"/>
    <col width="23.1640625" customWidth="1" style="4" min="3" max="3"/>
    <col width="16.6640625" customWidth="1" style="4" min="4" max="4"/>
    <col width="10.83203125" customWidth="1" style="4" min="5" max="7"/>
    <col width="11" bestFit="1" customWidth="1" style="4" min="8" max="8"/>
    <col width="21.83203125" customWidth="1" style="4" min="9" max="9"/>
    <col width="15" bestFit="1" customWidth="1" style="4" min="10" max="10"/>
    <col width="17.5" bestFit="1" customWidth="1" style="4" min="11" max="11"/>
    <col width="10.83203125" customWidth="1" style="4" min="12" max="16384"/>
  </cols>
  <sheetData>
    <row r="1" ht="16" customFormat="1" customHeight="1" s="187">
      <c r="B1" s="233" t="n"/>
      <c r="C1" s="187" t="inlineStr">
        <is>
          <t>Input cell</t>
        </is>
      </c>
      <c r="D1" s="234" t="n"/>
      <c r="E1" s="187" t="inlineStr">
        <is>
          <t>Calculated cell</t>
        </is>
      </c>
    </row>
    <row r="2" ht="16" customFormat="1" customHeight="1" s="188"/>
    <row r="3" ht="16" customFormat="1" customHeight="1" s="188">
      <c r="A3" s="189" t="inlineStr">
        <is>
          <t>Date of valuation</t>
        </is>
      </c>
      <c r="B3" s="190" t="inlineStr">
        <is>
          <t>Mar 31, 2025</t>
        </is>
      </c>
      <c r="C3" s="191" t="inlineStr">
        <is>
          <t>Important: Before you run this spreadsheet, go into preferences in Excel and check under Calculation options</t>
        </is>
      </c>
      <c r="D3" s="192" t="n"/>
      <c r="E3" s="192" t="n"/>
      <c r="F3" s="192" t="n"/>
      <c r="G3" s="192" t="n"/>
      <c r="H3" s="192" t="n"/>
      <c r="I3" s="192" t="n"/>
      <c r="J3" s="193" t="n"/>
    </row>
    <row r="4" ht="17" customFormat="1" customHeight="1" s="188" thickBot="1">
      <c r="A4" s="189" t="inlineStr">
        <is>
          <t>Company name</t>
        </is>
      </c>
      <c r="B4" s="194" t="inlineStr">
        <is>
          <t>Lenovo Group Limited</t>
        </is>
      </c>
      <c r="C4" s="195" t="inlineStr">
        <is>
          <t>There should be a check against the iteration box. If there is not, you will get circular reasoning errors.</t>
        </is>
      </c>
      <c r="J4" s="196" t="n"/>
    </row>
    <row r="5" ht="17" customFormat="1" customHeight="1" s="188" thickBot="1">
      <c r="A5" s="699" t="inlineStr">
        <is>
          <t>Numbers from your base year below ( in consistent units)</t>
        </is>
      </c>
      <c r="B5" s="700" t="n"/>
      <c r="C5" s="700" t="n"/>
      <c r="D5" s="700" t="n"/>
      <c r="E5" s="700" t="n"/>
      <c r="F5" s="700" t="n"/>
      <c r="G5" s="700" t="n"/>
      <c r="H5" s="700" t="n"/>
      <c r="I5" s="700" t="n"/>
      <c r="J5" s="701" t="n"/>
    </row>
    <row r="6" ht="16" customFormat="1" customHeight="1" s="188">
      <c r="A6" s="189" t="n"/>
      <c r="B6" s="189" t="inlineStr">
        <is>
          <t>This year</t>
        </is>
      </c>
      <c r="C6" s="189" t="inlineStr">
        <is>
          <t>Last year</t>
        </is>
      </c>
      <c r="E6" s="235" t="inlineStr">
        <is>
          <t>Updated on January 2023 with updated Industry averages and risk premiums</t>
        </is>
      </c>
      <c r="F6" s="197" t="n"/>
      <c r="G6" s="197" t="n"/>
      <c r="H6" s="197" t="n"/>
      <c r="I6" s="197" t="n"/>
      <c r="J6" s="197" t="n"/>
    </row>
    <row r="7" ht="16" customFormat="1" customHeight="1" s="188">
      <c r="A7" s="188" t="inlineStr">
        <is>
          <t>Country of incorporation</t>
        </is>
      </c>
      <c r="B7" s="198" t="inlineStr">
        <is>
          <t>Hong Kong</t>
        </is>
      </c>
      <c r="C7" s="189" t="n"/>
    </row>
    <row r="8" ht="16" customFormat="1" customHeight="1" s="188">
      <c r="A8" s="188" t="inlineStr">
        <is>
          <t>Industry (US)</t>
        </is>
      </c>
      <c r="B8" s="198" t="inlineStr">
        <is>
          <t>Computers/Peripherals</t>
        </is>
      </c>
    </row>
    <row r="9" ht="16" customFormat="1" customHeight="1" s="188">
      <c r="A9" s="188" t="inlineStr">
        <is>
          <t>Industry (Global)</t>
        </is>
      </c>
      <c r="B9" s="198" t="inlineStr">
        <is>
          <t>Computers/Peripherals</t>
        </is>
      </c>
      <c r="C9" s="199" t="inlineStr">
        <is>
          <t>Last 10K</t>
        </is>
      </c>
      <c r="D9" s="199" t="inlineStr">
        <is>
          <t>Years since last 10K</t>
        </is>
      </c>
    </row>
    <row r="10" ht="16" customFormat="1" customHeight="1" s="188">
      <c r="A10" s="200" t="inlineStr">
        <is>
          <t>Revenues</t>
        </is>
      </c>
      <c r="B10" s="702" t="n">
        <v>69076.96799999999</v>
      </c>
      <c r="C10" s="702" t="n">
        <v>56863.784</v>
      </c>
      <c r="D10" s="198" t="n">
        <v>0</v>
      </c>
    </row>
    <row r="11" ht="16" customFormat="1" customHeight="1" s="188">
      <c r="A11" s="200" t="inlineStr">
        <is>
          <t>Operating income or EBIT</t>
        </is>
      </c>
      <c r="B11" s="702" t="n">
        <v>2006.902</v>
      </c>
      <c r="C11" s="702" t="n">
        <v>1990.822</v>
      </c>
      <c r="D11" s="198" t="n">
        <v>0.75</v>
      </c>
    </row>
    <row r="12" ht="16" customFormat="1" customHeight="1" s="188">
      <c r="A12" s="200" t="inlineStr">
        <is>
          <t>Interest expense</t>
        </is>
      </c>
      <c r="B12" s="702" t="n">
        <v>293.595</v>
      </c>
      <c r="C12" s="702" t="n">
        <v>275.203</v>
      </c>
      <c r="D12" s="202" t="n"/>
    </row>
    <row r="13" ht="16" customFormat="1" customHeight="1" s="188">
      <c r="A13" s="200" t="inlineStr">
        <is>
          <t>Book value of equity</t>
        </is>
      </c>
      <c r="B13" s="702" t="n">
        <v>6659.917</v>
      </c>
      <c r="C13" s="702" t="n">
        <v>6081.187</v>
      </c>
      <c r="D13" s="202" t="n"/>
    </row>
    <row r="14" ht="16" customFormat="1" customHeight="1" s="188">
      <c r="A14" s="200" t="inlineStr">
        <is>
          <t>Book value of debt</t>
        </is>
      </c>
      <c r="B14" s="702" t="n">
        <v>5732.958</v>
      </c>
      <c r="C14" s="702" t="n">
        <v>3961.689</v>
      </c>
      <c r="D14" s="202" t="n"/>
    </row>
    <row r="15" ht="16" customFormat="1" customHeight="1" s="188">
      <c r="A15" s="200" t="inlineStr">
        <is>
          <t>Do you have R&amp;D expenses to capitalize?</t>
        </is>
      </c>
      <c r="B15" s="703" t="inlineStr">
        <is>
          <t>Yes</t>
        </is>
      </c>
      <c r="C15" s="704" t="inlineStr">
        <is>
          <t xml:space="preserve">If you want to capitalize R&amp;D, you have to input the numbers into the R&amp;D worksheet. </t>
        </is>
      </c>
      <c r="D15" s="202" t="n"/>
    </row>
    <row r="16" ht="16" customFormat="1" customHeight="1" s="188">
      <c r="A16" s="200" t="inlineStr">
        <is>
          <t>Do you have operating lease commitments?</t>
        </is>
      </c>
      <c r="B16" s="702" t="inlineStr">
        <is>
          <t>No</t>
        </is>
      </c>
      <c r="C16" s="202" t="inlineStr">
        <is>
          <t>If you lease or other contractual commitments that have not been converteed to debt already, say yes to this option and do the conversion.</t>
        </is>
      </c>
      <c r="D16" s="202" t="n"/>
    </row>
    <row r="17" ht="16" customFormat="1" customHeight="1" s="188">
      <c r="A17" s="200" t="inlineStr">
        <is>
          <t>Cash and Marketable Securities</t>
        </is>
      </c>
      <c r="B17" s="702" t="n">
        <v>4728.124</v>
      </c>
      <c r="C17" s="702" t="n">
        <v>3559.831</v>
      </c>
      <c r="D17" s="202" t="n"/>
    </row>
    <row r="18" ht="16" customFormat="1" customHeight="1" s="188">
      <c r="A18" s="200" t="inlineStr">
        <is>
          <t>Cross holdings and other non-operating assets</t>
        </is>
      </c>
      <c r="B18" s="705" t="n">
        <v>1825.47</v>
      </c>
      <c r="C18" s="702" t="n">
        <v>1768.442</v>
      </c>
      <c r="D18" s="202" t="n"/>
    </row>
    <row r="19" ht="16" customFormat="1" customHeight="1" s="188">
      <c r="A19" s="200" t="inlineStr">
        <is>
          <t>Minority interests</t>
        </is>
      </c>
      <c r="B19" s="705" t="n">
        <v>1138.283</v>
      </c>
      <c r="C19" s="702" t="n">
        <v>1045.947</v>
      </c>
      <c r="D19" s="202" t="n"/>
    </row>
    <row r="20" ht="16" customFormat="1" customHeight="1" s="188">
      <c r="A20" s="200" t="inlineStr">
        <is>
          <t>Number of shares outstanding =</t>
        </is>
      </c>
      <c r="B20" s="205" t="n">
        <v>12404.6593</v>
      </c>
      <c r="C20" s="202" t="n"/>
    </row>
    <row r="21" ht="16" customFormat="1" customHeight="1" s="188">
      <c r="A21" s="200" t="inlineStr">
        <is>
          <t>Current stock price =</t>
        </is>
      </c>
      <c r="B21" s="702" t="n">
        <v>11.83</v>
      </c>
      <c r="C21" s="202" t="n"/>
      <c r="E21" s="544" t="inlineStr">
        <is>
          <t>Computed numbers: Here is what your company's numbers look like, relative to industry.</t>
        </is>
      </c>
    </row>
    <row r="22" ht="16" customFormat="1" customHeight="1" s="188">
      <c r="A22" s="188" t="inlineStr">
        <is>
          <t>Effective tax rate =</t>
        </is>
      </c>
      <c r="B22" s="206" t="n">
        <v>0.2</v>
      </c>
      <c r="C22" s="202" t="n"/>
      <c r="E22" s="223" t="inlineStr">
        <is>
          <t>If you are not working in US dollars, you should add the inflation differential to the industry averages.</t>
        </is>
      </c>
    </row>
    <row r="23" ht="16" customFormat="1" customHeight="1" s="188">
      <c r="A23" s="188" t="inlineStr">
        <is>
          <t>Marginal tax rate =</t>
        </is>
      </c>
      <c r="B23" s="206" t="n">
        <v>0.165</v>
      </c>
      <c r="C23" s="202" t="n"/>
      <c r="E23" s="189" t="n"/>
      <c r="J23" s="199" t="inlineStr">
        <is>
          <t>Industry (US)</t>
        </is>
      </c>
      <c r="K23" s="199" t="inlineStr">
        <is>
          <t>Industry (Global)</t>
        </is>
      </c>
      <c r="L23" s="543" t="inlineStr">
        <is>
          <t>Global Distribution Stats</t>
        </is>
      </c>
      <c r="M23" s="706" t="n"/>
      <c r="N23" s="707" t="n"/>
    </row>
    <row r="24" ht="16" customFormat="1" customHeight="1" s="188">
      <c r="A24" s="189" t="inlineStr">
        <is>
          <t>The value drivers below (non-AI)</t>
        </is>
      </c>
      <c r="B24" s="708" t="n"/>
      <c r="C24" s="202" t="n"/>
      <c r="E24" s="189" t="n"/>
      <c r="I24" s="200" t="inlineStr">
        <is>
          <t>Company</t>
        </is>
      </c>
      <c r="J24" s="543" t="inlineStr">
        <is>
          <t>Average</t>
        </is>
      </c>
      <c r="K24" s="543" t="inlineStr">
        <is>
          <t>Average</t>
        </is>
      </c>
      <c r="L24" s="543" t="inlineStr">
        <is>
          <t>1st Quartile</t>
        </is>
      </c>
      <c r="M24" s="543" t="inlineStr">
        <is>
          <t>Median</t>
        </is>
      </c>
      <c r="N24" s="543" t="inlineStr">
        <is>
          <t>3rd Quartile</t>
        </is>
      </c>
    </row>
    <row r="25" ht="16" customFormat="1" customHeight="1" s="188">
      <c r="A25" s="210" t="inlineStr">
        <is>
          <t xml:space="preserve">Revenue growth rate for next year </t>
        </is>
      </c>
      <c r="B25" s="211" t="n">
        <v>0.1</v>
      </c>
      <c r="C25" s="202" t="n"/>
      <c r="E25" s="188" t="inlineStr">
        <is>
          <t>Revenue growth in the most recent year =</t>
        </is>
      </c>
      <c r="I25" s="378">
        <f>IF(C10&gt;0,(B10/C10)^(1/D10)-1, "NA")</f>
        <v/>
      </c>
      <c r="J25" s="378">
        <f>VLOOKUP(B8,'Industry Averages(US)'!A2:S95,3)</f>
        <v/>
      </c>
      <c r="K25" s="377">
        <f>VLOOKUP(B9,'Industry Average Beta (Global)'!A2:N95,3)</f>
        <v/>
      </c>
      <c r="L25" s="376">
        <f>VLOOKUP($B$9,'Input Stat Distributioons'!$A$3:$R$96,3,FALSE)</f>
        <v/>
      </c>
      <c r="M25" s="376">
        <f>VLOOKUP($B$9,'Input Stat Distributioons'!$A$3:$R$96,4,FALSE)</f>
        <v/>
      </c>
      <c r="N25" s="376">
        <f>VLOOKUP($B$9,'Input Stat Distributioons'!$A$3:$R$96,5,FALSE)</f>
        <v/>
      </c>
    </row>
    <row r="26" ht="16" customFormat="1" customHeight="1" s="188">
      <c r="A26" s="210" t="inlineStr">
        <is>
          <t>Operating Margin for next year</t>
        </is>
      </c>
      <c r="B26" s="211" t="n">
        <v>0.02905312809907928</v>
      </c>
      <c r="C26" s="202" t="n"/>
      <c r="E26" s="188" t="inlineStr">
        <is>
          <t>Pre-tax operating margin in the most recent year =</t>
        </is>
      </c>
      <c r="I26" s="378">
        <f>'Valuation output'!B4</f>
        <v/>
      </c>
      <c r="J26" s="377">
        <f>VLOOKUP(B8,'Industry Averages(US)'!A2:AA95,4)</f>
        <v/>
      </c>
      <c r="K26" s="377">
        <f>VLOOKUP(B9,'Industry Average Beta (Global)'!A2:N95,4)</f>
        <v/>
      </c>
      <c r="L26" s="377">
        <f>VLOOKUP($B$9,'Input Stat Distributioons'!$A$3:$R$96,6,FALSE)</f>
        <v/>
      </c>
      <c r="M26" s="377">
        <f>VLOOKUP($B$9,'Input Stat Distributioons'!$A$3:$R$96,7,FALSE)</f>
        <v/>
      </c>
      <c r="N26" s="377">
        <f>VLOOKUP($B$9,'Input Stat Distributioons'!$A$3:$R$96,8,FALSE)</f>
        <v/>
      </c>
    </row>
    <row r="27" ht="16" customFormat="1" customHeight="1" s="188">
      <c r="A27" s="200" t="inlineStr">
        <is>
          <t>Compounded annual revenue growth rate - years 2-5 =</t>
        </is>
      </c>
      <c r="B27" s="212" t="n">
        <v>0.08</v>
      </c>
      <c r="C27" s="202" t="inlineStr">
        <is>
          <t>Growth Lever</t>
        </is>
      </c>
      <c r="E27" s="188" t="inlineStr">
        <is>
          <t>Sales to capital ratio in most recent year =</t>
        </is>
      </c>
      <c r="I27" s="379">
        <f>B10/'Valuation output'!B58</f>
        <v/>
      </c>
      <c r="J27" s="379">
        <f>VLOOKUP(B8,'Industry Averages(US)'!A2:S95,14)</f>
        <v/>
      </c>
      <c r="K27" s="379">
        <f>VLOOKUP(B9,'Industry Average Beta (Global)'!A2:N95,14)</f>
        <v/>
      </c>
      <c r="L27" s="379">
        <f>VLOOKUP($B$9,'Input Stat Distributioons'!$A$3:$R$96,9,FALSE)</f>
        <v/>
      </c>
      <c r="M27" s="379">
        <f>VLOOKUP($B$9,'Input Stat Distributioons'!$A$3:$R$96,10,FALSE)</f>
        <v/>
      </c>
      <c r="N27" s="379">
        <f>VLOOKUP($B$9,'Input Stat Distributioons'!$A$3:$R$96,11,FALSE)</f>
        <v/>
      </c>
    </row>
    <row r="28" ht="16" customFormat="1" customHeight="1" s="188">
      <c r="A28" s="200" t="inlineStr">
        <is>
          <t>Target pre-tax operating margin =</t>
        </is>
      </c>
      <c r="B28" s="212" t="n">
        <v>0.22484874696685</v>
      </c>
      <c r="C28" s="202" t="inlineStr">
        <is>
          <t>Profitability Lever</t>
        </is>
      </c>
      <c r="E28" s="188" t="inlineStr">
        <is>
          <t>Marginal sales to capital ratio  =</t>
        </is>
      </c>
      <c r="I28" s="379">
        <f>IF(('Input sheet'!B10-'Input sheet'!C10)/(('Input sheet'!B13+'Input sheet'!B14-'Input sheet'!B17)-('Input sheet'!C13+'Input sheet'!C14-'Input sheet'!C17))&gt;0,('Input sheet'!B10-'Input sheet'!C10)/(('Input sheet'!B13+'Input sheet'!B14-'Input sheet'!B17)-('Input sheet'!C13+'Input sheet'!C14-'Input sheet'!C17)),"NA")</f>
        <v/>
      </c>
      <c r="J28" s="379" t="n"/>
      <c r="K28" s="379" t="n"/>
      <c r="L28" s="380" t="n"/>
      <c r="M28" s="380" t="n"/>
      <c r="N28" s="380" t="n"/>
    </row>
    <row r="29" ht="16" customFormat="1" customHeight="1" s="188">
      <c r="A29" s="200" t="inlineStr">
        <is>
          <t>Year of convergence for margin</t>
        </is>
      </c>
      <c r="B29" s="214" t="n">
        <v>5</v>
      </c>
      <c r="C29" s="202" t="inlineStr">
        <is>
          <t>Speed of convergence level</t>
        </is>
      </c>
      <c r="E29" s="188" t="inlineStr">
        <is>
          <t>Return on invested capital in most recent year=</t>
        </is>
      </c>
      <c r="I29" s="377">
        <f>'Valuation output'!B7/'Valuation output'!B58</f>
        <v/>
      </c>
      <c r="J29" s="377">
        <f>VLOOKUP(B8,'Industry Averages(US)'!A2:S95,5)</f>
        <v/>
      </c>
      <c r="K29" s="377">
        <f>VLOOKUP(B9,'Industry Average Beta (Global)'!A2:N95,5)</f>
        <v/>
      </c>
    </row>
    <row r="30" ht="16" customFormat="1" customHeight="1" s="188">
      <c r="A30" s="200" t="inlineStr">
        <is>
          <t>Sales to capital ratio  (for years 1-5)</t>
        </is>
      </c>
      <c r="B30" s="214" t="n">
        <v>3.619788749768668</v>
      </c>
      <c r="C30" s="202" t="inlineStr">
        <is>
          <t>Efficency of Growth Lever</t>
        </is>
      </c>
      <c r="E30" s="188" t="inlineStr">
        <is>
          <t>Standard deviation in stock prices =</t>
        </is>
      </c>
      <c r="I30" s="213" t="n"/>
      <c r="J30" s="377">
        <f>VLOOKUP(B8,'Industry Averages(US)'!A2:S95,10)</f>
        <v/>
      </c>
      <c r="K30" s="377">
        <f>VLOOKUP(B8,'Industry Average Beta (Global)'!A2:Z95,10)</f>
        <v/>
      </c>
    </row>
    <row r="31" ht="16" customFormat="1" customHeight="1" s="188">
      <c r="A31" s="200" t="inlineStr">
        <is>
          <t>Sales to capital ratio (for years 6-10)</t>
        </is>
      </c>
      <c r="B31" s="214" t="n">
        <v>3.619788749768668</v>
      </c>
      <c r="C31" s="202" t="n"/>
      <c r="E31" s="188" t="inlineStr">
        <is>
          <t>Cost of capital =</t>
        </is>
      </c>
      <c r="J31" s="377">
        <f>VLOOKUP(B8,'Industry Averages(US)'!A2:S95,13)</f>
        <v/>
      </c>
      <c r="K31" s="377">
        <f>VLOOKUP(B8,'Industry Average Beta (Global)'!A2:Z95,13)</f>
        <v/>
      </c>
      <c r="L31" s="377">
        <f>VLOOKUP($B$9,'Input Stat Distributioons'!$A$3:$R$96,12,FALSE)</f>
        <v/>
      </c>
      <c r="M31" s="377">
        <f>VLOOKUP($B$9,'Input Stat Distributioons'!$A$3:$R$96,13,FALSE)</f>
        <v/>
      </c>
      <c r="N31" s="377">
        <f>VLOOKUP($B$9,'Input Stat Distributioons'!$A$3:$R$96,14,FALSE)</f>
        <v/>
      </c>
    </row>
    <row r="32" ht="17" customFormat="1" customHeight="1" s="188" thickBot="1">
      <c r="A32" s="189" t="inlineStr">
        <is>
          <t xml:space="preserve">Market numbers </t>
        </is>
      </c>
      <c r="B32" s="217" t="n"/>
      <c r="C32" s="202" t="n"/>
    </row>
    <row r="33" ht="16" customFormat="1" customHeight="1" s="188">
      <c r="A33" s="200" t="inlineStr">
        <is>
          <t>Riskfree rate</t>
        </is>
      </c>
      <c r="B33" s="212" t="n">
        <v>0.0425</v>
      </c>
      <c r="C33" s="202" t="n"/>
      <c r="E33" s="709" t="inlineStr">
        <is>
          <t>Valuation Output Feedback (for you to use to fine tune your inputs, if you want)</t>
        </is>
      </c>
      <c r="F33" s="710" t="n"/>
      <c r="G33" s="710" t="n"/>
      <c r="H33" s="710" t="n"/>
      <c r="I33" s="710" t="n"/>
      <c r="J33" s="711" t="n"/>
    </row>
    <row r="34" ht="16" customFormat="1" customHeight="1" s="188">
      <c r="A34" s="370" t="inlineStr">
        <is>
          <t>Initial cost of capital =</t>
        </is>
      </c>
      <c r="B34" s="371">
        <f>'Cost of capital worksheet'!B13</f>
        <v/>
      </c>
      <c r="C34" s="712" t="inlineStr">
        <is>
          <t>Do not input. Go to cost of capital sheet.</t>
        </is>
      </c>
      <c r="D34" s="713" t="n"/>
      <c r="E34" s="208" t="inlineStr">
        <is>
          <t>Revenues in year 10, based on your revenue growth =</t>
        </is>
      </c>
      <c r="J34" s="714">
        <f>'Valuation output'!L3+'Valuation output'!L14+'Valuation output'!L23</f>
        <v/>
      </c>
    </row>
    <row r="35" ht="25" customFormat="1" customHeight="1" s="188">
      <c r="A35" s="189" t="inlineStr">
        <is>
          <t>Other inputs</t>
        </is>
      </c>
      <c r="B35" s="219" t="n"/>
      <c r="C35" s="219" t="n"/>
      <c r="D35" s="202" t="n"/>
      <c r="E35" s="208" t="inlineStr">
        <is>
          <t>Pre-tax Operating Income in year 10, based on your operating margin =</t>
        </is>
      </c>
      <c r="J35" s="714">
        <f>'Valuation output'!M5+'Valuation output'!M16+'Valuation output'!M25</f>
        <v/>
      </c>
    </row>
    <row r="36" ht="16" customFormat="1" customHeight="1" s="188">
      <c r="A36" s="188" t="inlineStr">
        <is>
          <t>Do you have employee options outstanding?</t>
        </is>
      </c>
      <c r="B36" s="212" t="inlineStr">
        <is>
          <t>No</t>
        </is>
      </c>
      <c r="C36" s="176" t="n"/>
      <c r="D36" s="202" t="n"/>
      <c r="E36" s="208" t="inlineStr">
        <is>
          <t>Return on invested capital in year 10, based on your sales/capital ratio =</t>
        </is>
      </c>
      <c r="J36" s="209">
        <f>'Valuation output'!L59</f>
        <v/>
      </c>
    </row>
    <row r="37" ht="17" customFormat="1" customHeight="1" s="188" thickBot="1">
      <c r="A37" s="188" t="inlineStr">
        <is>
          <t>Number of options outstanding =</t>
        </is>
      </c>
      <c r="B37" s="214" t="n">
        <v>0</v>
      </c>
      <c r="C37" s="220" t="n"/>
      <c r="D37" s="202" t="n"/>
      <c r="E37" s="350" t="inlineStr">
        <is>
          <t>Check the Diagnostics worksheet for more details.</t>
        </is>
      </c>
      <c r="F37" s="215" t="n"/>
      <c r="G37" s="215" t="n"/>
      <c r="H37" s="215" t="n"/>
      <c r="I37" s="215" t="n"/>
      <c r="J37" s="218" t="n"/>
    </row>
    <row r="38" ht="16" customFormat="1" customHeight="1" s="188">
      <c r="A38" s="188" t="inlineStr">
        <is>
          <t>Average strike price =</t>
        </is>
      </c>
      <c r="B38" s="715" t="n">
        <v>0</v>
      </c>
      <c r="C38" s="716" t="n"/>
      <c r="D38" s="202" t="n"/>
    </row>
    <row r="39" ht="16" customFormat="1" customHeight="1" s="223">
      <c r="A39" s="188" t="inlineStr">
        <is>
          <t>Average maturity =</t>
        </is>
      </c>
      <c r="B39" s="214" t="n">
        <v>0</v>
      </c>
      <c r="C39" s="220" t="n"/>
      <c r="D39" s="202" t="n"/>
      <c r="E39" s="188" t="n"/>
      <c r="F39" s="188" t="n"/>
      <c r="G39" s="188" t="n"/>
      <c r="H39" s="188" t="n"/>
      <c r="I39" s="188" t="n"/>
      <c r="J39" s="188" t="n"/>
      <c r="K39" s="188" t="n"/>
      <c r="L39" s="188" t="n"/>
      <c r="M39" s="188" t="n"/>
      <c r="N39" s="188" t="n"/>
    </row>
    <row r="40" ht="16" customFormat="1" customHeight="1" s="188">
      <c r="A40" s="188" t="inlineStr">
        <is>
          <t>Standard deviation on stock price =</t>
        </is>
      </c>
      <c r="B40" s="212" t="n">
        <v>0</v>
      </c>
      <c r="C40" s="202" t="n"/>
    </row>
    <row r="41" ht="16" customFormat="1" customHeight="1" s="188">
      <c r="B41" s="224" t="n"/>
      <c r="C41" s="202" t="n"/>
    </row>
    <row r="42" ht="16" customFormat="1" customHeight="1" s="188">
      <c r="A42" s="189" t="inlineStr">
        <is>
          <t>Value Drivers for AI Chip business</t>
        </is>
      </c>
      <c r="B42" s="224" t="n"/>
      <c r="C42" s="202" t="n"/>
    </row>
    <row r="43" ht="16" customFormat="1" customHeight="1" s="188">
      <c r="B43" s="212" t="inlineStr">
        <is>
          <t>Current</t>
        </is>
      </c>
      <c r="C43" s="392" t="inlineStr">
        <is>
          <t>Year 10</t>
        </is>
      </c>
    </row>
    <row r="44" ht="16" customFormat="1" customHeight="1" s="188">
      <c r="A44" s="188" t="inlineStr">
        <is>
          <t>Total Market</t>
        </is>
      </c>
      <c r="B44" s="717" t="n">
        <v>0</v>
      </c>
      <c r="C44" s="718" t="n">
        <v>0</v>
      </c>
    </row>
    <row r="45" ht="16" customFormat="1" customHeight="1" s="188">
      <c r="A45" s="188" t="inlineStr">
        <is>
          <t>NVIDIA's Market Share</t>
        </is>
      </c>
      <c r="B45" s="390" t="n">
        <v>0</v>
      </c>
      <c r="C45" s="391" t="n">
        <v>0</v>
      </c>
    </row>
    <row r="46" ht="16" customFormat="1" customHeight="1" s="188">
      <c r="A46" s="188" t="inlineStr">
        <is>
          <t>Operating margin</t>
        </is>
      </c>
      <c r="B46" s="390" t="n">
        <v>0</v>
      </c>
      <c r="C46" s="391" t="n">
        <v>0</v>
      </c>
    </row>
    <row r="47" ht="16" customFormat="1" customHeight="1" s="188">
      <c r="B47" s="220" t="n"/>
      <c r="C47" s="202" t="n"/>
    </row>
    <row r="48" ht="16" customFormat="1" customHeight="1" s="188">
      <c r="A48" s="189" t="inlineStr">
        <is>
          <t>Value Drivers for Auto Chip business</t>
        </is>
      </c>
      <c r="B48" s="224" t="n"/>
      <c r="C48" s="202" t="n"/>
    </row>
    <row r="49" ht="16" customFormat="1" customHeight="1" s="188">
      <c r="B49" s="212" t="inlineStr">
        <is>
          <t>Current</t>
        </is>
      </c>
      <c r="C49" s="392" t="inlineStr">
        <is>
          <t>Year 10</t>
        </is>
      </c>
    </row>
    <row r="50" ht="16" customFormat="1" customHeight="1" s="188">
      <c r="A50" s="188" t="inlineStr">
        <is>
          <t>Total Market</t>
        </is>
      </c>
      <c r="B50" s="717" t="n">
        <v>0</v>
      </c>
      <c r="C50" s="718" t="n">
        <v>0</v>
      </c>
    </row>
    <row r="51" ht="16" customFormat="1" customHeight="1" s="188">
      <c r="A51" s="188" t="inlineStr">
        <is>
          <t>NVIDIA's Market Share</t>
        </is>
      </c>
      <c r="B51" s="390" t="n">
        <v>0</v>
      </c>
      <c r="C51" s="391" t="n">
        <v>0</v>
      </c>
    </row>
    <row r="52" ht="16" customFormat="1" customHeight="1" s="188">
      <c r="A52" s="188" t="inlineStr">
        <is>
          <t>Operating margin</t>
        </is>
      </c>
      <c r="B52" s="390" t="n">
        <v>0</v>
      </c>
      <c r="C52" s="391" t="n">
        <v>0</v>
      </c>
    </row>
    <row r="53" ht="16" customFormat="1" customHeight="1" s="188">
      <c r="B53" s="224" t="n"/>
      <c r="C53" s="219" t="n"/>
      <c r="D53" s="202" t="n"/>
      <c r="E53" s="223" t="n"/>
      <c r="F53" s="223" t="n"/>
      <c r="G53" s="223" t="n"/>
    </row>
    <row r="54" ht="16" customFormat="1" customHeight="1" s="223">
      <c r="A54" s="532" t="inlineStr">
        <is>
          <t xml:space="preserve">Default assumptions. </t>
        </is>
      </c>
      <c r="C54" s="225" t="n"/>
      <c r="D54" s="202" t="n"/>
      <c r="E54" s="188" t="n"/>
      <c r="F54" s="188" t="n"/>
      <c r="G54" s="188" t="n"/>
      <c r="H54" s="188" t="n"/>
      <c r="I54" s="188" t="n"/>
      <c r="J54" s="188" t="n"/>
      <c r="K54" s="188" t="n"/>
      <c r="L54" s="188" t="n"/>
      <c r="M54" s="188" t="n"/>
      <c r="N54" s="188" t="n"/>
    </row>
    <row r="55" ht="16" customFormat="1" customHeight="1" s="188">
      <c r="A55" s="223" t="inlineStr">
        <is>
          <t>In stable growth, I will assume that your firm will have a cost of capital similar to that of typical mature companies (riskfree rate + 4.5%)</t>
        </is>
      </c>
      <c r="B55" s="223" t="n"/>
      <c r="C55" s="226" t="n"/>
      <c r="D55" s="202" t="n"/>
      <c r="N55" s="223" t="n"/>
    </row>
    <row r="56" ht="16" customFormat="1" customHeight="1" s="188">
      <c r="A56" s="188" t="inlineStr">
        <is>
          <t>Do you want to override this assumption =</t>
        </is>
      </c>
      <c r="B56" s="227" t="inlineStr">
        <is>
          <t>Yes</t>
        </is>
      </c>
      <c r="C56" s="202" t="inlineStr">
        <is>
          <t>Mature companies generally see their risk levels approach the average</t>
        </is>
      </c>
      <c r="E56" s="223" t="n"/>
      <c r="F56" s="223" t="n"/>
      <c r="G56" s="223" t="n"/>
      <c r="H56" s="223" t="n"/>
      <c r="I56" s="223" t="n"/>
      <c r="J56" s="223" t="n"/>
      <c r="K56" s="223" t="n"/>
      <c r="L56" s="223" t="n"/>
      <c r="M56" s="223" t="n"/>
    </row>
    <row r="57" ht="16" customFormat="1" customHeight="1" s="188">
      <c r="A57" s="188" t="inlineStr">
        <is>
          <t>If yes, enter the cost of capital after year 10 =</t>
        </is>
      </c>
      <c r="B57" s="212" t="n">
        <v>0.08500000000000001</v>
      </c>
      <c r="C57" s="202" t="inlineStr">
        <is>
          <t>Though some sectors, even in stable growth, may have higher risk. If you change your risk free rate after year 10 (see cell B57 &amp; 58), you should incorporate the change into your stable cost of capital estimate.</t>
        </is>
      </c>
    </row>
    <row r="58" ht="16" customFormat="1" customHeight="1" s="188">
      <c r="A58" s="223" t="inlineStr">
        <is>
          <t>I will assume that your firm will earn a return on capital equal to its cost of capital after year 10. I am assuming that whatever competitive advantages you have today will fade over time.</t>
        </is>
      </c>
      <c r="B58" s="223" t="n"/>
      <c r="C58" s="202" t="n"/>
      <c r="D58" s="223" t="n"/>
      <c r="N58" s="223" t="n"/>
    </row>
    <row r="59" ht="16" customFormat="1" customHeight="1" s="188">
      <c r="A59" s="188" t="inlineStr">
        <is>
          <t>Do you want to override this assumption =</t>
        </is>
      </c>
      <c r="B59" s="227" t="inlineStr">
        <is>
          <t>Yes</t>
        </is>
      </c>
      <c r="C59" s="202" t="inlineStr">
        <is>
          <t>Mature companies find it difficult to generate returns that exceed the cost of capital</t>
        </is>
      </c>
      <c r="H59" s="223" t="n"/>
      <c r="I59" s="223" t="n"/>
      <c r="J59" s="223" t="n"/>
      <c r="K59" s="223" t="n"/>
      <c r="L59" s="223" t="n"/>
      <c r="M59" s="223" t="n"/>
    </row>
    <row r="60" ht="16" customFormat="1" customHeight="1" s="188">
      <c r="A60" s="188" t="inlineStr">
        <is>
          <t>If yes, enter the return on capital you expect after year 10</t>
        </is>
      </c>
      <c r="B60" s="228" t="n">
        <v>0.12</v>
      </c>
      <c r="C60" s="202" t="inlineStr">
        <is>
          <t>But there are significant exceptions among companies with long-lasting competitive advantages.</t>
        </is>
      </c>
    </row>
    <row r="61" ht="16" customFormat="1" customHeight="1" s="188">
      <c r="A61" s="223" t="inlineStr">
        <is>
          <t>I will assume that your firm has no chance of failure over the foreseeable future.</t>
        </is>
      </c>
      <c r="C61" s="202" t="n"/>
    </row>
    <row r="62" ht="16" customFormat="1" customHeight="1" s="188">
      <c r="A62" s="188" t="inlineStr">
        <is>
          <t>Do you want to override this assumption =</t>
        </is>
      </c>
      <c r="B62" s="227" t="inlineStr">
        <is>
          <t>No</t>
        </is>
      </c>
      <c r="C62" s="202" t="inlineStr">
        <is>
          <t>Many young, growth companies fail, especially if they have trouble raising cash. Many distressed companies fail, because they have trouble making debt payments.</t>
        </is>
      </c>
    </row>
    <row r="63" ht="16" customFormat="1" customHeight="1" s="188">
      <c r="A63" s="188" t="inlineStr">
        <is>
          <t>If yes, enter the probability of failure =</t>
        </is>
      </c>
      <c r="B63" s="228" t="n">
        <v>0</v>
      </c>
      <c r="C63" s="202" t="inlineStr">
        <is>
          <t>Tough to estimate but a key input. Use the failure rate worksheet, if necessary.</t>
        </is>
      </c>
    </row>
    <row r="64" ht="16" customFormat="1" customHeight="1" s="188">
      <c r="A64" s="188" t="inlineStr">
        <is>
          <t>What do you want to tie your proceeds in failure to?</t>
        </is>
      </c>
      <c r="B64" s="228" t="inlineStr">
        <is>
          <t>V</t>
        </is>
      </c>
      <c r="C64" s="202" t="inlineStr">
        <is>
          <t>B: Book value of capital, V= Estimated fair value for the company</t>
        </is>
      </c>
    </row>
    <row r="65" ht="16" customFormat="1" customHeight="1" s="188">
      <c r="A65" s="188" t="inlineStr">
        <is>
          <t>Enter the distress proceeds as percentage of book or fair value</t>
        </is>
      </c>
      <c r="B65" s="228" t="n">
        <v>0.5</v>
      </c>
      <c r="C65" s="202" t="inlineStr">
        <is>
          <t>This can be zero, if the assets will be worth nothing if the firm fails.</t>
        </is>
      </c>
    </row>
    <row r="66" ht="16" customFormat="1" customHeight="1" s="188">
      <c r="A66" s="188" t="inlineStr">
        <is>
          <t>I assume that reinvestment in a year translates into growth in the next year, i.e., there is a one year lag between reinvesting and generating growth from that reinvestment.</t>
        </is>
      </c>
      <c r="B66" s="381" t="n"/>
      <c r="C66" s="202" t="n"/>
    </row>
    <row r="67" ht="16" customFormat="1" customHeight="1" s="188">
      <c r="A67" s="188" t="inlineStr">
        <is>
          <t>Do you want override this assumption =</t>
        </is>
      </c>
      <c r="B67" s="227" t="inlineStr">
        <is>
          <t>Yes</t>
        </is>
      </c>
      <c r="C67" s="202" t="n"/>
    </row>
    <row r="68" ht="16" customFormat="1" customHeight="1" s="188">
      <c r="A68" s="188" t="inlineStr">
        <is>
          <t>If yes, enter a different lag (0 = no lag to 3 = lag of 3 years)</t>
        </is>
      </c>
      <c r="B68" s="382" t="n">
        <v>1</v>
      </c>
      <c r="C68" s="202" t="n"/>
    </row>
    <row r="69" ht="16" customFormat="1" customHeight="1" s="188">
      <c r="A69" s="223" t="inlineStr">
        <is>
          <t>I will assume that your effective tax rate will adjust to your marginal tax rate by your terminal year. If you override this assumption, I will leave the tax rate at your effective tax rate.</t>
        </is>
      </c>
      <c r="B69" s="229" t="n"/>
      <c r="C69" s="202" t="n"/>
    </row>
    <row r="70" ht="16" customFormat="1" customHeight="1" s="188">
      <c r="A70" s="188" t="inlineStr">
        <is>
          <t>Do you want to override this assumption =</t>
        </is>
      </c>
      <c r="B70" s="228" t="inlineStr">
        <is>
          <t>No</t>
        </is>
      </c>
      <c r="C70" s="202" t="n"/>
    </row>
    <row r="71" ht="16" customFormat="1" customHeight="1" s="188">
      <c r="A71" s="223" t="inlineStr">
        <is>
          <t>I will assume that you have no losses carried forward from prior years ( NOL) coming into the valuation. If you have a money losing company, you may want to override tis.</t>
        </is>
      </c>
      <c r="C71" s="202" t="n"/>
    </row>
    <row r="72" ht="16" customFormat="1" customHeight="1" s="188">
      <c r="A72" s="188" t="inlineStr">
        <is>
          <t>Do you want to override this assumption =</t>
        </is>
      </c>
      <c r="B72" s="227" t="inlineStr">
        <is>
          <t>No</t>
        </is>
      </c>
      <c r="C72" s="202" t="inlineStr">
        <is>
          <t>Check the financial statements.</t>
        </is>
      </c>
    </row>
    <row r="73" ht="16" customFormat="1" customHeight="1" s="188">
      <c r="A73" s="188" t="inlineStr">
        <is>
          <t>If yes, enter the NOL that you are carrying over into year 1</t>
        </is>
      </c>
      <c r="B73" s="715" t="n">
        <v>0</v>
      </c>
      <c r="C73" s="202" t="inlineStr">
        <is>
          <t>An NOL will shield your income from taxes, even after you start making money.</t>
        </is>
      </c>
    </row>
    <row r="74" ht="16" customFormat="1" customHeight="1" s="188">
      <c r="A74" s="188" t="inlineStr">
        <is>
          <t>I will asssume that today's risk free rate will prevail in perpetuity. If you override this assumption, I will change the riskfree rate after year 10.</t>
        </is>
      </c>
      <c r="B74" s="719" t="n"/>
      <c r="C74" s="202" t="n"/>
    </row>
    <row r="75" ht="16" customFormat="1" customHeight="1" s="188">
      <c r="A75" s="188" t="inlineStr">
        <is>
          <t>Do you want to override this assumption =</t>
        </is>
      </c>
      <c r="B75" s="715" t="inlineStr">
        <is>
          <t>No</t>
        </is>
      </c>
      <c r="C75" s="202" t="inlineStr">
        <is>
          <t>If yes, you will be asked to enter a normal risk free rate and your growth in perpetuity will be adjusted accordingly.</t>
        </is>
      </c>
    </row>
    <row r="76" ht="16" customFormat="1" customHeight="1" s="223">
      <c r="A76" s="188" t="inlineStr">
        <is>
          <t>If yes, enter the riskfree rate after year 10</t>
        </is>
      </c>
      <c r="B76" s="231" t="n">
        <v>0.02</v>
      </c>
      <c r="C76" s="202" t="inlineStr">
        <is>
          <t>Enter your estimate of what the riskfree rate (in your currency of choice) will be after year 10</t>
        </is>
      </c>
      <c r="D76" s="188" t="n"/>
      <c r="E76" s="188" t="n"/>
      <c r="F76" s="188" t="n"/>
      <c r="G76" s="188" t="n"/>
      <c r="H76" s="188" t="n"/>
      <c r="I76" s="188" t="n"/>
      <c r="J76" s="188" t="n"/>
      <c r="K76" s="188" t="n"/>
      <c r="L76" s="188" t="n"/>
      <c r="M76" s="188" t="n"/>
      <c r="N76" s="188" t="n"/>
    </row>
    <row r="77" ht="16" customFormat="1" customHeight="1" s="188">
      <c r="A77" s="188" t="inlineStr">
        <is>
          <t>I will assume that the growth rate in perpetuity will be equal to the risk free rate. This allows for both valuation consistency and prevents "impossible" growth rates.</t>
        </is>
      </c>
      <c r="B77" s="716" t="n"/>
      <c r="C77" s="202" t="n"/>
    </row>
    <row r="78" ht="16" customFormat="1" customHeight="1" s="188">
      <c r="A78" s="188" t="inlineStr">
        <is>
          <t>Do you want to override this assumption =</t>
        </is>
      </c>
      <c r="B78" s="715" t="inlineStr">
        <is>
          <t>No</t>
        </is>
      </c>
      <c r="C78" s="202" t="inlineStr">
        <is>
          <t>This is an option to let you use a negative growth rate in perpetuity or to even liquidate the firm.</t>
        </is>
      </c>
      <c r="E78" s="223" t="n"/>
      <c r="F78" s="223" t="n"/>
      <c r="G78" s="223" t="n"/>
      <c r="H78" s="223" t="n"/>
      <c r="I78" s="223" t="n"/>
      <c r="J78" s="223" t="n"/>
      <c r="K78" s="223" t="n"/>
      <c r="L78" s="223" t="n"/>
      <c r="M78" s="223" t="n"/>
      <c r="N78" s="223" t="n"/>
    </row>
    <row r="79" ht="16" customFormat="1" customHeight="1" s="188">
      <c r="A79" s="188" t="inlineStr">
        <is>
          <t>If yes, enter the growth rate in perpetuity</t>
        </is>
      </c>
      <c r="B79" s="231" t="n">
        <v>-0.05</v>
      </c>
      <c r="C79" s="202" t="inlineStr">
        <is>
          <t>This can be negative, if you feel the company will decline (and disappear) after growth is done. If you let it exceed the risk free rate, you are on your own in uncharted territory.</t>
        </is>
      </c>
    </row>
    <row r="80" ht="16" customFormat="1" customHeight="1" s="188">
      <c r="A80" s="223" t="inlineStr">
        <is>
          <t>I have assumed that none of the cash is trapped (in foreign countries) and that there is no additional tax liability coming due and that cash is a neutral asset.</t>
        </is>
      </c>
      <c r="B80" s="223" t="n"/>
      <c r="C80" s="223" t="n"/>
      <c r="D80" s="223" t="n"/>
    </row>
    <row r="81" ht="16" customFormat="1" customHeight="1" s="188">
      <c r="A81" s="188" t="inlineStr">
        <is>
          <t>Do you want to override this assumption</t>
        </is>
      </c>
      <c r="B81" s="227" t="inlineStr">
        <is>
          <t>No</t>
        </is>
      </c>
    </row>
    <row r="82" ht="16" customFormat="1" customHeight="1" s="188">
      <c r="A82" s="188" t="inlineStr">
        <is>
          <t>If yes, enter trapped cash (if taxes) or entire balance (if mistrust)</t>
        </is>
      </c>
      <c r="B82" s="720" t="n">
        <v>0</v>
      </c>
      <c r="C82" s="202" t="inlineStr">
        <is>
          <t>Cash that is trapped in foreign markets (and subject to additoinal tax) or cash that is being discounted by the market (because of management mistrust)</t>
        </is>
      </c>
    </row>
    <row r="83" ht="16" customFormat="1" customHeight="1" s="188">
      <c r="A83" s="200" t="inlineStr">
        <is>
          <t>&amp; Average tax rate of the foreign markets where the cash is trapped</t>
        </is>
      </c>
      <c r="B83" s="228" t="n">
        <v>0.15</v>
      </c>
      <c r="C83" s="202" t="inlineStr">
        <is>
          <t>Additional tax rate due on trapped cash or discount being applied to cash balance because of mistrust.</t>
        </is>
      </c>
    </row>
    <row r="84" ht="16" customFormat="1" customHeight="1" s="188">
      <c r="A84" s="52" t="n"/>
      <c r="B84" s="4" t="n"/>
      <c r="C84" s="4" t="n"/>
      <c r="D84" s="4" t="n"/>
    </row>
    <row r="85" ht="16" customHeight="1">
      <c r="E85" s="188" t="n"/>
      <c r="F85" s="188" t="n"/>
      <c r="G85" s="188" t="n"/>
      <c r="H85" s="188" t="n"/>
      <c r="I85" s="188" t="n"/>
      <c r="J85" s="188" t="n"/>
      <c r="K85" s="188" t="n"/>
      <c r="L85" s="188" t="n"/>
      <c r="M85" s="188" t="n"/>
      <c r="N85" s="188" t="n"/>
    </row>
    <row r="86" ht="16" customHeight="1">
      <c r="E86" s="188" t="n"/>
      <c r="F86" s="188" t="n"/>
      <c r="G86" s="188" t="n"/>
      <c r="H86" s="188" t="n"/>
      <c r="I86" s="188" t="n"/>
      <c r="J86" s="188" t="n"/>
      <c r="K86" s="188" t="n"/>
      <c r="L86" s="188" t="n"/>
      <c r="M86" s="188" t="n"/>
      <c r="N86" s="188" t="n"/>
    </row>
  </sheetData>
  <mergeCells count="6">
    <mergeCell ref="C34:D34"/>
    <mergeCell ref="A5:J5"/>
    <mergeCell ref="E33:J33"/>
    <mergeCell ref="A54:B54"/>
    <mergeCell ref="L23:N23"/>
    <mergeCell ref="E21:N21"/>
  </mergeCells>
  <dataValidations count="2">
    <dataValidation sqref="B22" showDropDown="0" showInputMessage="1" showErrorMessage="1" allowBlank="1" promptTitle="No negative tax rates" prompt="While it is possible for an effective tax rate to be less than 0% or greater than 100% in any given year, it is dangerous to build off these tax rates for making future projections. If less than zero, enter zero. If greater than the 100%, go with the marg" type="decimal">
      <formula1>0</formula1>
      <formula2>1</formula2>
    </dataValidation>
    <dataValidation sqref="B34" showDropDown="0" showInputMessage="1" showErrorMessage="1" allowBlank="1" promptTitle="Do not input" prompt="If you want to directly input the cost of capital, go to the cost of capital worksheet built into this spreadsheet, and you will have the option to do so. If not, you can use one of three approaches in that worksheet to compute a cost of capital."/>
  </dataValidations>
  <pageMargins left="0.75" right="0.75" top="1" bottom="1" header="0.5" footer="0.5"/>
  <pageSetup orientation="portrait" horizontalDpi="4294967292" verticalDpi="4294967292"/>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N62"/>
  <sheetViews>
    <sheetView zoomScale="125" zoomScaleNormal="125" workbookViewId="0">
      <selection activeCell="B4" sqref="B4"/>
    </sheetView>
  </sheetViews>
  <sheetFormatPr baseColWidth="10" defaultRowHeight="14"/>
  <cols>
    <col width="23" bestFit="1" customWidth="1" style="325" min="1" max="1"/>
    <col width="16.6640625" customWidth="1" style="325" min="2" max="2"/>
    <col width="15.83203125" bestFit="1" customWidth="1" style="385" min="3" max="13"/>
    <col width="14" bestFit="1" customWidth="1" style="325" min="14" max="14"/>
  </cols>
  <sheetData>
    <row r="1">
      <c r="A1" s="393" t="n"/>
      <c r="B1" s="387" t="inlineStr">
        <is>
          <t>Base year</t>
        </is>
      </c>
      <c r="C1" s="387" t="n">
        <v>1</v>
      </c>
      <c r="D1" s="387" t="n">
        <v>2</v>
      </c>
      <c r="E1" s="387" t="n">
        <v>3</v>
      </c>
      <c r="F1" s="387" t="n">
        <v>4</v>
      </c>
      <c r="G1" s="387" t="n">
        <v>5</v>
      </c>
      <c r="H1" s="387" t="n">
        <v>6</v>
      </c>
      <c r="I1" s="387" t="n">
        <v>7</v>
      </c>
      <c r="J1" s="387" t="n">
        <v>8</v>
      </c>
      <c r="K1" s="387" t="n">
        <v>9</v>
      </c>
      <c r="L1" s="387" t="n">
        <v>10</v>
      </c>
      <c r="M1" s="421" t="inlineStr">
        <is>
          <t>Terminal year</t>
        </is>
      </c>
      <c r="N1" s="429" t="inlineStr">
        <is>
          <t>Terminal Value</t>
        </is>
      </c>
    </row>
    <row r="2">
      <c r="A2" s="325" t="inlineStr">
        <is>
          <t>Rest Revenue growth rate</t>
        </is>
      </c>
      <c r="B2" s="394" t="n"/>
      <c r="C2" s="395">
        <f>'Input sheet'!B25</f>
        <v/>
      </c>
      <c r="D2" s="395">
        <f>'Input sheet'!B27</f>
        <v/>
      </c>
      <c r="E2" s="395">
        <f>D2</f>
        <v/>
      </c>
      <c r="F2" s="395">
        <f>E2</f>
        <v/>
      </c>
      <c r="G2" s="395">
        <f>F2</f>
        <v/>
      </c>
      <c r="H2" s="395">
        <f>G2-((G2-$M$2)/5)</f>
        <v/>
      </c>
      <c r="I2" s="395">
        <f>G2-((G2-$M$2)/5)*2</f>
        <v/>
      </c>
      <c r="J2" s="395">
        <f>G2-((G2-$M$2)/5)*3</f>
        <v/>
      </c>
      <c r="K2" s="395">
        <f>G2-((G2-$M$2)/5)*4</f>
        <v/>
      </c>
      <c r="L2" s="395">
        <f>G2-((G2-$M$2)/5)*5</f>
        <v/>
      </c>
      <c r="M2" s="422">
        <f>IF('Input sheet'!B78="Yes",'Input sheet'!B79,IF('Input sheet'!B75="Yes",'Input sheet'!B76,'Input sheet'!B33))</f>
        <v/>
      </c>
      <c r="N2" s="428" t="n"/>
    </row>
    <row r="3" ht="15" customHeight="1">
      <c r="A3" s="325" t="inlineStr">
        <is>
          <t>Rest Revenues</t>
        </is>
      </c>
      <c r="B3" s="721">
        <f>'Input sheet'!B10-B14-B23</f>
        <v/>
      </c>
      <c r="C3" s="722">
        <f>B3*(1+C2)</f>
        <v/>
      </c>
      <c r="D3" s="722">
        <f>C3*(1+D2)</f>
        <v/>
      </c>
      <c r="E3" s="722">
        <f>D3*(1+E2)</f>
        <v/>
      </c>
      <c r="F3" s="722">
        <f>E3*(1+F2)</f>
        <v/>
      </c>
      <c r="G3" s="722">
        <f>F3*(1+G2)</f>
        <v/>
      </c>
      <c r="H3" s="722">
        <f>G3*(1+H2)</f>
        <v/>
      </c>
      <c r="I3" s="722">
        <f>H3*(1+I2)</f>
        <v/>
      </c>
      <c r="J3" s="722">
        <f>I3*(1+J2)</f>
        <v/>
      </c>
      <c r="K3" s="722">
        <f>J3*(1+K2)</f>
        <v/>
      </c>
      <c r="L3" s="722">
        <f>K3*(1+L2)</f>
        <v/>
      </c>
      <c r="M3" s="723">
        <f>L3*(1+M2)</f>
        <v/>
      </c>
      <c r="N3" s="428" t="n"/>
    </row>
    <row r="4" ht="15" customHeight="1">
      <c r="A4" s="325" t="inlineStr">
        <is>
          <t>EBIT (Operating) margin</t>
        </is>
      </c>
      <c r="B4" s="399">
        <f>B5/B3</f>
        <v/>
      </c>
      <c r="C4" s="395">
        <f>'Input sheet'!B26</f>
        <v/>
      </c>
      <c r="D4" s="395">
        <f>IF(D1&gt;'Input sheet'!$B$29,'Input sheet'!$B$28,'Input sheet'!$B$28-(('Input sheet'!$B$28-$C$15)/'Input sheet'!$B$29)*('Input sheet'!$B$29-D1))</f>
        <v/>
      </c>
      <c r="E4" s="395">
        <f>IF(E1&gt;'Input sheet'!$B$29,'Input sheet'!$B$28,'Input sheet'!$B$28-(('Input sheet'!$B$28-$C$4)/'Input sheet'!$B$29)*('Input sheet'!$B$29-E1))</f>
        <v/>
      </c>
      <c r="F4" s="395">
        <f>IF(F1&gt;'Input sheet'!$B$29,'Input sheet'!$B$28,'Input sheet'!$B$28-(('Input sheet'!$B$28-$C$4)/'Input sheet'!$B$29)*('Input sheet'!$B$29-F1))</f>
        <v/>
      </c>
      <c r="G4" s="395">
        <f>IF(G1&gt;'Input sheet'!$B$29,'Input sheet'!$B$28,'Input sheet'!$B$28-(('Input sheet'!$B$28-$C$4)/'Input sheet'!$B$29)*('Input sheet'!$B$29-G1))</f>
        <v/>
      </c>
      <c r="H4" s="395">
        <f>IF(H1&gt;'Input sheet'!$B$29,'Input sheet'!$B$28,'Input sheet'!$B$28-(('Input sheet'!$B$28-$C$4)/'Input sheet'!$B$29)*('Input sheet'!$B$29-H1))</f>
        <v/>
      </c>
      <c r="I4" s="395">
        <f>IF(I1&gt;'Input sheet'!$B$29,'Input sheet'!$B$28,'Input sheet'!$B$28-(('Input sheet'!$B$28-$C$4)/'Input sheet'!$B$29)*('Input sheet'!$B$29-I1))</f>
        <v/>
      </c>
      <c r="J4" s="395">
        <f>IF(J1&gt;'Input sheet'!$B$29,'Input sheet'!$B$28,'Input sheet'!$B$28-(('Input sheet'!$B$28-$C$4)/'Input sheet'!$B$29)*('Input sheet'!$B$29-J1))</f>
        <v/>
      </c>
      <c r="K4" s="395">
        <f>IF(K1&gt;'Input sheet'!$B$29,'Input sheet'!$B$28,'Input sheet'!$B$28-(('Input sheet'!$B$28-$C$4)/'Input sheet'!$B$29)*('Input sheet'!$B$29-K1))</f>
        <v/>
      </c>
      <c r="L4" s="395">
        <f>IF(L1&gt;'Input sheet'!$B$29,'Input sheet'!$B$28,'Input sheet'!$B$28-(('Input sheet'!$B$28-$C$4)/'Input sheet'!$B$29)*('Input sheet'!$B$29-L1))</f>
        <v/>
      </c>
      <c r="M4" s="422">
        <f>L4</f>
        <v/>
      </c>
      <c r="N4" s="428" t="n"/>
    </row>
    <row r="5" ht="15" customHeight="1">
      <c r="A5" s="325" t="inlineStr">
        <is>
          <t>EBIT (Operating income)</t>
        </is>
      </c>
      <c r="B5" s="721">
        <f>IF('Input sheet'!B16="Yes",IF('Input sheet'!B15="Yes",'Input sheet'!B11+'Operating lease converter'!F32+'R&amp; D converter'!D39,'Input sheet'!B11+'Operating lease converter'!F32),IF('Input sheet'!B15="Yes",'Input sheet'!B11+'R&amp; D converter'!D39,'Input sheet'!B11))-B14*B15-B23*B24</f>
        <v/>
      </c>
      <c r="C5" s="722">
        <f>C4*C3</f>
        <v/>
      </c>
      <c r="D5" s="722">
        <f>D4*D3</f>
        <v/>
      </c>
      <c r="E5" s="722">
        <f>E4*E3</f>
        <v/>
      </c>
      <c r="F5" s="722">
        <f>F4*F3</f>
        <v/>
      </c>
      <c r="G5" s="722">
        <f>G4*G3</f>
        <v/>
      </c>
      <c r="H5" s="722">
        <f>H4*H3</f>
        <v/>
      </c>
      <c r="I5" s="722">
        <f>I4*I3</f>
        <v/>
      </c>
      <c r="J5" s="722">
        <f>J4*J3</f>
        <v/>
      </c>
      <c r="K5" s="722">
        <f>K4*K3</f>
        <v/>
      </c>
      <c r="L5" s="722">
        <f>L4*L3</f>
        <v/>
      </c>
      <c r="M5" s="723">
        <f>M4*M3</f>
        <v/>
      </c>
      <c r="N5" s="428" t="n"/>
    </row>
    <row r="6" ht="15" customHeight="1">
      <c r="A6" s="325" t="inlineStr">
        <is>
          <t>Tax rate</t>
        </is>
      </c>
      <c r="B6" s="400">
        <f>'Input sheet'!B22</f>
        <v/>
      </c>
      <c r="C6" s="401">
        <f>B6</f>
        <v/>
      </c>
      <c r="D6" s="401">
        <f>C6</f>
        <v/>
      </c>
      <c r="E6" s="401">
        <f>D6</f>
        <v/>
      </c>
      <c r="F6" s="401">
        <f>E6</f>
        <v/>
      </c>
      <c r="G6" s="401">
        <f>F6</f>
        <v/>
      </c>
      <c r="H6" s="401">
        <f>G6+($M$6-$G$6)/5</f>
        <v/>
      </c>
      <c r="I6" s="401">
        <f>H6+($M$6-$G$6)/5</f>
        <v/>
      </c>
      <c r="J6" s="401">
        <f>I6+($M$6-$G$6)/5</f>
        <v/>
      </c>
      <c r="K6" s="401">
        <f>J6+($M$6-$G$6)/5</f>
        <v/>
      </c>
      <c r="L6" s="401">
        <f>K6+($M$6-$G$6)/5</f>
        <v/>
      </c>
      <c r="M6" s="424">
        <f>IF('Input sheet'!B70="Yes",'Input sheet'!B22,'Input sheet'!B23)</f>
        <v/>
      </c>
      <c r="N6" s="428" t="n"/>
    </row>
    <row r="7" ht="15" customHeight="1">
      <c r="A7" s="325" t="inlineStr">
        <is>
          <t>EBIT(1-t)</t>
        </is>
      </c>
      <c r="B7" s="721">
        <f>IF(B5&gt;0,B5*(1-B6),B5)</f>
        <v/>
      </c>
      <c r="C7" s="722">
        <f>IF(C5&gt;0,IF(C5&lt;B10,C5,C5-(C5-B10)*C6),C5)</f>
        <v/>
      </c>
      <c r="D7" s="722">
        <f>IF(D5&gt;0,IF(D5&lt;C10,D5,D5-(D5-C10)*D6),D5)</f>
        <v/>
      </c>
      <c r="E7" s="722">
        <f>IF(E5&gt;0,IF(E5&lt;D10,E5,E5-(E5-D10)*E6),E5)</f>
        <v/>
      </c>
      <c r="F7" s="722">
        <f>IF(F5&gt;0,IF(F5&lt;E10,F5,F5-(F5-E10)*F6),F5)</f>
        <v/>
      </c>
      <c r="G7" s="722">
        <f>IF(G5&gt;0,IF(G5&lt;F10,G5,G5-(G5-F10)*G6),G5)</f>
        <v/>
      </c>
      <c r="H7" s="722">
        <f>IF(H5&gt;0,IF(H5&lt;G10,H5,H5-(H5-G10)*H6),H5)</f>
        <v/>
      </c>
      <c r="I7" s="722">
        <f>IF(I5&gt;0,IF(I5&lt;H10,I5,I5-(I5-H10)*I6),I5)</f>
        <v/>
      </c>
      <c r="J7" s="722">
        <f>IF(J5&gt;0,IF(J5&lt;I10,J5,J5-(J5-I10)*J6),J5)</f>
        <v/>
      </c>
      <c r="K7" s="722">
        <f>IF(K5&gt;0,IF(K5&lt;J10,K5,K5-(K5-J10)*K6),K5)</f>
        <v/>
      </c>
      <c r="L7" s="722">
        <f>IF(L5&gt;0,IF(L5&lt;K10,L5,L5-(L5-K10)*L6),L5)</f>
        <v/>
      </c>
      <c r="M7" s="724">
        <f>M5*(1-M6)</f>
        <v/>
      </c>
      <c r="N7" s="428" t="n"/>
    </row>
    <row r="8" ht="15" customHeight="1">
      <c r="A8" s="325" t="inlineStr">
        <is>
          <t xml:space="preserve"> - Reinvestment</t>
        </is>
      </c>
      <c r="B8" s="721" t="n"/>
      <c r="C8" s="722">
        <f>IF('Input sheet'!$B$67="No",(D3-C3)/C57,IF('Input sheet'!$B$68=0,(C3-B3)/C57,IF('Input sheet'!$B$68=2,(E3-D3)/C57,IF('Input sheet'!$B$68=3,(F3-E3)/C57,(D3-C3)/C57))))</f>
        <v/>
      </c>
      <c r="D8" s="722">
        <f>IF('Input sheet'!$B$67="No",(E3-D3)/D57,IF('Input sheet'!$B$68=0,(D3-C3)/D57,IF('Input sheet'!$B$68=2,(F3-E3)/D57,IF('Input sheet'!$B$68=3,(G3-F3)/D57,(E3-D3)/D57))))</f>
        <v/>
      </c>
      <c r="E8" s="722">
        <f>IF('Input sheet'!$B$67="No",(F3-E3)/E57,IF('Input sheet'!$B$68=0,(E3-D3)/E57,IF('Input sheet'!$B$68=2,(G3-F3)/E57,IF('Input sheet'!$B$68=3,(H3-G3)/E57,(F3-E3)/E57))))</f>
        <v/>
      </c>
      <c r="F8" s="722">
        <f>IF('Input sheet'!$B$67="No",(G3-F3)/F57,IF('Input sheet'!$B$68=0,(F3-E3)/F57,IF('Input sheet'!$B$68=2,(H3-G3)/F57,IF('Input sheet'!$B$68=3,(I3-H3)/F57,(G3-F3)/F57))))</f>
        <v/>
      </c>
      <c r="G8" s="722">
        <f>IF('Input sheet'!$B$67="No",(H3-G3)/G57,IF('Input sheet'!$B$68=0,(G3-F3)/G57,IF('Input sheet'!$B$68=2,(I3-H3)/G57,IF('Input sheet'!$B$68=3,(J3-I3)/G57,(H3-G3)/G57))))</f>
        <v/>
      </c>
      <c r="H8" s="722">
        <f>IF('Input sheet'!$B$67="No",(I3-H3)/H57,IF('Input sheet'!$B$68=0,(H3-G3)/H57,IF('Input sheet'!$B$68=2,(J3-I3)/H57,IF('Input sheet'!$B$68=3,(K3-J3)/H57,(I3-H3)/H57))))</f>
        <v/>
      </c>
      <c r="I8" s="722">
        <f>IF('Input sheet'!$B$67="No",(J3-I3)/I57,IF('Input sheet'!$B$68=0,(I3-H3)/I57,IF('Input sheet'!$B$68=2,(K3-J3)/I57,IF('Input sheet'!$B$68=3,(L3-K3)/I57,(J3-I3)/I57))))</f>
        <v/>
      </c>
      <c r="J8" s="722">
        <f>IF('Input sheet'!$B$67="No",(K3-J3)/J57,IF('Input sheet'!$B$68=0,(J3-I3)/J57,IF('Input sheet'!$B$68=2,(L3-K3)/J57,IF('Input sheet'!$B$68=3,(M3-L3)/J57,(K3-J3)/J57))))</f>
        <v/>
      </c>
      <c r="K8" s="722">
        <f>IF('Input sheet'!$B$67="No",(L3-K3)/K57,IF('Input sheet'!$B$68=0,(K3-J3)/K57,IF('Input sheet'!$B$68=2,L3*L2/K57,IF('Input sheet'!$B$68=3,M3*M2/K57,(L3-K3)/K57))))</f>
        <v/>
      </c>
      <c r="L8" s="722">
        <f>IF('Input sheet'!$B$67="No",(M3-L3)/L57,IF('Input sheet'!$B$68=0,(L3-K3)/L57,IF('Input sheet'!$B$68=2,M3*M2/L57,IF('Input sheet'!$B$68=3,(M3*(1+M2)^2-M3*(1+M2))/L57,(M3-L3)/L57))))</f>
        <v/>
      </c>
      <c r="M8" s="725">
        <f>IF(M2&gt;0,(M2/M59)*M7,0)</f>
        <v/>
      </c>
      <c r="N8" s="428" t="n"/>
    </row>
    <row r="9" ht="15" customHeight="1">
      <c r="A9" s="325" t="inlineStr">
        <is>
          <t>FCFF</t>
        </is>
      </c>
      <c r="B9" s="721" t="n"/>
      <c r="C9" s="722">
        <f>C7-C8</f>
        <v/>
      </c>
      <c r="D9" s="722">
        <f>D7-D8</f>
        <v/>
      </c>
      <c r="E9" s="722">
        <f>E7-E8</f>
        <v/>
      </c>
      <c r="F9" s="722">
        <f>F7-F8</f>
        <v/>
      </c>
      <c r="G9" s="722">
        <f>G7-G8</f>
        <v/>
      </c>
      <c r="H9" s="722">
        <f>H7-H8</f>
        <v/>
      </c>
      <c r="I9" s="722">
        <f>I7-I8</f>
        <v/>
      </c>
      <c r="J9" s="722">
        <f>J7-J8</f>
        <v/>
      </c>
      <c r="K9" s="722">
        <f>K7-K8</f>
        <v/>
      </c>
      <c r="L9" s="722">
        <f>L7-L8</f>
        <v/>
      </c>
      <c r="M9" s="725">
        <f>M7-M8</f>
        <v/>
      </c>
      <c r="N9" s="726">
        <f>M9/(M30-M2)</f>
        <v/>
      </c>
    </row>
    <row r="10" ht="15" customHeight="1">
      <c r="A10" s="325" t="inlineStr">
        <is>
          <t>NOL</t>
        </is>
      </c>
      <c r="B10" s="721">
        <f>IF('Input sheet'!B72="Yes",'Input sheet'!B73,0)</f>
        <v/>
      </c>
      <c r="C10" s="722">
        <f>IF(C5&lt;0,B10-C5,IF(B10&gt;C5,B10-C5,0))</f>
        <v/>
      </c>
      <c r="D10" s="722">
        <f>IF(D5&lt;0,C10-D5,IF(C10&gt;D5,C10-D5,0))</f>
        <v/>
      </c>
      <c r="E10" s="722">
        <f>IF(E5&lt;0,D10-E5,IF(D10&gt;E5,D10-E5,0))</f>
        <v/>
      </c>
      <c r="F10" s="722">
        <f>IF(F5&lt;0,E10-F5,IF(E10&gt;F5,E10-F5,0))</f>
        <v/>
      </c>
      <c r="G10" s="722">
        <f>IF(G5&lt;0,F10-G5,IF(F10&gt;G5,F10-G5,0))</f>
        <v/>
      </c>
      <c r="H10" s="722">
        <f>IF(H5&lt;0,G10-H5,IF(G10&gt;H5,G10-H5,0))</f>
        <v/>
      </c>
      <c r="I10" s="722">
        <f>IF(I5&lt;0,H10-I5,IF(H10&gt;I5,H10-I5,0))</f>
        <v/>
      </c>
      <c r="J10" s="722">
        <f>IF(J5&lt;0,I10-J5,IF(I10&gt;J5,I10-J5,0))</f>
        <v/>
      </c>
      <c r="K10" s="722">
        <f>IF(K5&lt;0,J10-K5,IF(J10&gt;K5,J10-K5,0))</f>
        <v/>
      </c>
      <c r="L10" s="722">
        <f>IF(L5&lt;0,K10-L5,IF(K10&gt;L5,K10-L5,0))</f>
        <v/>
      </c>
      <c r="M10" s="724">
        <f>IF(M5&lt;0,L10-M5,IF(L10&gt;M5,L10-M5,0))</f>
        <v/>
      </c>
      <c r="N10" s="431" t="n"/>
    </row>
    <row r="11" ht="15" customHeight="1">
      <c r="B11" s="721" t="n"/>
      <c r="C11" s="722" t="n"/>
      <c r="D11" s="722" t="n"/>
      <c r="E11" s="722" t="n"/>
      <c r="F11" s="722" t="n"/>
      <c r="G11" s="722" t="n"/>
      <c r="H11" s="722" t="n"/>
      <c r="I11" s="722" t="n"/>
      <c r="J11" s="722" t="n"/>
      <c r="K11" s="722" t="n"/>
      <c r="L11" s="722" t="n"/>
      <c r="M11" s="724" t="n"/>
      <c r="N11" s="431" t="n"/>
    </row>
    <row r="12" ht="15" customHeight="1">
      <c r="A12" s="325" t="inlineStr">
        <is>
          <t>Total Market (AI)</t>
        </is>
      </c>
      <c r="B12" s="721">
        <f>'Input sheet'!B44</f>
        <v/>
      </c>
      <c r="C12" s="722">
        <f>(G12-B12)/5+B12</f>
        <v/>
      </c>
      <c r="D12" s="722">
        <f>(G12-B12)/5+C12</f>
        <v/>
      </c>
      <c r="E12" s="722">
        <f>(G12-B12)/5+D12</f>
        <v/>
      </c>
      <c r="F12" s="722">
        <f>(G12-B12)/5+E12</f>
        <v/>
      </c>
      <c r="G12" s="722">
        <f>B12+3*(L12-B12)/5</f>
        <v/>
      </c>
      <c r="H12" s="722">
        <f>(L12-G12)/5+G12</f>
        <v/>
      </c>
      <c r="I12" s="722">
        <f>(L12-G12)/5+H12</f>
        <v/>
      </c>
      <c r="J12" s="722">
        <f>(L12-G12)/5+I12</f>
        <v/>
      </c>
      <c r="K12" s="722">
        <f>(L12-G12)/5+J12</f>
        <v/>
      </c>
      <c r="L12" s="722">
        <f>'Input sheet'!C44</f>
        <v/>
      </c>
      <c r="M12" s="724">
        <f>L12*(1+M2)</f>
        <v/>
      </c>
      <c r="N12" s="431" t="n"/>
    </row>
    <row r="13" ht="15" customHeight="1">
      <c r="A13" s="325" t="inlineStr">
        <is>
          <t>Nvidia Market share (AI)</t>
        </is>
      </c>
      <c r="B13" s="400">
        <f>'Input sheet'!B45</f>
        <v/>
      </c>
      <c r="C13" s="395">
        <f>B13-($B$13-$L$13)/10</f>
        <v/>
      </c>
      <c r="D13" s="395">
        <f>C13-($B$13-$L$13)/10</f>
        <v/>
      </c>
      <c r="E13" s="395">
        <f>D13-($B$13-$L$13)/10</f>
        <v/>
      </c>
      <c r="F13" s="395">
        <f>E13-($B$13-$L$13)/10</f>
        <v/>
      </c>
      <c r="G13" s="395">
        <f>F13-($B$13-$L$13)/10</f>
        <v/>
      </c>
      <c r="H13" s="395">
        <f>G13-($B$13-$L$13)/10</f>
        <v/>
      </c>
      <c r="I13" s="395">
        <f>H13-($B$13-$L$13)/10</f>
        <v/>
      </c>
      <c r="J13" s="395">
        <f>I13-($B$13-$L$13)/10</f>
        <v/>
      </c>
      <c r="K13" s="395">
        <f>J13-($B$13-$L$13)/10</f>
        <v/>
      </c>
      <c r="L13" s="401">
        <f>'Input sheet'!C45</f>
        <v/>
      </c>
      <c r="M13" s="424">
        <f>L13</f>
        <v/>
      </c>
      <c r="N13" s="431" t="n"/>
    </row>
    <row r="14" ht="15" customHeight="1">
      <c r="A14" s="325" t="inlineStr">
        <is>
          <t>Revenues from AI</t>
        </is>
      </c>
      <c r="B14" s="721">
        <f>B12*B13</f>
        <v/>
      </c>
      <c r="C14" s="721">
        <f>C12*C13</f>
        <v/>
      </c>
      <c r="D14" s="721">
        <f>D12*D13</f>
        <v/>
      </c>
      <c r="E14" s="721">
        <f>E12*E13</f>
        <v/>
      </c>
      <c r="F14" s="721">
        <f>F12*F13</f>
        <v/>
      </c>
      <c r="G14" s="721">
        <f>G12*G13</f>
        <v/>
      </c>
      <c r="H14" s="721">
        <f>H12*H13</f>
        <v/>
      </c>
      <c r="I14" s="721">
        <f>I12*I13</f>
        <v/>
      </c>
      <c r="J14" s="721">
        <f>J12*J13</f>
        <v/>
      </c>
      <c r="K14" s="721">
        <f>K12*K13</f>
        <v/>
      </c>
      <c r="L14" s="721">
        <f>L12*L13</f>
        <v/>
      </c>
      <c r="M14" s="727">
        <f>M12*M13</f>
        <v/>
      </c>
      <c r="N14" s="431" t="n"/>
    </row>
    <row r="15" ht="15" customHeight="1">
      <c r="A15" s="325" t="inlineStr">
        <is>
          <t>Operating Margin</t>
        </is>
      </c>
      <c r="B15" s="400">
        <f>'Input sheet'!B46</f>
        <v/>
      </c>
      <c r="C15" s="395">
        <f>B15</f>
        <v/>
      </c>
      <c r="D15" s="395">
        <f>IF(D1&gt;'Input sheet'!$B$29,'Input sheet'!$C$46,'Input sheet'!$C$46-(('Input sheet'!$C$46-$C$15)/'Input sheet'!$B$29)*('Input sheet'!$B$29-D1))</f>
        <v/>
      </c>
      <c r="E15" s="395">
        <f>IF(E1&gt;'Input sheet'!$B$29,'Input sheet'!$C$46,'Input sheet'!$C$46-(('Input sheet'!$C$46-$C$15)/'Input sheet'!$B$29)*('Input sheet'!$B$29-E1))</f>
        <v/>
      </c>
      <c r="F15" s="395">
        <f>IF(F1&gt;'Input sheet'!$B$29,'Input sheet'!$C$46,'Input sheet'!$C$46-(('Input sheet'!$C$46-$C$15)/'Input sheet'!$B$29)*('Input sheet'!$B$29-F1))</f>
        <v/>
      </c>
      <c r="G15" s="395">
        <f>IF(G1&gt;'Input sheet'!$B$29,'Input sheet'!$C$46,'Input sheet'!$C$46-(('Input sheet'!$C$46-$C$15)/'Input sheet'!$B$29)*('Input sheet'!$B$29-G1))</f>
        <v/>
      </c>
      <c r="H15" s="395">
        <f>IF(H1&gt;'Input sheet'!$B$29,'Input sheet'!$C$46,'Input sheet'!$C$46-(('Input sheet'!$C$46-$C$15)/'Input sheet'!$B$29)*('Input sheet'!$B$29-H1))</f>
        <v/>
      </c>
      <c r="I15" s="395">
        <f>IF(I1&gt;'Input sheet'!$B$29,'Input sheet'!$C$46,'Input sheet'!$C$46-(('Input sheet'!$C$46-$C$15)/'Input sheet'!$B$29)*('Input sheet'!$B$29-I1))</f>
        <v/>
      </c>
      <c r="J15" s="395">
        <f>IF(J1&gt;'Input sheet'!$B$29,'Input sheet'!$C$46,'Input sheet'!$C$46-(('Input sheet'!$C$46-$C$15)/'Input sheet'!$B$29)*('Input sheet'!$B$29-J1))</f>
        <v/>
      </c>
      <c r="K15" s="395">
        <f>IF(K1&gt;'Input sheet'!$B$29,'Input sheet'!$C$46,'Input sheet'!$C$46-(('Input sheet'!$C$46-$C$15)/'Input sheet'!$B$29)*('Input sheet'!$B$29-K1))</f>
        <v/>
      </c>
      <c r="L15" s="395">
        <f>IF(L1&gt;'Input sheet'!$B$29,'Input sheet'!$C$46,'Input sheet'!$C$46-(('Input sheet'!$C$46-$C$15)/'Input sheet'!$B$29)*('Input sheet'!$B$29-L1))</f>
        <v/>
      </c>
      <c r="M15" s="424">
        <f>L15</f>
        <v/>
      </c>
      <c r="N15" s="431" t="n"/>
    </row>
    <row r="16" ht="15" customHeight="1">
      <c r="A16" s="325" t="inlineStr">
        <is>
          <t>Operating Income</t>
        </is>
      </c>
      <c r="B16" s="722">
        <f>B14*B15</f>
        <v/>
      </c>
      <c r="C16" s="722">
        <f>C14*C15</f>
        <v/>
      </c>
      <c r="D16" s="722">
        <f>D14*D15</f>
        <v/>
      </c>
      <c r="E16" s="722">
        <f>E14*E15</f>
        <v/>
      </c>
      <c r="F16" s="722">
        <f>F14*F15</f>
        <v/>
      </c>
      <c r="G16" s="722">
        <f>G14*G15</f>
        <v/>
      </c>
      <c r="H16" s="722">
        <f>H14*H15</f>
        <v/>
      </c>
      <c r="I16" s="722">
        <f>I14*I15</f>
        <v/>
      </c>
      <c r="J16" s="722">
        <f>J14*J15</f>
        <v/>
      </c>
      <c r="K16" s="722">
        <f>K14*K15</f>
        <v/>
      </c>
      <c r="L16" s="722">
        <f>L14*L15</f>
        <v/>
      </c>
      <c r="M16" s="724">
        <f>M14*M15</f>
        <v/>
      </c>
      <c r="N16" s="431" t="n"/>
    </row>
    <row r="17" ht="15" customHeight="1">
      <c r="A17" s="325" t="inlineStr">
        <is>
          <t>EBIT (1-t)</t>
        </is>
      </c>
      <c r="B17" s="721">
        <f>B16*(1-B6)</f>
        <v/>
      </c>
      <c r="C17" s="722">
        <f>C16*(1-C6)</f>
        <v/>
      </c>
      <c r="D17" s="722">
        <f>D16*(1-D6)</f>
        <v/>
      </c>
      <c r="E17" s="722">
        <f>E16*(1-E6)</f>
        <v/>
      </c>
      <c r="F17" s="722">
        <f>F16*(1-F6)</f>
        <v/>
      </c>
      <c r="G17" s="722">
        <f>G16*(1-G6)</f>
        <v/>
      </c>
      <c r="H17" s="722">
        <f>H16*(1-H6)</f>
        <v/>
      </c>
      <c r="I17" s="722">
        <f>I16*(1-I6)</f>
        <v/>
      </c>
      <c r="J17" s="722">
        <f>J16*(1-J6)</f>
        <v/>
      </c>
      <c r="K17" s="722">
        <f>K16*(1-K6)</f>
        <v/>
      </c>
      <c r="L17" s="722">
        <f>L16*(1-L6)</f>
        <v/>
      </c>
      <c r="M17" s="724">
        <f>M16*(1-M6)</f>
        <v/>
      </c>
      <c r="N17" s="431" t="n"/>
    </row>
    <row r="18" ht="15" customHeight="1">
      <c r="A18" s="325" t="inlineStr">
        <is>
          <t xml:space="preserve"> - Reinvestment</t>
        </is>
      </c>
      <c r="B18" s="721" t="n"/>
      <c r="C18" s="722">
        <f>IF('Input sheet'!$B$67="No",(D14-C14)/C57,IF('Input sheet'!$B$68=0,(D14-B14)/C57,IF('Input sheet'!$B$68=2,(E14-D14)/C57,IF('Input sheet'!$B$68=3,(F14-E14)/C57,(D14-C14)/C57))))</f>
        <v/>
      </c>
      <c r="D18" s="722">
        <f>IF('Input sheet'!$B$67="No",(E14-D14)/D57,IF('Input sheet'!$B$68=0,(E14-C14)/D57,IF('Input sheet'!$B$68=2,(F14-E14)/D57,IF('Input sheet'!$B$68=3,(G14-F14)/D57,(E14-D14)/D57))))</f>
        <v/>
      </c>
      <c r="E18" s="722">
        <f>IF('Input sheet'!$B$67="No",(F14-E14)/E57,IF('Input sheet'!$B$68=0,(F14-D14)/E57,IF('Input sheet'!$B$68=2,(G14-F14)/E57,IF('Input sheet'!$B$68=3,(H14-G14)/E57,(F14-E14)/E57))))</f>
        <v/>
      </c>
      <c r="F18" s="722">
        <f>IF('Input sheet'!$B$67="No",(G14-F14)/F57,IF('Input sheet'!$B$68=0,(G14-E14)/F57,IF('Input sheet'!$B$68=2,(H14-G14)/F57,IF('Input sheet'!$B$68=3,(I14-H14)/F57,(G14-F14)/F57))))</f>
        <v/>
      </c>
      <c r="G18" s="722">
        <f>IF('Input sheet'!$B$67="No",(H14-G14)/G57,IF('Input sheet'!$B$68=0,(H14-F14)/G57,IF('Input sheet'!$B$68=2,(I14-H14)/G57,IF('Input sheet'!$B$68=3,(J14-I14)/G57,(H14-G14)/G57))))</f>
        <v/>
      </c>
      <c r="H18" s="722">
        <f>IF('Input sheet'!$B$67="No",(I14-H14)/H57,IF('Input sheet'!$B$68=0,(I14-G14)/H57,IF('Input sheet'!$B$68=2,(J14-I14)/H57,IF('Input sheet'!$B$68=3,(K14-J14)/H57,(I14-H14)/H57))))</f>
        <v/>
      </c>
      <c r="I18" s="722">
        <f>IF('Input sheet'!$B$67="No",(J14-I14)/I57,IF('Input sheet'!$B$68=0,(J14-H14)/I57,IF('Input sheet'!$B$68=2,(K14-J14)/I57,IF('Input sheet'!$B$68=3,(L14-K14)/I57,(J14-I14)/I57))))</f>
        <v/>
      </c>
      <c r="J18" s="722">
        <f>IF('Input sheet'!$B$67="No",(K14-J14)/J57,IF('Input sheet'!$B$68=0,(K14-I14)/J57,IF('Input sheet'!$B$68=2,(L14-K14)/J57,IF('Input sheet'!$B$68=3,(M14-L14)/J57,(K14-J14)/J57))))</f>
        <v/>
      </c>
      <c r="K18" s="722">
        <f>IF('Input sheet'!$B$67="No",(L14-K14)/K57,IF('Input sheet'!$B$68=0,(K14-J14)/K57,IF('Input sheet'!$B$68=2,L12*L2/K57,IF('Input sheet'!$B$68=3,M14*M2/K57,(L14-K14)/K57))))</f>
        <v/>
      </c>
      <c r="L18" s="722">
        <f>IF('Input sheet'!$B$67="No",(M14-L14)/L57,IF('Input sheet'!$B$68=0,(L14-K14)/L57,IF('Input sheet'!$B$68=2,M14*M2/L57,IF('Input sheet'!$B$68=3,(M14*(1+M2)*M2)/L57,(M14-L14)/L57))))</f>
        <v/>
      </c>
      <c r="M18" s="724">
        <f>IF(M2&gt;0,(M2/M59)*M17,0)</f>
        <v/>
      </c>
      <c r="N18" s="431" t="n"/>
    </row>
    <row r="19" ht="15" customHeight="1">
      <c r="A19" s="325" t="inlineStr">
        <is>
          <t>FCFF (AI)</t>
        </is>
      </c>
      <c r="B19" s="394" t="n"/>
      <c r="C19" s="728">
        <f>C17-C18</f>
        <v/>
      </c>
      <c r="D19" s="728">
        <f>D17-D18</f>
        <v/>
      </c>
      <c r="E19" s="728">
        <f>E17-E18</f>
        <v/>
      </c>
      <c r="F19" s="728">
        <f>F17-F18</f>
        <v/>
      </c>
      <c r="G19" s="728">
        <f>G17-G18</f>
        <v/>
      </c>
      <c r="H19" s="728">
        <f>H17-H18</f>
        <v/>
      </c>
      <c r="I19" s="728">
        <f>I17-I18</f>
        <v/>
      </c>
      <c r="J19" s="728">
        <f>J17-J18</f>
        <v/>
      </c>
      <c r="K19" s="728">
        <f>K17-K18</f>
        <v/>
      </c>
      <c r="L19" s="728">
        <f>L17-L18</f>
        <v/>
      </c>
      <c r="M19" s="725">
        <f>M17-M18</f>
        <v/>
      </c>
      <c r="N19" s="726">
        <f>M19/(M30-M2)</f>
        <v/>
      </c>
    </row>
    <row r="20" ht="15" customHeight="1">
      <c r="N20" s="431" t="n"/>
    </row>
    <row r="21" ht="15" customHeight="1">
      <c r="A21" s="325" t="inlineStr">
        <is>
          <t>Total Market (Auto)</t>
        </is>
      </c>
      <c r="B21" s="721">
        <f>'Input sheet'!B50</f>
        <v/>
      </c>
      <c r="C21" s="722">
        <f>(G21-B21)/5+B21</f>
        <v/>
      </c>
      <c r="D21" s="722">
        <f>(G21-B21)/5+C21</f>
        <v/>
      </c>
      <c r="E21" s="722">
        <f>(G21-B21)/5+D21</f>
        <v/>
      </c>
      <c r="F21" s="722">
        <f>(G21-B21)/5+E21</f>
        <v/>
      </c>
      <c r="G21" s="722">
        <f>B21+2*(L21-B21)/3</f>
        <v/>
      </c>
      <c r="H21" s="722">
        <f>(L21-G21)/5+G21</f>
        <v/>
      </c>
      <c r="I21" s="722">
        <f>(L21-G21)/5+H21</f>
        <v/>
      </c>
      <c r="J21" s="722">
        <f>(L21-G21)/5+I21</f>
        <v/>
      </c>
      <c r="K21" s="722">
        <f>(L21-G21)/5+J21</f>
        <v/>
      </c>
      <c r="L21" s="722">
        <f>'Input sheet'!C50</f>
        <v/>
      </c>
      <c r="M21" s="724">
        <f>L21*(1+M2)</f>
        <v/>
      </c>
      <c r="N21" s="431" t="n"/>
    </row>
    <row r="22" ht="15" customHeight="1">
      <c r="A22" s="325" t="inlineStr">
        <is>
          <t>Nvidia Market share (Auto)</t>
        </is>
      </c>
      <c r="B22" s="400">
        <f>'Input sheet'!B51</f>
        <v/>
      </c>
      <c r="C22" s="395">
        <f>B22-($B$22-$L$22)/10</f>
        <v/>
      </c>
      <c r="D22" s="395">
        <f>C22-($B$22-$L$22)/10</f>
        <v/>
      </c>
      <c r="E22" s="395">
        <f>D22-($B$22-$L$22)/10</f>
        <v/>
      </c>
      <c r="F22" s="395">
        <f>E22-($B$22-$L$22)/10</f>
        <v/>
      </c>
      <c r="G22" s="395">
        <f>F22-($B$22-$L$22)/10</f>
        <v/>
      </c>
      <c r="H22" s="395">
        <f>G22-($B$22-$L$22)/10</f>
        <v/>
      </c>
      <c r="I22" s="395">
        <f>H22-($B$22-$L$22)/10</f>
        <v/>
      </c>
      <c r="J22" s="395">
        <f>I22-($B$22-$L$22)/10</f>
        <v/>
      </c>
      <c r="K22" s="395">
        <f>J22-($B$22-$L$22)/10</f>
        <v/>
      </c>
      <c r="L22" s="401">
        <f>'Input sheet'!C51</f>
        <v/>
      </c>
      <c r="M22" s="424">
        <f>L22</f>
        <v/>
      </c>
      <c r="N22" s="431" t="n"/>
    </row>
    <row r="23" ht="15" customHeight="1">
      <c r="A23" s="325" t="inlineStr">
        <is>
          <t>Revenues from Auto</t>
        </is>
      </c>
      <c r="B23" s="721">
        <f>B21*B22</f>
        <v/>
      </c>
      <c r="C23" s="721">
        <f>C21*C22</f>
        <v/>
      </c>
      <c r="D23" s="721">
        <f>D21*D22</f>
        <v/>
      </c>
      <c r="E23" s="721">
        <f>E21*E22</f>
        <v/>
      </c>
      <c r="F23" s="721">
        <f>F21*F22</f>
        <v/>
      </c>
      <c r="G23" s="721">
        <f>G21*G22</f>
        <v/>
      </c>
      <c r="H23" s="721">
        <f>H21*H22</f>
        <v/>
      </c>
      <c r="I23" s="721">
        <f>I21*I22</f>
        <v/>
      </c>
      <c r="J23" s="721">
        <f>J21*J22</f>
        <v/>
      </c>
      <c r="K23" s="721">
        <f>K21*K22</f>
        <v/>
      </c>
      <c r="L23" s="721">
        <f>L21*L22</f>
        <v/>
      </c>
      <c r="M23" s="727">
        <f>M21*M22</f>
        <v/>
      </c>
      <c r="N23" s="431" t="n"/>
    </row>
    <row r="24" ht="15" customHeight="1">
      <c r="A24" s="325" t="inlineStr">
        <is>
          <t>Operating Margin</t>
        </is>
      </c>
      <c r="B24" s="400">
        <f>'Input sheet'!B52</f>
        <v/>
      </c>
      <c r="C24" s="395">
        <f>'Input sheet'!B26</f>
        <v/>
      </c>
      <c r="D24" s="395">
        <f>IF(D1&gt;'Input sheet'!$B$29,'Input sheet'!$C$52,'Input sheet'!$C$52-(('Input sheet'!$C$52-$C$24)/'Input sheet'!$B$29)*('Input sheet'!$B$29-D1))</f>
        <v/>
      </c>
      <c r="E24" s="395">
        <f>IF(E1&gt;'Input sheet'!$B$29,'Input sheet'!$C$52,'Input sheet'!$C$52-(('Input sheet'!$C$52-$C$24)/'Input sheet'!$B$29)*('Input sheet'!$B$29-E1))</f>
        <v/>
      </c>
      <c r="F24" s="395">
        <f>IF(F1&gt;'Input sheet'!$B$29,'Input sheet'!$C$52,'Input sheet'!$C$52-(('Input sheet'!$C$52-$C$24)/'Input sheet'!$B$29)*('Input sheet'!$B$29-F1))</f>
        <v/>
      </c>
      <c r="G24" s="395">
        <f>IF(G1&gt;'Input sheet'!$B$29,'Input sheet'!$C$52,'Input sheet'!$C$52-(('Input sheet'!$C$52-$C$24)/'Input sheet'!$B$29)*('Input sheet'!$B$29-G1))</f>
        <v/>
      </c>
      <c r="H24" s="395">
        <f>IF(H1&gt;'Input sheet'!$B$29,'Input sheet'!$C$52,'Input sheet'!$C$52-(('Input sheet'!$C$52-$C$24)/'Input sheet'!$B$29)*('Input sheet'!$B$29-H1))</f>
        <v/>
      </c>
      <c r="I24" s="395">
        <f>IF(I1&gt;'Input sheet'!$B$29,'Input sheet'!$C$52,'Input sheet'!$C$52-(('Input sheet'!$C$52-$C$24)/'Input sheet'!$B$29)*('Input sheet'!$B$29-I1))</f>
        <v/>
      </c>
      <c r="J24" s="395">
        <f>IF(J1&gt;'Input sheet'!$B$29,'Input sheet'!$C$52,'Input sheet'!$C$52-(('Input sheet'!$C$52-$C$24)/'Input sheet'!$B$29)*('Input sheet'!$B$29-J1))</f>
        <v/>
      </c>
      <c r="K24" s="395">
        <f>IF(K1&gt;'Input sheet'!$B$29,'Input sheet'!$C$52,'Input sheet'!$C$52-(('Input sheet'!$C$52-$C$24)/'Input sheet'!$B$29)*('Input sheet'!$B$29-K1))</f>
        <v/>
      </c>
      <c r="L24" s="395">
        <f>IF(L1&gt;'Input sheet'!$B$29,'Input sheet'!$C$52,'Input sheet'!$C$52-(('Input sheet'!$C$52-$C$24)/'Input sheet'!$B$29)*('Input sheet'!$B$29-L1))</f>
        <v/>
      </c>
      <c r="M24" s="424">
        <f>L24</f>
        <v/>
      </c>
      <c r="N24" s="431" t="n"/>
    </row>
    <row r="25" ht="15" customHeight="1">
      <c r="A25" s="325" t="inlineStr">
        <is>
          <t>Operating Income</t>
        </is>
      </c>
      <c r="B25" s="721">
        <f>B23*B24</f>
        <v/>
      </c>
      <c r="C25" s="722">
        <f>C23*C24</f>
        <v/>
      </c>
      <c r="D25" s="722">
        <f>D23*D24</f>
        <v/>
      </c>
      <c r="E25" s="722">
        <f>E23*E24</f>
        <v/>
      </c>
      <c r="F25" s="722">
        <f>F23*F24</f>
        <v/>
      </c>
      <c r="G25" s="722">
        <f>G23*G24</f>
        <v/>
      </c>
      <c r="H25" s="722">
        <f>H23*H24</f>
        <v/>
      </c>
      <c r="I25" s="722">
        <f>I23*I24</f>
        <v/>
      </c>
      <c r="J25" s="722">
        <f>J23*J24</f>
        <v/>
      </c>
      <c r="K25" s="722">
        <f>K23*K24</f>
        <v/>
      </c>
      <c r="L25" s="722">
        <f>L23*L24</f>
        <v/>
      </c>
      <c r="M25" s="724">
        <f>M23*M24</f>
        <v/>
      </c>
      <c r="N25" s="431" t="n"/>
    </row>
    <row r="26" ht="15" customHeight="1">
      <c r="A26" s="325" t="inlineStr">
        <is>
          <t>EBIT (1-t)</t>
        </is>
      </c>
      <c r="B26" s="721">
        <f>B25*(1-B6)</f>
        <v/>
      </c>
      <c r="C26" s="722">
        <f>C25*(1-C6)</f>
        <v/>
      </c>
      <c r="D26" s="722">
        <f>D25*(1-D6)</f>
        <v/>
      </c>
      <c r="E26" s="722">
        <f>E25*(1-E6)</f>
        <v/>
      </c>
      <c r="F26" s="722">
        <f>F25*(1-F6)</f>
        <v/>
      </c>
      <c r="G26" s="722">
        <f>G25*(1-G6)</f>
        <v/>
      </c>
      <c r="H26" s="722">
        <f>H25*(1-H6)</f>
        <v/>
      </c>
      <c r="I26" s="722">
        <f>I25*(1-I6)</f>
        <v/>
      </c>
      <c r="J26" s="722">
        <f>J25*(1-J6)</f>
        <v/>
      </c>
      <c r="K26" s="722">
        <f>K25*(1-K6)</f>
        <v/>
      </c>
      <c r="L26" s="722">
        <f>L25*(1-L6)</f>
        <v/>
      </c>
      <c r="M26" s="724">
        <f>M25*(1-M6)</f>
        <v/>
      </c>
      <c r="N26" s="431" t="n"/>
    </row>
    <row r="27" ht="15" customHeight="1">
      <c r="A27" s="325" t="inlineStr">
        <is>
          <t xml:space="preserve"> - Reinvestment</t>
        </is>
      </c>
      <c r="B27" s="721" t="n"/>
      <c r="C27" s="722">
        <f>IF('Input sheet'!$B$67="No",(D23-C23)/C57,IF('Input sheet'!$B$68=0,(D23-B23)/C57,IF('Input sheet'!$B$68=2,(E23-D23)/C57,IF('Input sheet'!$B$68=3,(F23-E23)/C57,(D23-C23)/C57))))</f>
        <v/>
      </c>
      <c r="D27" s="722">
        <f>IF('Input sheet'!$B$67="No",(E23-D23)/D57,IF('Input sheet'!$B$68=0,(E23-C23)/D57,IF('Input sheet'!$B$68=2,(F23-E23)/D57,IF('Input sheet'!$B$68=3,(G23-F23)/D57,(E23-D23)/D57))))</f>
        <v/>
      </c>
      <c r="E27" s="722">
        <f>IF('Input sheet'!$B$67="No",(F23-E23)/E57,IF('Input sheet'!$B$68=0,(F23-D23)/E57,IF('Input sheet'!$B$68=2,(G23-F23)/E57,IF('Input sheet'!$B$68=3,(H23-G23)/E57,(F23-E23)/E57))))</f>
        <v/>
      </c>
      <c r="F27" s="722">
        <f>IF('Input sheet'!$B$67="No",(G23-F23)/F57,IF('Input sheet'!$B$68=0,(G23-E23)/F57,IF('Input sheet'!$B$68=2,(H23-G23)/F57,IF('Input sheet'!$B$68=3,(I23-H23)/F57,(G23-F23)/F57))))</f>
        <v/>
      </c>
      <c r="G27" s="722">
        <f>IF('Input sheet'!$B$67="No",(H23-G23)/G57,IF('Input sheet'!$B$68=0,(H23-F23)/G57,IF('Input sheet'!$B$68=2,(I23-H23)/G57,IF('Input sheet'!$B$68=3,(J23-I23)/G57,(H23-G23)/G57))))</f>
        <v/>
      </c>
      <c r="H27" s="722">
        <f>IF('Input sheet'!$B$67="No",(I23-H23)/H57,IF('Input sheet'!$B$68=0,(I23-G23)/H57,IF('Input sheet'!$B$68=2,(J23-I23)/H57,IF('Input sheet'!$B$68=3,(K23-J23)/H57,(I23-H23)/H57))))</f>
        <v/>
      </c>
      <c r="I27" s="722">
        <f>IF('Input sheet'!$B$67="No",(J23-I23)/I57,IF('Input sheet'!$B$68=0,(J23-H23)/I57,IF('Input sheet'!$B$68=2,(K23-J23)/I57,IF('Input sheet'!$B$68=3,(L23-K23)/I57,(J23-I23)/I57))))</f>
        <v/>
      </c>
      <c r="J27" s="722">
        <f>IF('Input sheet'!$B$67="No",(K23-J23)/J57,IF('Input sheet'!$B$68=0,(K23-I23)/J57,IF('Input sheet'!$B$68=2,(L23-K23)/J57,IF('Input sheet'!$B$68=3,(M23-L23)/J57,(K23-J23)/J57))))</f>
        <v/>
      </c>
      <c r="K27" s="722">
        <f>IF('Input sheet'!$B$67="No",(L23-K23)/K57,IF('Input sheet'!$B$68=0,(K23-J23)/K57,IF('Input sheet'!$B$68=2,L12*L2/K57,IF('Input sheet'!$B$68=3,M23*M2/K57,(L23-K23)/K57))))</f>
        <v/>
      </c>
      <c r="L27" s="722">
        <f>IF('Input sheet'!$B$67="No",(M23-L23)/L57,IF('Input sheet'!$B$68=0,(L23-K23)/L57,IF('Input sheet'!$B$68=2,M23*M2/L57,IF('Input sheet'!$B$68=3,(M23*(1+M2)*M2)/L57,(M23-L23)/L57))))</f>
        <v/>
      </c>
      <c r="M27" s="724">
        <f>IF(M2&gt;0,(M2/M59)*M26,0)</f>
        <v/>
      </c>
      <c r="N27" s="431" t="n"/>
    </row>
    <row r="28" ht="15" customHeight="1" thickBot="1">
      <c r="A28" s="325" t="inlineStr">
        <is>
          <t>FCFF (AI)</t>
        </is>
      </c>
      <c r="B28" s="394" t="n"/>
      <c r="C28" s="728">
        <f>C26-C27</f>
        <v/>
      </c>
      <c r="D28" s="728">
        <f>D26-D27</f>
        <v/>
      </c>
      <c r="E28" s="728">
        <f>E26-E27</f>
        <v/>
      </c>
      <c r="F28" s="728">
        <f>F26-F27</f>
        <v/>
      </c>
      <c r="G28" s="728">
        <f>G26-G27</f>
        <v/>
      </c>
      <c r="H28" s="728">
        <f>H26-H27</f>
        <v/>
      </c>
      <c r="I28" s="728">
        <f>I26-I27</f>
        <v/>
      </c>
      <c r="J28" s="728">
        <f>J26-J27</f>
        <v/>
      </c>
      <c r="K28" s="728">
        <f>K26-K27</f>
        <v/>
      </c>
      <c r="L28" s="728">
        <f>L26-L27</f>
        <v/>
      </c>
      <c r="M28" s="725">
        <f>M26-M27</f>
        <v/>
      </c>
      <c r="N28" s="729">
        <f>M28/(M30-M2)</f>
        <v/>
      </c>
    </row>
    <row r="29" ht="15" customHeight="1"/>
    <row r="30" ht="15" customHeight="1">
      <c r="A30" s="325" t="inlineStr">
        <is>
          <t>Cost of capital</t>
        </is>
      </c>
      <c r="B30" s="399" t="n"/>
      <c r="C30" s="395">
        <f>'Input sheet'!B34</f>
        <v/>
      </c>
      <c r="D30" s="395">
        <f>C30</f>
        <v/>
      </c>
      <c r="E30" s="395">
        <f>D30</f>
        <v/>
      </c>
      <c r="F30" s="395">
        <f>E30</f>
        <v/>
      </c>
      <c r="G30" s="395">
        <f>F30</f>
        <v/>
      </c>
      <c r="H30" s="395">
        <f>G30-($G$30-$M$30)/5</f>
        <v/>
      </c>
      <c r="I30" s="395">
        <f>H30-($G$30-$M$30)/5</f>
        <v/>
      </c>
      <c r="J30" s="395">
        <f>I30-($G$30-$M$30)/5</f>
        <v/>
      </c>
      <c r="K30" s="395">
        <f>J30-($G$30-$M$30)/5</f>
        <v/>
      </c>
      <c r="L30" s="395">
        <f>K30-($G$30-$M$30)/5</f>
        <v/>
      </c>
      <c r="M30" s="396">
        <f>IF('Input sheet'!B56="Yes",'Input sheet'!B57,IF('Input sheet'!B75="Yes",'Input sheet'!B76+'Country equity risk premiums'!B1,'Input sheet'!B33+'Country equity risk premiums'!B1))</f>
        <v/>
      </c>
    </row>
    <row r="31" ht="15" customHeight="1">
      <c r="A31" s="325" t="inlineStr">
        <is>
          <t>Cumulated discount factor</t>
        </is>
      </c>
      <c r="B31" s="405" t="n"/>
      <c r="C31" s="730">
        <f>1/(1+C30)</f>
        <v/>
      </c>
      <c r="D31" s="730">
        <f>C31*(1/(1+D30))</f>
        <v/>
      </c>
      <c r="E31" s="730">
        <f>D31*(1/(1+E30))</f>
        <v/>
      </c>
      <c r="F31" s="730">
        <f>E31*(1/(1+F30))</f>
        <v/>
      </c>
      <c r="G31" s="730">
        <f>F31*(1/(1+G30))</f>
        <v/>
      </c>
      <c r="H31" s="730">
        <f>G31*(1/(1+H30))</f>
        <v/>
      </c>
      <c r="I31" s="730">
        <f>H31*(1/(1+I30))</f>
        <v/>
      </c>
      <c r="J31" s="730">
        <f>I31*(1/(1+J30))</f>
        <v/>
      </c>
      <c r="K31" s="730">
        <f>J31*(1/(1+K30))</f>
        <v/>
      </c>
      <c r="L31" s="730">
        <f>K31*(1/(1+L30))</f>
        <v/>
      </c>
      <c r="M31" s="407" t="n"/>
    </row>
    <row r="32" ht="15" customHeight="1">
      <c r="A32" s="394" t="inlineStr">
        <is>
          <t>PV(FCFF from rest)</t>
        </is>
      </c>
      <c r="B32" s="394" t="n"/>
      <c r="C32" s="722">
        <f>C9*C31</f>
        <v/>
      </c>
      <c r="D32" s="722">
        <f>D9*D31</f>
        <v/>
      </c>
      <c r="E32" s="722">
        <f>E9*E31</f>
        <v/>
      </c>
      <c r="F32" s="722">
        <f>F9*F31</f>
        <v/>
      </c>
      <c r="G32" s="722">
        <f>G9*G31</f>
        <v/>
      </c>
      <c r="H32" s="722">
        <f>H9*H31</f>
        <v/>
      </c>
      <c r="I32" s="722">
        <f>I9*I31</f>
        <v/>
      </c>
      <c r="J32" s="722">
        <f>J9*J31</f>
        <v/>
      </c>
      <c r="K32" s="722">
        <f>K9*K31</f>
        <v/>
      </c>
      <c r="L32" s="722">
        <f>L9*L31</f>
        <v/>
      </c>
      <c r="M32" s="404" t="n"/>
    </row>
    <row r="33" ht="15" customHeight="1">
      <c r="A33" s="394" t="inlineStr">
        <is>
          <t>PV (FCFF frrom AI)</t>
        </is>
      </c>
      <c r="B33" s="394" t="n"/>
      <c r="C33" s="722">
        <f>C19*C31</f>
        <v/>
      </c>
      <c r="D33" s="722">
        <f>D19*D31</f>
        <v/>
      </c>
      <c r="E33" s="722">
        <f>E19*E31</f>
        <v/>
      </c>
      <c r="F33" s="722">
        <f>F19*F31</f>
        <v/>
      </c>
      <c r="G33" s="722">
        <f>G19*G31</f>
        <v/>
      </c>
      <c r="H33" s="722">
        <f>H19*H31</f>
        <v/>
      </c>
      <c r="I33" s="722">
        <f>I19*I31</f>
        <v/>
      </c>
      <c r="J33" s="722">
        <f>J19*J31</f>
        <v/>
      </c>
      <c r="K33" s="722">
        <f>K19*K31</f>
        <v/>
      </c>
      <c r="L33" s="722">
        <f>L19*L31</f>
        <v/>
      </c>
      <c r="M33" s="404" t="n"/>
    </row>
    <row r="34" ht="15" customHeight="1">
      <c r="A34" s="394" t="inlineStr">
        <is>
          <t>PV(FCFF from Auto)</t>
        </is>
      </c>
      <c r="B34" s="394" t="n"/>
      <c r="C34" s="728">
        <f>C28*C31</f>
        <v/>
      </c>
      <c r="D34" s="728">
        <f>D28*D31</f>
        <v/>
      </c>
      <c r="E34" s="728">
        <f>E28*E31</f>
        <v/>
      </c>
      <c r="F34" s="728">
        <f>F28*F31</f>
        <v/>
      </c>
      <c r="G34" s="728">
        <f>G28*G31</f>
        <v/>
      </c>
      <c r="H34" s="728">
        <f>H28*H31</f>
        <v/>
      </c>
      <c r="I34" s="728">
        <f>I28*I31</f>
        <v/>
      </c>
      <c r="J34" s="728">
        <f>J28*J31</f>
        <v/>
      </c>
      <c r="K34" s="728">
        <f>K28*K31</f>
        <v/>
      </c>
      <c r="L34" s="728">
        <f>L28*L31</f>
        <v/>
      </c>
      <c r="M34" s="404" t="n"/>
    </row>
    <row r="35" ht="15" customHeight="1"/>
    <row r="36" ht="15" customHeight="1"/>
    <row r="37" ht="15" customHeight="1">
      <c r="A37" s="384" t="inlineStr">
        <is>
          <t>Value of Rest</t>
        </is>
      </c>
      <c r="B37" s="721">
        <f>SUM(C32:L32)+N9*L31</f>
        <v/>
      </c>
    </row>
    <row r="38" ht="15" customHeight="1">
      <c r="A38" s="384" t="inlineStr">
        <is>
          <t>Value of AI</t>
        </is>
      </c>
      <c r="B38" s="731">
        <f>SUM(C33:L33)+N19*L31</f>
        <v/>
      </c>
      <c r="D38" s="732" t="n"/>
    </row>
    <row r="39">
      <c r="A39" s="384" t="inlineStr">
        <is>
          <t>Value of Auto</t>
        </is>
      </c>
      <c r="B39" s="721">
        <f>SUM(C34:L34)+N28*L31</f>
        <v/>
      </c>
      <c r="D39" s="733" t="n"/>
      <c r="M39" s="732" t="n"/>
    </row>
    <row r="40">
      <c r="A40" s="384" t="inlineStr">
        <is>
          <t>Value as Going Concern =</t>
        </is>
      </c>
      <c r="B40" s="734">
        <f>SUM(B37:B39)</f>
        <v/>
      </c>
    </row>
    <row r="41">
      <c r="A41" s="384" t="inlineStr">
        <is>
          <t>Probability of failure =</t>
        </is>
      </c>
      <c r="B41" s="410">
        <f>IF('Input sheet'!B62="Yes",'Input sheet'!B63,0)</f>
        <v/>
      </c>
      <c r="E41" s="732" t="n"/>
      <c r="L41" s="732" t="n"/>
    </row>
    <row r="42">
      <c r="A42" s="384" t="inlineStr">
        <is>
          <t>Proceeds if firm fails =</t>
        </is>
      </c>
      <c r="B42" s="735">
        <f>IF('Input sheet'!B64="B",('Input sheet'!B13+'Input sheet'!B14)*'Input sheet'!B65,'Valuation output'!B40*'Input sheet'!B65)</f>
        <v/>
      </c>
    </row>
    <row r="43">
      <c r="A43" s="384" t="inlineStr">
        <is>
          <t>Value of operating assets =</t>
        </is>
      </c>
      <c r="B43" s="721">
        <f>B40*(1-B41)+B42*B41</f>
        <v/>
      </c>
    </row>
    <row r="44">
      <c r="A44" s="384" t="inlineStr">
        <is>
          <t xml:space="preserve"> - Debt</t>
        </is>
      </c>
      <c r="B44" s="721">
        <f>IF('Input sheet'!B16="Yes",'Input sheet'!B14+'Operating lease converter'!C28,'Input sheet'!B14)</f>
        <v/>
      </c>
    </row>
    <row r="45">
      <c r="A45" s="384" t="inlineStr">
        <is>
          <t xml:space="preserve"> - Minority interests</t>
        </is>
      </c>
      <c r="B45" s="721">
        <f>'Input sheet'!B19</f>
        <v/>
      </c>
    </row>
    <row r="46">
      <c r="A46" s="384" t="inlineStr">
        <is>
          <t xml:space="preserve"> +  Cash</t>
        </is>
      </c>
      <c r="B46" s="721">
        <f>IF('Input sheet'!B81="YES",'Input sheet'!B17-'Input sheet'!B82*('Input sheet'!B23-'Input sheet'!B83),'Input sheet'!B17)</f>
        <v/>
      </c>
    </row>
    <row r="47">
      <c r="A47" s="384" t="inlineStr">
        <is>
          <t xml:space="preserve"> + Non-operating assets</t>
        </is>
      </c>
      <c r="B47" s="721">
        <f>'Input sheet'!B18</f>
        <v/>
      </c>
    </row>
    <row r="48">
      <c r="A48" s="384" t="inlineStr">
        <is>
          <t>Value of equity</t>
        </is>
      </c>
      <c r="B48" s="734">
        <f>B43-B44-B45+B46+B47</f>
        <v/>
      </c>
    </row>
    <row r="49">
      <c r="A49" s="384" t="inlineStr">
        <is>
          <t xml:space="preserve"> - Value of options</t>
        </is>
      </c>
      <c r="B49" s="736">
        <f>IF('Input sheet'!B36="No",0,'Option value'!B29)</f>
        <v/>
      </c>
    </row>
    <row r="50">
      <c r="A50" s="384" t="inlineStr">
        <is>
          <t>Value of equity in common stock</t>
        </is>
      </c>
      <c r="B50" s="734">
        <f>B48-B49</f>
        <v/>
      </c>
    </row>
    <row r="51">
      <c r="A51" s="384" t="inlineStr">
        <is>
          <t>Number of shares</t>
        </is>
      </c>
      <c r="B51" s="413">
        <f>'Input sheet'!B20</f>
        <v/>
      </c>
    </row>
    <row r="52">
      <c r="A52" s="384" t="inlineStr">
        <is>
          <t>Estimated value /share</t>
        </is>
      </c>
      <c r="B52" s="737">
        <f>B50/B51</f>
        <v/>
      </c>
    </row>
    <row r="53">
      <c r="A53" s="384" t="inlineStr">
        <is>
          <t>Price</t>
        </is>
      </c>
      <c r="B53" s="721">
        <f>'Input sheet'!B21</f>
        <v/>
      </c>
    </row>
    <row r="54">
      <c r="A54" s="384" t="inlineStr">
        <is>
          <t>Price as % of value</t>
        </is>
      </c>
      <c r="B54" s="400">
        <f>B53/B52</f>
        <v/>
      </c>
    </row>
    <row r="56">
      <c r="A56" s="415" t="inlineStr">
        <is>
          <t>Implied variables</t>
        </is>
      </c>
      <c r="B56" s="394" t="n"/>
      <c r="C56" s="404" t="n"/>
      <c r="D56" s="404" t="n"/>
      <c r="E56" s="404" t="n"/>
      <c r="F56" s="404" t="n"/>
      <c r="G56" s="404" t="n"/>
      <c r="H56" s="404" t="n"/>
      <c r="I56" s="404" t="n"/>
      <c r="J56" s="404" t="n"/>
      <c r="K56" s="404" t="n"/>
      <c r="L56" s="404" t="n"/>
      <c r="M56" s="404" t="inlineStr">
        <is>
          <t>After year 10</t>
        </is>
      </c>
    </row>
    <row r="57">
      <c r="A57" s="384" t="inlineStr">
        <is>
          <t>Sales to capital ratio</t>
        </is>
      </c>
      <c r="B57" s="394" t="n"/>
      <c r="C57" s="416">
        <f>'Input sheet'!B30</f>
        <v/>
      </c>
      <c r="D57" s="416">
        <f>'Input sheet'!B30</f>
        <v/>
      </c>
      <c r="E57" s="416">
        <f>D57</f>
        <v/>
      </c>
      <c r="F57" s="416">
        <f>E57</f>
        <v/>
      </c>
      <c r="G57" s="416">
        <f>'Input sheet'!B31</f>
        <v/>
      </c>
      <c r="H57" s="416">
        <f>G57</f>
        <v/>
      </c>
      <c r="I57" s="416">
        <f>H57</f>
        <v/>
      </c>
      <c r="J57" s="416">
        <f>I57</f>
        <v/>
      </c>
      <c r="K57" s="416">
        <f>J57</f>
        <v/>
      </c>
      <c r="L57" s="416">
        <f>K57</f>
        <v/>
      </c>
      <c r="M57" s="404" t="n"/>
    </row>
    <row r="58">
      <c r="A58" s="384" t="inlineStr">
        <is>
          <t>Invested capital</t>
        </is>
      </c>
      <c r="B58" s="738">
        <f>IF('Input sheet'!B16="Yes",IF('Input sheet'!B15="Yes",'Input sheet'!B13+'Input sheet'!B14-'Input sheet'!B17+'Operating lease converter'!F33+'R&amp; D converter'!D35,'Input sheet'!B13+'Input sheet'!B14-'Input sheet'!B17+'Operating lease converter'!F33),IF('Input sheet'!B15="Yes",'Input sheet'!B13+'Input sheet'!B14-'Input sheet'!B17+'R&amp; D converter'!D35,'Input sheet'!B13+'Input sheet'!B14-'Input sheet'!B17))</f>
        <v/>
      </c>
      <c r="C58" s="739">
        <f>B58+C8+C18+C27</f>
        <v/>
      </c>
      <c r="D58" s="739">
        <f>C58+D8+D18+D27</f>
        <v/>
      </c>
      <c r="E58" s="739">
        <f>D58+E8+E18+E27</f>
        <v/>
      </c>
      <c r="F58" s="739">
        <f>E58+F8+F18+F27</f>
        <v/>
      </c>
      <c r="G58" s="739">
        <f>F58+G8+G18+G27</f>
        <v/>
      </c>
      <c r="H58" s="739">
        <f>G58+H8+H18+H27</f>
        <v/>
      </c>
      <c r="I58" s="739">
        <f>H58+I8+I18+I27</f>
        <v/>
      </c>
      <c r="J58" s="739">
        <f>I58+J8+J18+J27</f>
        <v/>
      </c>
      <c r="K58" s="739">
        <f>J58+K8+K18+K27</f>
        <v/>
      </c>
      <c r="L58" s="739">
        <f>K58+L8+L18+L27</f>
        <v/>
      </c>
      <c r="M58" s="404" t="n"/>
    </row>
    <row r="59">
      <c r="A59" s="384" t="inlineStr">
        <is>
          <t>ROIC</t>
        </is>
      </c>
      <c r="B59" s="399">
        <f>((B3*B4+B14*B15+B23*B24)*(1-B6))/B58</f>
        <v/>
      </c>
      <c r="C59" s="395">
        <f>(C7+C17+C26)/B58</f>
        <v/>
      </c>
      <c r="D59" s="395">
        <f>(D7+D17+D26)/C58</f>
        <v/>
      </c>
      <c r="E59" s="395">
        <f>(E7+E17+E26)/D58</f>
        <v/>
      </c>
      <c r="F59" s="395">
        <f>(F7+F17+F26)/E58</f>
        <v/>
      </c>
      <c r="G59" s="395">
        <f>(G7+G17+G26)/F58</f>
        <v/>
      </c>
      <c r="H59" s="395">
        <f>(H7+H17+H26)/G58</f>
        <v/>
      </c>
      <c r="I59" s="395">
        <f>(I7+I17+I26)/H58</f>
        <v/>
      </c>
      <c r="J59" s="395">
        <f>(J7+J17+J26)/I58</f>
        <v/>
      </c>
      <c r="K59" s="395">
        <f>(K7+K17+K26)/J58</f>
        <v/>
      </c>
      <c r="L59" s="395">
        <f>(L7+L17+L26)/K58</f>
        <v/>
      </c>
      <c r="M59" s="395">
        <f>IF('Input sheet'!B59="Yes",'Input sheet'!B60,'Valuation output'!#REF!)</f>
        <v/>
      </c>
    </row>
    <row r="62">
      <c r="B62" s="740" t="n"/>
      <c r="C62" s="732" t="n"/>
    </row>
  </sheetData>
  <pageMargins left="0.75" right="0.75" top="1" bottom="1" header="0.5" footer="0.5"/>
  <pageSetup orientation="landscape" horizontalDpi="4294967292" verticalDpi="4294967292"/>
</worksheet>
</file>

<file path=xl/worksheets/sheet3.xml><?xml version="1.0" encoding="utf-8"?>
<worksheet xmlns="http://schemas.openxmlformats.org/spreadsheetml/2006/main">
  <sheetPr>
    <outlinePr summaryBelow="1" summaryRight="1"/>
    <pageSetUpPr/>
  </sheetPr>
  <dimension ref="A1:M40"/>
  <sheetViews>
    <sheetView zoomScale="116" zoomScaleNormal="116" workbookViewId="0">
      <selection activeCell="G14" sqref="G14"/>
    </sheetView>
  </sheetViews>
  <sheetFormatPr baseColWidth="10" defaultRowHeight="16"/>
  <cols>
    <col width="20.33203125" customWidth="1" style="103" min="1" max="1"/>
    <col width="19.5" customWidth="1" style="103" min="2" max="2"/>
    <col width="17.6640625" customWidth="1" style="103" min="3" max="3"/>
    <col width="16.5" customWidth="1" style="103" min="4" max="4"/>
    <col width="19.1640625" customWidth="1" style="103" min="5" max="5"/>
    <col width="24.6640625" customWidth="1" style="105" min="6" max="6"/>
    <col width="37.33203125" customWidth="1" style="103" min="7" max="7"/>
    <col width="17" customWidth="1" min="8" max="8"/>
    <col width="12.5" bestFit="1" customWidth="1" min="13" max="13"/>
  </cols>
  <sheetData>
    <row r="1">
      <c r="A1" s="741">
        <f>'Input sheet'!B4</f>
        <v/>
      </c>
      <c r="B1" s="706" t="n"/>
      <c r="C1" s="706" t="n"/>
      <c r="D1" s="706" t="n"/>
      <c r="E1" s="706" t="n"/>
      <c r="F1" s="707" t="n"/>
      <c r="G1" s="127">
        <f>'Input sheet'!B3</f>
        <v/>
      </c>
    </row>
    <row r="2">
      <c r="A2" s="605" t="inlineStr">
        <is>
          <t>The Opportunistic Chip Maker, after a DeepSeek Disruption</t>
        </is>
      </c>
      <c r="B2" s="706" t="n"/>
      <c r="C2" s="706" t="n"/>
      <c r="D2" s="706" t="n"/>
      <c r="E2" s="706" t="n"/>
      <c r="F2" s="706" t="n"/>
      <c r="G2" s="707" t="n"/>
    </row>
    <row r="3" ht="16" customHeight="1">
      <c r="A3" s="742" t="inlineStr">
        <is>
          <t>NVIDIA has a history of innovation and opportunism in the chip business, often investing ahead of large trends in demand in crypto and gaming and now in AI and auto. Its early entry into the AI chip business will allow it to dominate this business, but the DeepSeek entry has disrupted the market, creating a two tier market - one commoditized and the other premier; Nvidia will dominate teh latter.. In the auto chip business, NVidia will grow to gain a significant, albeit not dominant, market share as that market grows. Across all of its busineses, NVIDIA will see sustained high operating margins, though the makers of Nvidia chips (especially TSMC) and TSMC's big customers (big tech) will push back, causing margins to drop from 2024 levels.</t>
        </is>
      </c>
      <c r="B3" s="743" t="n"/>
      <c r="C3" s="743" t="n"/>
      <c r="D3" s="743" t="n"/>
      <c r="E3" s="743" t="n"/>
      <c r="F3" s="743" t="n"/>
      <c r="G3" s="744" t="n"/>
      <c r="H3" s="745" t="inlineStr">
        <is>
          <t>Tell your story about the company. Keep it focuses on the company's businesses and tie it into the three key levers of value: cash flows, growth and risk</t>
        </is>
      </c>
      <c r="I3" s="743" t="n"/>
      <c r="J3" s="743" t="n"/>
      <c r="K3" s="744" t="n"/>
    </row>
    <row r="4" ht="16" customHeight="1">
      <c r="A4" s="746" t="n"/>
      <c r="G4" s="747" t="n"/>
      <c r="H4" s="746" t="n"/>
      <c r="K4" s="747" t="n"/>
    </row>
    <row r="5" ht="12" customHeight="1">
      <c r="A5" s="746" t="n"/>
      <c r="G5" s="747" t="n"/>
      <c r="H5" s="746" t="n"/>
      <c r="K5" s="747" t="n"/>
    </row>
    <row r="6" ht="22" customHeight="1">
      <c r="A6" s="748" t="n"/>
      <c r="B6" s="749" t="n"/>
      <c r="C6" s="749" t="n"/>
      <c r="D6" s="749" t="n"/>
      <c r="E6" s="749" t="n"/>
      <c r="F6" s="749" t="n"/>
      <c r="G6" s="750" t="n"/>
      <c r="H6" s="748" t="n"/>
      <c r="I6" s="749" t="n"/>
      <c r="J6" s="749" t="n"/>
      <c r="K6" s="750" t="n"/>
    </row>
    <row r="7">
      <c r="A7" s="751" t="inlineStr">
        <is>
          <t>The Assumptions</t>
        </is>
      </c>
      <c r="B7" s="706" t="n"/>
      <c r="C7" s="706" t="n"/>
      <c r="D7" s="706" t="n"/>
      <c r="E7" s="706" t="n"/>
      <c r="F7" s="706" t="n"/>
      <c r="G7" s="707" t="n"/>
    </row>
    <row r="8">
      <c r="A8" s="91" t="n"/>
      <c r="B8" s="88" t="inlineStr">
        <is>
          <t>Base year</t>
        </is>
      </c>
      <c r="C8" s="150" t="inlineStr">
        <is>
          <t>Next year</t>
        </is>
      </c>
      <c r="D8" s="89" t="inlineStr">
        <is>
          <t>Years 2-5</t>
        </is>
      </c>
      <c r="E8" s="88" t="inlineStr">
        <is>
          <t>Years 6-10</t>
        </is>
      </c>
      <c r="F8" s="88" t="inlineStr">
        <is>
          <t>After year 10</t>
        </is>
      </c>
      <c r="G8" s="90" t="inlineStr">
        <is>
          <t>Link to story</t>
        </is>
      </c>
    </row>
    <row r="9" ht="85" customHeight="1">
      <c r="A9" s="92" t="inlineStr">
        <is>
          <t>Revenues (a)</t>
        </is>
      </c>
      <c r="B9" s="752">
        <f>'Valuation output'!B3</f>
        <v/>
      </c>
      <c r="C9" s="753">
        <f>'Input sheet'!B25</f>
        <v/>
      </c>
      <c r="D9" s="131">
        <f>'Input sheet'!B27</f>
        <v/>
      </c>
      <c r="E9" s="131" t="n"/>
      <c r="F9" s="93">
        <f>'Valuation output'!M2</f>
        <v/>
      </c>
      <c r="G9" s="438" t="inlineStr">
        <is>
          <t>The AI business will be big, but the DeepSeek entry has bifurcated it, into commoditized and premium, and Nvidia will continue to maintain its dominance of the latter.</t>
        </is>
      </c>
      <c r="H9" s="754" t="inlineStr">
        <is>
          <t>Tie each assumption to the part of your story that relates to it.</t>
        </is>
      </c>
      <c r="I9" s="743" t="n"/>
      <c r="J9" s="743" t="n"/>
      <c r="K9" s="744" t="n"/>
    </row>
    <row r="10" ht="102" customHeight="1">
      <c r="A10" s="92" t="inlineStr">
        <is>
          <t>Operating margin (b)</t>
        </is>
      </c>
      <c r="B10" s="93">
        <f>'Valuation output'!B4</f>
        <v/>
      </c>
      <c r="C10" s="753">
        <f>'Input sheet'!B26</f>
        <v/>
      </c>
      <c r="D10" s="132" t="n"/>
      <c r="E10" s="133" t="n"/>
      <c r="F10" s="93">
        <f>'Valuation output'!M4</f>
        <v/>
      </c>
      <c r="G10" s="476" t="inlineStr">
        <is>
          <t>Nvidia will continue to have high margins in its core businesses, and while the AI chip market will be smaller than it was pre-DeepSeek, but some of Nvidia's current competitors may shift to the other AI market.</t>
        </is>
      </c>
      <c r="H10" s="746" t="n"/>
      <c r="K10" s="747" t="n"/>
    </row>
    <row r="11">
      <c r="A11" s="92" t="inlineStr">
        <is>
          <t>Tax rate</t>
        </is>
      </c>
      <c r="B11" s="93">
        <f>'Valuation output'!B6</f>
        <v/>
      </c>
      <c r="C11" s="152" t="n"/>
      <c r="D11" s="132">
        <f>B11</f>
        <v/>
      </c>
      <c r="E11" s="133" t="n"/>
      <c r="F11" s="93">
        <f>'Valuation output'!M6</f>
        <v/>
      </c>
      <c r="G11" s="249" t="inlineStr">
        <is>
          <t>Global/US marginal tax rate over time</t>
        </is>
      </c>
      <c r="H11" s="746" t="n"/>
      <c r="K11" s="747" t="n"/>
    </row>
    <row r="12" ht="68" customHeight="1">
      <c r="A12" s="92" t="inlineStr">
        <is>
          <t>Reinvestment (c )</t>
        </is>
      </c>
      <c r="B12" s="94" t="n"/>
      <c r="C12" s="153">
        <f>'Input sheet'!B30</f>
        <v/>
      </c>
      <c r="D12" s="130">
        <f>'Input sheet'!B30</f>
        <v/>
      </c>
      <c r="E12" s="129">
        <f>'Input sheet'!B31</f>
        <v/>
      </c>
      <c r="F12" s="95">
        <f>'Valuation output'!M2/'Valuation output'!M59</f>
        <v/>
      </c>
      <c r="G12" s="248" t="inlineStr">
        <is>
          <t>Sales to capital stays higher than industry aveage, as company continues to get growth off past R&amp;D, and focuses research on new AI and auto chips.</t>
        </is>
      </c>
      <c r="H12" s="746" t="n"/>
      <c r="K12" s="747" t="n"/>
    </row>
    <row r="13" ht="51" customHeight="1">
      <c r="A13" s="106" t="inlineStr">
        <is>
          <t>Return on capital</t>
        </is>
      </c>
      <c r="B13" s="108">
        <f>'Valuation output'!B59</f>
        <v/>
      </c>
      <c r="C13" s="93" t="inlineStr">
        <is>
          <t>Marginal ROIC =</t>
        </is>
      </c>
      <c r="D13" s="755">
        <f>Diagnostics!C27</f>
        <v/>
      </c>
      <c r="E13" s="707" t="n"/>
      <c r="F13" s="107">
        <f>'Valuation output'!M59</f>
        <v/>
      </c>
      <c r="G13" s="440" t="inlineStr">
        <is>
          <t>Strong competitive edges allow NVIDIA to earn well above its cost of capital for the next decade and beyond.</t>
        </is>
      </c>
      <c r="H13" s="746" t="n"/>
      <c r="K13" s="747" t="n"/>
    </row>
    <row r="14" ht="103" customHeight="1" thickBot="1">
      <c r="A14" s="96" t="inlineStr">
        <is>
          <t>Cost of capital (d)</t>
        </is>
      </c>
      <c r="B14" s="109" t="n"/>
      <c r="C14" s="94" t="n"/>
      <c r="D14" s="132">
        <f>'Valuation output'!C30</f>
        <v/>
      </c>
      <c r="E14" s="133" t="n"/>
      <c r="F14" s="97">
        <f>'Valuation output'!M30</f>
        <v/>
      </c>
      <c r="G14" s="439" t="inlineStr">
        <is>
          <t>Initial cost of capital computed based upon industry( (semiconductors) and Nvidia's low debt mix and geographic exposure. Over time, Nvidia's cost of capital will drift down but will remain higher (third quartile) of all companies in market.</t>
        </is>
      </c>
      <c r="H14" s="748" t="n"/>
      <c r="I14" s="749" t="n"/>
      <c r="J14" s="749" t="n"/>
      <c r="K14" s="750" t="n"/>
    </row>
    <row r="15" ht="17" customHeight="1" thickBot="1">
      <c r="A15" s="548" t="inlineStr">
        <is>
          <t>The Cash Flows</t>
        </is>
      </c>
      <c r="G15" s="747" t="n"/>
    </row>
    <row r="16">
      <c r="A16" s="87" t="n"/>
      <c r="B16" s="138" t="inlineStr">
        <is>
          <t>Revenues</t>
        </is>
      </c>
      <c r="C16" s="138" t="inlineStr">
        <is>
          <t>Operating Margin</t>
        </is>
      </c>
      <c r="D16" s="139" t="inlineStr">
        <is>
          <t>EBIT</t>
        </is>
      </c>
      <c r="E16" s="139" t="inlineStr">
        <is>
          <t>EBIT (1-t)</t>
        </is>
      </c>
      <c r="F16" s="139" t="inlineStr">
        <is>
          <t xml:space="preserve">Reinvestment </t>
        </is>
      </c>
      <c r="G16" s="435" t="inlineStr">
        <is>
          <t>FCFF</t>
        </is>
      </c>
      <c r="H16" s="756" t="inlineStr">
        <is>
          <t>These are the numbers that come from your assumptions. The revenues over time reflect your revenue growth, the operating margins evolve towards your target margin and your tax rate will change, if you have set it to. The reinvestment is estimated using the sales to capital ratio for the first 10 years and based on a reinvestment rate in stable growth (g/ ROC).</t>
        </is>
      </c>
      <c r="I16" s="743" t="n"/>
      <c r="J16" s="743" t="n"/>
      <c r="K16" s="744" t="n"/>
    </row>
    <row r="17">
      <c r="A17" s="98" t="n">
        <v>1</v>
      </c>
      <c r="B17" s="752">
        <f>'Valuation output'!C3+'Valuation output'!C14+'Valuation output'!C23</f>
        <v/>
      </c>
      <c r="C17" s="99">
        <f>'Valuation output'!C4</f>
        <v/>
      </c>
      <c r="D17" s="752">
        <f>B17*C17</f>
        <v/>
      </c>
      <c r="E17" s="752">
        <f>'Valuation output'!C7</f>
        <v/>
      </c>
      <c r="F17" s="752">
        <f>'Valuation output'!C8</f>
        <v/>
      </c>
      <c r="G17" s="757">
        <f>E17-F17</f>
        <v/>
      </c>
      <c r="K17" s="747" t="n"/>
    </row>
    <row r="18">
      <c r="A18" s="98" t="n">
        <v>2</v>
      </c>
      <c r="B18" s="752">
        <f>'Valuation output'!D3+'Valuation output'!D14+'Valuation output'!D23</f>
        <v/>
      </c>
      <c r="C18" s="99">
        <f>'Valuation output'!D4</f>
        <v/>
      </c>
      <c r="D18" s="752">
        <f>B18*C18</f>
        <v/>
      </c>
      <c r="E18" s="752">
        <f>'Valuation output'!D7</f>
        <v/>
      </c>
      <c r="F18" s="752">
        <f>'Valuation output'!D8</f>
        <v/>
      </c>
      <c r="G18" s="757">
        <f>E18-F18</f>
        <v/>
      </c>
      <c r="K18" s="747" t="n"/>
    </row>
    <row r="19">
      <c r="A19" s="98" t="n">
        <v>3</v>
      </c>
      <c r="B19" s="752">
        <f>'Valuation output'!E3+'Valuation output'!E14+'Valuation output'!E23</f>
        <v/>
      </c>
      <c r="C19" s="99">
        <f>'Valuation output'!E4</f>
        <v/>
      </c>
      <c r="D19" s="752">
        <f>B19*C19</f>
        <v/>
      </c>
      <c r="E19" s="752">
        <f>'Valuation output'!E7</f>
        <v/>
      </c>
      <c r="F19" s="752">
        <f>'Valuation output'!E8</f>
        <v/>
      </c>
      <c r="G19" s="757">
        <f>E19-F19</f>
        <v/>
      </c>
      <c r="K19" s="747" t="n"/>
    </row>
    <row r="20">
      <c r="A20" s="98" t="n">
        <v>4</v>
      </c>
      <c r="B20" s="752">
        <f>'Valuation output'!F3+'Valuation output'!F14+'Valuation output'!F23</f>
        <v/>
      </c>
      <c r="C20" s="99">
        <f>'Valuation output'!F4</f>
        <v/>
      </c>
      <c r="D20" s="752">
        <f>B20*C20</f>
        <v/>
      </c>
      <c r="E20" s="752">
        <f>'Valuation output'!F7</f>
        <v/>
      </c>
      <c r="F20" s="752">
        <f>'Valuation output'!F8</f>
        <v/>
      </c>
      <c r="G20" s="757">
        <f>E20-F20</f>
        <v/>
      </c>
      <c r="K20" s="747" t="n"/>
    </row>
    <row r="21">
      <c r="A21" s="98" t="n">
        <v>5</v>
      </c>
      <c r="B21" s="752">
        <f>'Valuation output'!G3+'Valuation output'!G14+'Valuation output'!G23</f>
        <v/>
      </c>
      <c r="C21" s="99">
        <f>'Valuation output'!G4</f>
        <v/>
      </c>
      <c r="D21" s="752">
        <f>B21*C21</f>
        <v/>
      </c>
      <c r="E21" s="752">
        <f>'Valuation output'!G7</f>
        <v/>
      </c>
      <c r="F21" s="752">
        <f>'Valuation output'!G8</f>
        <v/>
      </c>
      <c r="G21" s="757">
        <f>E21-F21</f>
        <v/>
      </c>
      <c r="K21" s="747" t="n"/>
    </row>
    <row r="22">
      <c r="A22" s="98" t="n">
        <v>6</v>
      </c>
      <c r="B22" s="752">
        <f>'Valuation output'!H3+'Valuation output'!H14+'Valuation output'!H23</f>
        <v/>
      </c>
      <c r="C22" s="99">
        <f>'Valuation output'!H4</f>
        <v/>
      </c>
      <c r="D22" s="752">
        <f>B22*C22</f>
        <v/>
      </c>
      <c r="E22" s="752">
        <f>'Valuation output'!H7</f>
        <v/>
      </c>
      <c r="F22" s="752">
        <f>'Valuation output'!H8</f>
        <v/>
      </c>
      <c r="G22" s="757">
        <f>E22-F22</f>
        <v/>
      </c>
      <c r="K22" s="747" t="n"/>
    </row>
    <row r="23">
      <c r="A23" s="98" t="n">
        <v>7</v>
      </c>
      <c r="B23" s="752">
        <f>'Valuation output'!I3+'Valuation output'!I14+'Valuation output'!I23</f>
        <v/>
      </c>
      <c r="C23" s="99">
        <f>'Valuation output'!I4</f>
        <v/>
      </c>
      <c r="D23" s="752">
        <f>B23*C23</f>
        <v/>
      </c>
      <c r="E23" s="752">
        <f>'Valuation output'!I7</f>
        <v/>
      </c>
      <c r="F23" s="752">
        <f>'Valuation output'!I8</f>
        <v/>
      </c>
      <c r="G23" s="757">
        <f>E23-F23</f>
        <v/>
      </c>
      <c r="K23" s="747" t="n"/>
    </row>
    <row r="24">
      <c r="A24" s="98" t="n">
        <v>8</v>
      </c>
      <c r="B24" s="752">
        <f>'Valuation output'!J3+'Valuation output'!J14+'Valuation output'!J23</f>
        <v/>
      </c>
      <c r="C24" s="99">
        <f>'Valuation output'!J4</f>
        <v/>
      </c>
      <c r="D24" s="752">
        <f>B24*C24</f>
        <v/>
      </c>
      <c r="E24" s="752">
        <f>'Valuation output'!J7</f>
        <v/>
      </c>
      <c r="F24" s="752">
        <f>'Valuation output'!J8</f>
        <v/>
      </c>
      <c r="G24" s="757">
        <f>E24-F24</f>
        <v/>
      </c>
      <c r="K24" s="747" t="n"/>
    </row>
    <row r="25">
      <c r="A25" s="98" t="n">
        <v>9</v>
      </c>
      <c r="B25" s="752">
        <f>'Valuation output'!K3+'Valuation output'!K14+'Valuation output'!K23</f>
        <v/>
      </c>
      <c r="C25" s="99">
        <f>'Valuation output'!K4</f>
        <v/>
      </c>
      <c r="D25" s="752">
        <f>B25*C25</f>
        <v/>
      </c>
      <c r="E25" s="752">
        <f>'Valuation output'!K7</f>
        <v/>
      </c>
      <c r="F25" s="752">
        <f>'Valuation output'!K8</f>
        <v/>
      </c>
      <c r="G25" s="757">
        <f>E25-F25</f>
        <v/>
      </c>
      <c r="K25" s="747" t="n"/>
    </row>
    <row r="26">
      <c r="A26" s="98" t="n">
        <v>10</v>
      </c>
      <c r="B26" s="752">
        <f>'Valuation output'!L3+'Valuation output'!L14+'Valuation output'!L23</f>
        <v/>
      </c>
      <c r="C26" s="99">
        <f>'Valuation output'!L4</f>
        <v/>
      </c>
      <c r="D26" s="752">
        <f>B26*C26</f>
        <v/>
      </c>
      <c r="E26" s="752">
        <f>'Valuation output'!L7</f>
        <v/>
      </c>
      <c r="F26" s="752">
        <f>'Valuation output'!L8</f>
        <v/>
      </c>
      <c r="G26" s="757">
        <f>E26-F26</f>
        <v/>
      </c>
      <c r="K26" s="747" t="n"/>
    </row>
    <row r="27" ht="17" customHeight="1" thickBot="1">
      <c r="A27" s="100" t="inlineStr">
        <is>
          <t>Terminal year</t>
        </is>
      </c>
      <c r="B27" s="758">
        <f>'Valuation output'!M3+'Valuation output'!M14+'Valuation output'!M23</f>
        <v/>
      </c>
      <c r="C27" s="101">
        <f>'Valuation output'!M4</f>
        <v/>
      </c>
      <c r="D27" s="758">
        <f>B27*C27</f>
        <v/>
      </c>
      <c r="E27" s="758">
        <f>'Valuation output'!M7</f>
        <v/>
      </c>
      <c r="F27" s="758">
        <f>'Valuation output'!M8</f>
        <v/>
      </c>
      <c r="G27" s="759">
        <f>E27-F27</f>
        <v/>
      </c>
      <c r="H27" s="749" t="n"/>
      <c r="I27" s="749" t="n"/>
      <c r="J27" s="749" t="n"/>
      <c r="K27" s="750" t="n"/>
    </row>
    <row r="28">
      <c r="A28" s="548" t="inlineStr">
        <is>
          <t>The Value</t>
        </is>
      </c>
      <c r="G28" s="747" t="n"/>
    </row>
    <row r="29">
      <c r="A29" s="760" t="inlineStr">
        <is>
          <t>Value of Gaming &amp; Other</t>
        </is>
      </c>
      <c r="B29" s="706" t="n"/>
      <c r="C29" s="707" t="n"/>
      <c r="D29" s="761">
        <f>'Valuation output'!B37</f>
        <v/>
      </c>
      <c r="E29" s="433" t="n"/>
      <c r="F29" s="433" t="n"/>
      <c r="G29" s="433" t="n"/>
    </row>
    <row r="30">
      <c r="A30" s="760" t="inlineStr">
        <is>
          <t>Value of AI</t>
        </is>
      </c>
      <c r="B30" s="706" t="n"/>
      <c r="C30" s="707" t="n"/>
      <c r="D30" s="761">
        <f>'Valuation output'!B38</f>
        <v/>
      </c>
      <c r="E30" s="433" t="n"/>
      <c r="F30" s="433" t="n"/>
      <c r="G30" s="433" t="n"/>
    </row>
    <row r="31">
      <c r="A31" s="760" t="inlineStr">
        <is>
          <t>Value of Auto</t>
        </is>
      </c>
      <c r="B31" s="706" t="n"/>
      <c r="C31" s="707" t="n"/>
      <c r="D31" s="761">
        <f>'Valuation output'!B39</f>
        <v/>
      </c>
      <c r="E31" s="433" t="n"/>
      <c r="F31" s="433" t="n"/>
      <c r="G31" s="433" t="n"/>
    </row>
    <row r="32">
      <c r="A32" s="599" t="inlineStr">
        <is>
          <t>Value of operating assets =</t>
        </is>
      </c>
      <c r="B32" s="706" t="n"/>
      <c r="C32" s="707" t="n"/>
      <c r="D32" s="762">
        <f>'Valuation output'!B40</f>
        <v/>
      </c>
      <c r="E32" s="763" t="n"/>
      <c r="F32" s="103" t="n"/>
      <c r="G32" s="104" t="n"/>
      <c r="H32" s="596" t="n"/>
    </row>
    <row r="33">
      <c r="A33" s="599" t="inlineStr">
        <is>
          <t>Adjustment for distress</t>
        </is>
      </c>
      <c r="B33" s="706" t="n"/>
      <c r="C33" s="707" t="n"/>
      <c r="D33" s="764">
        <f>D32-'Valuation output'!B43</f>
        <v/>
      </c>
      <c r="E33" s="765" t="inlineStr">
        <is>
          <t>Probability of failure =</t>
        </is>
      </c>
      <c r="F33" s="706" t="n"/>
      <c r="G33" s="111">
        <f>'Valuation output'!B41</f>
        <v/>
      </c>
      <c r="H33" s="766" t="n"/>
    </row>
    <row r="34">
      <c r="A34" s="599" t="inlineStr">
        <is>
          <t xml:space="preserve"> - Debt &amp; Minority Interests</t>
        </is>
      </c>
      <c r="B34" s="706" t="n"/>
      <c r="C34" s="707" t="n"/>
      <c r="D34" s="762">
        <f>'Valuation output'!B44+'Valuation output'!B45</f>
        <v/>
      </c>
      <c r="E34" s="763" t="n"/>
      <c r="F34" s="103" t="n"/>
      <c r="G34" s="104" t="n"/>
      <c r="H34" s="766" t="n"/>
    </row>
    <row r="35">
      <c r="A35" s="599" t="inlineStr">
        <is>
          <t xml:space="preserve"> + Cash &amp; Other Non-operating assets</t>
        </is>
      </c>
      <c r="B35" s="706" t="n"/>
      <c r="C35" s="707" t="n"/>
      <c r="D35" s="762">
        <f>'Valuation output'!B46+'Valuation output'!B47</f>
        <v/>
      </c>
      <c r="E35" s="763" t="n"/>
      <c r="F35" s="103" t="n"/>
      <c r="G35" s="104" t="n"/>
      <c r="H35" s="766" t="n"/>
    </row>
    <row r="36">
      <c r="A36" s="599" t="inlineStr">
        <is>
          <t>Value of equity</t>
        </is>
      </c>
      <c r="B36" s="706" t="n"/>
      <c r="C36" s="707" t="n"/>
      <c r="D36" s="762">
        <f>D32-D33-D34+D35</f>
        <v/>
      </c>
      <c r="E36" s="763" t="n"/>
      <c r="F36" s="103" t="n"/>
      <c r="G36" s="104" t="n"/>
      <c r="H36" s="766" t="n"/>
    </row>
    <row r="37">
      <c r="A37" s="599" t="inlineStr">
        <is>
          <t xml:space="preserve"> - Value of equity options</t>
        </is>
      </c>
      <c r="B37" s="706" t="n"/>
      <c r="C37" s="707" t="n"/>
      <c r="D37" s="762">
        <f>'Valuation output'!B49</f>
        <v/>
      </c>
      <c r="E37" s="763" t="n"/>
      <c r="F37" s="103" t="n"/>
      <c r="G37" s="104" t="n"/>
      <c r="H37" s="766" t="n"/>
    </row>
    <row r="38" ht="17" customHeight="1" thickBot="1">
      <c r="A38" s="599" t="inlineStr">
        <is>
          <t>Number of shares</t>
        </is>
      </c>
      <c r="B38" s="706" t="n"/>
      <c r="C38" s="707" t="n"/>
      <c r="D38" s="156">
        <f>'Valuation output'!B51</f>
        <v/>
      </c>
      <c r="G38" s="104" t="n"/>
      <c r="H38" s="766" t="n"/>
    </row>
    <row r="39" ht="17" customHeight="1" thickBot="1">
      <c r="A39" s="601" t="inlineStr">
        <is>
          <t>Value per share</t>
        </is>
      </c>
      <c r="B39" s="767" t="n"/>
      <c r="C39" s="768" t="n"/>
      <c r="D39" s="769">
        <f>(D36-D37)/D38</f>
        <v/>
      </c>
      <c r="E39" s="603" t="inlineStr">
        <is>
          <t>Stock was trading at =</t>
        </is>
      </c>
      <c r="F39" s="700" t="n"/>
      <c r="G39" s="770">
        <f>'Input sheet'!B21</f>
        <v/>
      </c>
      <c r="H39" s="766" t="n"/>
      <c r="M39" s="126" t="n"/>
    </row>
    <row r="40">
      <c r="M40" s="771" t="n"/>
    </row>
  </sheetData>
  <mergeCells count="24">
    <mergeCell ref="A37:C37"/>
    <mergeCell ref="H16:K27"/>
    <mergeCell ref="E33:F33"/>
    <mergeCell ref="E39:F39"/>
    <mergeCell ref="A28:G28"/>
    <mergeCell ref="A33:C33"/>
    <mergeCell ref="H9:K14"/>
    <mergeCell ref="A32:C32"/>
    <mergeCell ref="D13:E13"/>
    <mergeCell ref="A3:G6"/>
    <mergeCell ref="A15:G15"/>
    <mergeCell ref="A29:C29"/>
    <mergeCell ref="A35:C35"/>
    <mergeCell ref="A38:C38"/>
    <mergeCell ref="A31:C31"/>
    <mergeCell ref="A30:C30"/>
    <mergeCell ref="A39:C39"/>
    <mergeCell ref="A34:C34"/>
    <mergeCell ref="A7:G7"/>
    <mergeCell ref="H32:K39"/>
    <mergeCell ref="H3:K6"/>
    <mergeCell ref="A36:C36"/>
    <mergeCell ref="A1:F1"/>
    <mergeCell ref="A2:G2"/>
  </mergeCells>
  <pageMargins left="0.75" right="0.75" top="1" bottom="1" header="0.3" footer="0.3"/>
  <pageSetup orientation="portrait" horizontalDpi="0" verticalDpi="0"/>
</worksheet>
</file>

<file path=xl/worksheets/sheet4.xml><?xml version="1.0" encoding="utf-8"?>
<worksheet xmlns="http://schemas.openxmlformats.org/spreadsheetml/2006/main">
  <sheetPr>
    <outlinePr summaryBelow="1" summaryRight="1"/>
    <pageSetUpPr/>
  </sheetPr>
  <dimension ref="A1:P40"/>
  <sheetViews>
    <sheetView zoomScaleNormal="100" workbookViewId="0">
      <selection activeCell="N45" sqref="N45"/>
    </sheetView>
  </sheetViews>
  <sheetFormatPr baseColWidth="10" defaultRowHeight="16"/>
  <cols>
    <col width="27.83203125" customWidth="1" style="187" min="1" max="1"/>
    <col width="15.6640625" customWidth="1" style="187" min="2" max="2"/>
    <col width="10.83203125" customWidth="1" style="187" min="3" max="3"/>
    <col width="26.83203125" customWidth="1" style="187" min="4" max="4"/>
    <col width="12.6640625" bestFit="1" customWidth="1" style="187" min="5" max="5"/>
    <col width="11.5" bestFit="1" customWidth="1" style="187" min="6" max="8"/>
    <col width="16.6640625" customWidth="1" style="187" min="9" max="9"/>
    <col width="11.5" bestFit="1" customWidth="1" style="187" min="10" max="10"/>
    <col width="13" bestFit="1" customWidth="1" style="187" min="11" max="11"/>
    <col width="18.33203125" customWidth="1" style="187" min="12" max="12"/>
    <col width="13" bestFit="1" customWidth="1" style="187" min="13" max="13"/>
    <col width="16" bestFit="1" customWidth="1" style="187" min="14" max="14"/>
    <col width="21.1640625" customWidth="1" style="187" min="15" max="15"/>
    <col width="10.83203125" customWidth="1" style="187" min="16" max="16"/>
  </cols>
  <sheetData>
    <row r="1" customFormat="1" s="2">
      <c r="A1" s="310" t="inlineStr">
        <is>
          <t>You can modify this picture and bring in relevant details to back up your cost of capital and other details that you think flesh out your company's valuation story.</t>
        </is>
      </c>
      <c r="B1" s="310" t="n"/>
      <c r="C1" s="310" t="n"/>
      <c r="D1" s="310" t="n"/>
      <c r="E1" s="310" t="n"/>
      <c r="F1" s="310" t="n"/>
      <c r="G1" s="310" t="n"/>
      <c r="H1" s="310" t="n"/>
      <c r="I1" s="310" t="n"/>
      <c r="J1" s="310" t="n"/>
      <c r="K1" s="310" t="n"/>
      <c r="L1" s="310" t="n"/>
      <c r="M1" s="310" t="n"/>
      <c r="N1" s="310" t="n"/>
      <c r="O1" s="310" t="n"/>
      <c r="P1" s="310" t="n"/>
    </row>
    <row r="2" ht="17" customFormat="1" customHeight="1" s="2" thickBot="1">
      <c r="A2" s="310" t="n"/>
      <c r="B2" s="310" t="n"/>
      <c r="C2" s="310" t="n"/>
      <c r="D2" s="310" t="n"/>
      <c r="E2" s="310" t="n"/>
      <c r="F2" s="310" t="n"/>
      <c r="G2" s="310" t="n"/>
      <c r="H2" s="310" t="n"/>
      <c r="I2" s="310" t="n"/>
      <c r="J2" s="310" t="n"/>
      <c r="K2" s="310" t="n"/>
      <c r="L2" s="310" t="n"/>
      <c r="M2" s="310" t="n"/>
      <c r="N2" s="310" t="n"/>
      <c r="O2" s="310" t="n"/>
      <c r="P2" s="310" t="n"/>
    </row>
    <row r="3" ht="17" customHeight="1" thickBot="1">
      <c r="A3" s="772">
        <f>'Input sheet'!B4</f>
        <v/>
      </c>
      <c r="B3" s="700" t="n"/>
      <c r="C3" s="700" t="n"/>
      <c r="D3" s="700" t="n"/>
      <c r="E3" s="700" t="n"/>
      <c r="F3" s="700" t="n"/>
      <c r="G3" s="700" t="n"/>
      <c r="H3" s="700" t="n"/>
      <c r="I3" s="700" t="n"/>
      <c r="J3" s="700" t="n"/>
      <c r="K3" s="700" t="n"/>
      <c r="L3" s="700" t="n"/>
      <c r="M3" s="700" t="n"/>
      <c r="N3" s="701" t="n"/>
      <c r="O3" s="773">
        <f>'Input sheet'!B3</f>
        <v/>
      </c>
      <c r="P3" s="701" t="n"/>
    </row>
    <row r="4" ht="17" customHeight="1" thickBot="1">
      <c r="A4" s="441" t="n"/>
      <c r="P4" s="442" t="n"/>
    </row>
    <row r="5" ht="17" customHeight="1" thickBot="1">
      <c r="A5" s="608" t="inlineStr">
        <is>
          <t>Base Year and Comparison</t>
        </is>
      </c>
      <c r="B5" s="700" t="n"/>
      <c r="C5" s="774" t="n"/>
      <c r="E5" s="775" t="inlineStr">
        <is>
          <t>Growth Story (Revenue)</t>
        </is>
      </c>
      <c r="F5" s="711" t="n"/>
      <c r="H5" s="775" t="inlineStr">
        <is>
          <t>Profitability Story (Margin)</t>
        </is>
      </c>
      <c r="I5" s="711" t="n"/>
      <c r="K5" s="775" t="inlineStr">
        <is>
          <t>Growth Efficiency Story</t>
        </is>
      </c>
      <c r="L5" s="711" t="n"/>
      <c r="P5" s="442" t="n"/>
    </row>
    <row r="6" ht="14" customHeight="1">
      <c r="A6" s="441" t="n"/>
      <c r="B6" s="443" t="inlineStr">
        <is>
          <t>Company</t>
        </is>
      </c>
      <c r="C6" s="443" t="inlineStr">
        <is>
          <t>Industry</t>
        </is>
      </c>
      <c r="E6" s="776">
        <f>'Stories to Numbers'!G9</f>
        <v/>
      </c>
      <c r="F6" s="711" t="n"/>
      <c r="H6" s="776">
        <f>'Stories to Numbers'!G10</f>
        <v/>
      </c>
      <c r="I6" s="711" t="n"/>
      <c r="K6" s="776">
        <f>'Stories to Numbers'!G12</f>
        <v/>
      </c>
      <c r="L6" s="711" t="n"/>
      <c r="O6" s="613" t="inlineStr">
        <is>
          <t>Terminal Value</t>
        </is>
      </c>
      <c r="P6" s="707" t="n"/>
    </row>
    <row r="7">
      <c r="A7" s="444" t="inlineStr">
        <is>
          <t>Revenue Growth</t>
        </is>
      </c>
      <c r="B7" s="445">
        <f>'Input sheet'!I25</f>
        <v/>
      </c>
      <c r="C7" s="445">
        <f>'Input sheet'!K25</f>
        <v/>
      </c>
      <c r="E7" s="766" t="n"/>
      <c r="F7" s="713" t="n"/>
      <c r="H7" s="766" t="n"/>
      <c r="I7" s="713" t="n"/>
      <c r="K7" s="766" t="n"/>
      <c r="L7" s="713" t="n"/>
      <c r="O7" s="311" t="inlineStr">
        <is>
          <t>Growth Rate</t>
        </is>
      </c>
      <c r="P7" s="456">
        <f>'Valuation output'!M2</f>
        <v/>
      </c>
    </row>
    <row r="8">
      <c r="A8" s="444" t="inlineStr">
        <is>
          <t>Revenue</t>
        </is>
      </c>
      <c r="B8" s="777">
        <f>'Valuation output'!B3+'Valuation output'!B14+'Valuation output'!B23</f>
        <v/>
      </c>
      <c r="E8" s="766" t="n"/>
      <c r="F8" s="713" t="n"/>
      <c r="H8" s="766" t="n"/>
      <c r="I8" s="713" t="n"/>
      <c r="K8" s="766" t="n"/>
      <c r="L8" s="713" t="n"/>
      <c r="O8" s="311" t="inlineStr">
        <is>
          <t>Cost of capital</t>
        </is>
      </c>
      <c r="P8" s="456">
        <f>'Valuation output'!M30</f>
        <v/>
      </c>
    </row>
    <row r="9">
      <c r="A9" s="444" t="inlineStr">
        <is>
          <t>Operating Margin</t>
        </is>
      </c>
      <c r="B9" s="445">
        <f>B10/B8</f>
        <v/>
      </c>
      <c r="C9" s="445">
        <f>'Input sheet'!K26</f>
        <v/>
      </c>
      <c r="E9" s="766" t="n"/>
      <c r="F9" s="713" t="n"/>
      <c r="H9" s="766" t="n"/>
      <c r="I9" s="713" t="n"/>
      <c r="K9" s="766" t="n"/>
      <c r="L9" s="713" t="n"/>
      <c r="O9" s="311" t="inlineStr">
        <is>
          <t>Return on capital</t>
        </is>
      </c>
      <c r="P9" s="456">
        <f>'Valuation output'!M59</f>
        <v/>
      </c>
    </row>
    <row r="10">
      <c r="A10" s="444" t="inlineStr">
        <is>
          <t>Operating Income</t>
        </is>
      </c>
      <c r="B10" s="777">
        <f>'Valuation output'!B5+'Valuation output'!B16+'Valuation output'!B25</f>
        <v/>
      </c>
      <c r="E10" s="766" t="n"/>
      <c r="F10" s="713" t="n"/>
      <c r="H10" s="766" t="n"/>
      <c r="I10" s="713" t="n"/>
      <c r="K10" s="766" t="n"/>
      <c r="L10" s="713" t="n"/>
      <c r="O10" s="311" t="inlineStr">
        <is>
          <t>Reinvestment Rate</t>
        </is>
      </c>
      <c r="P10" s="456">
        <f>P7/P9</f>
        <v/>
      </c>
    </row>
    <row r="11">
      <c r="A11" s="444" t="inlineStr">
        <is>
          <t>EBIT (1-t)</t>
        </is>
      </c>
      <c r="B11" s="777">
        <f>'Valuation output'!B7</f>
        <v/>
      </c>
      <c r="E11" s="766" t="n"/>
      <c r="F11" s="713" t="n"/>
      <c r="H11" s="766" t="n"/>
      <c r="I11" s="713" t="n"/>
      <c r="K11" s="766" t="n"/>
      <c r="L11" s="713" t="n"/>
      <c r="P11" s="447" t="n"/>
    </row>
    <row r="12">
      <c r="A12" s="441" t="n"/>
      <c r="E12" s="766" t="n"/>
      <c r="F12" s="713" t="n"/>
      <c r="H12" s="766" t="n"/>
      <c r="I12" s="713" t="n"/>
      <c r="K12" s="766" t="n"/>
      <c r="L12" s="713" t="n"/>
      <c r="P12" s="447" t="n"/>
    </row>
    <row r="13" ht="17" customHeight="1" thickBot="1">
      <c r="A13" s="441" t="n"/>
      <c r="E13" s="778" t="n"/>
      <c r="F13" s="779" t="n"/>
      <c r="H13" s="778" t="n"/>
      <c r="I13" s="779" t="n"/>
      <c r="K13" s="778" t="n"/>
      <c r="L13" s="779" t="n"/>
      <c r="P13" s="447" t="n"/>
    </row>
    <row r="14" ht="17" customHeight="1" thickBot="1">
      <c r="A14" s="441" t="n"/>
      <c r="P14" s="442" t="n"/>
    </row>
    <row r="15">
      <c r="A15" s="780">
        <f>'Valuation output'!A37</f>
        <v/>
      </c>
      <c r="B15" s="781">
        <f>'Valuation output'!B37</f>
        <v/>
      </c>
      <c r="D15" s="311" t="n"/>
      <c r="E15" s="314">
        <f>'Valuation output'!C1</f>
        <v/>
      </c>
      <c r="F15" s="314">
        <f>'Valuation output'!D1</f>
        <v/>
      </c>
      <c r="G15" s="314">
        <f>'Valuation output'!E1</f>
        <v/>
      </c>
      <c r="H15" s="314">
        <f>'Valuation output'!F1</f>
        <v/>
      </c>
      <c r="I15" s="314">
        <f>'Valuation output'!G1</f>
        <v/>
      </c>
      <c r="J15" s="314">
        <f>'Valuation output'!H1</f>
        <v/>
      </c>
      <c r="K15" s="314">
        <f>'Valuation output'!I1</f>
        <v/>
      </c>
      <c r="L15" s="314">
        <f>'Valuation output'!J1</f>
        <v/>
      </c>
      <c r="M15" s="314">
        <f>'Valuation output'!K1</f>
        <v/>
      </c>
      <c r="N15" s="314">
        <f>'Valuation output'!L1</f>
        <v/>
      </c>
      <c r="O15" s="449">
        <f>'Valuation output'!M1</f>
        <v/>
      </c>
      <c r="P15" s="450" t="n"/>
    </row>
    <row r="16">
      <c r="A16" s="451">
        <f>'Valuation output'!A38</f>
        <v/>
      </c>
      <c r="B16" s="782">
        <f>'Valuation output'!B38</f>
        <v/>
      </c>
      <c r="D16" s="311" t="inlineStr">
        <is>
          <t>Revenue (Gaming/Other)</t>
        </is>
      </c>
      <c r="E16" s="783">
        <f>'Valuation output'!C3</f>
        <v/>
      </c>
      <c r="F16" s="783">
        <f>'Valuation output'!D3</f>
        <v/>
      </c>
      <c r="G16" s="783">
        <f>'Valuation output'!E3</f>
        <v/>
      </c>
      <c r="H16" s="783">
        <f>'Valuation output'!F3</f>
        <v/>
      </c>
      <c r="I16" s="783">
        <f>'Valuation output'!G3</f>
        <v/>
      </c>
      <c r="J16" s="783">
        <f>'Valuation output'!H3</f>
        <v/>
      </c>
      <c r="K16" s="783">
        <f>'Valuation output'!I3</f>
        <v/>
      </c>
      <c r="L16" s="783">
        <f>'Valuation output'!J3</f>
        <v/>
      </c>
      <c r="M16" s="783">
        <f>'Valuation output'!K3</f>
        <v/>
      </c>
      <c r="N16" s="783">
        <f>'Valuation output'!L3</f>
        <v/>
      </c>
      <c r="O16" s="784">
        <f>'Valuation output'!M3</f>
        <v/>
      </c>
      <c r="P16" s="442" t="n"/>
    </row>
    <row r="17">
      <c r="A17" s="451">
        <f>'Valuation output'!A39</f>
        <v/>
      </c>
      <c r="B17" s="782">
        <f>'Valuation output'!B39</f>
        <v/>
      </c>
      <c r="D17" s="311" t="inlineStr">
        <is>
          <t>Revenue (AI)</t>
        </is>
      </c>
      <c r="E17" s="783">
        <f>'Valuation output'!C14</f>
        <v/>
      </c>
      <c r="F17" s="783">
        <f>'Valuation output'!D14</f>
        <v/>
      </c>
      <c r="G17" s="783">
        <f>'Valuation output'!E14</f>
        <v/>
      </c>
      <c r="H17" s="783">
        <f>'Valuation output'!F14</f>
        <v/>
      </c>
      <c r="I17" s="783">
        <f>'Valuation output'!G14</f>
        <v/>
      </c>
      <c r="J17" s="783">
        <f>'Valuation output'!H14</f>
        <v/>
      </c>
      <c r="K17" s="783">
        <f>'Valuation output'!I14</f>
        <v/>
      </c>
      <c r="L17" s="783">
        <f>'Valuation output'!J14</f>
        <v/>
      </c>
      <c r="M17" s="783">
        <f>'Valuation output'!K14</f>
        <v/>
      </c>
      <c r="N17" s="783">
        <f>'Valuation output'!L14</f>
        <v/>
      </c>
      <c r="O17" s="784">
        <f>'Valuation output'!M14</f>
        <v/>
      </c>
      <c r="P17" s="442" t="n"/>
    </row>
    <row r="18">
      <c r="A18" s="455">
        <f>'Valuation output'!A41</f>
        <v/>
      </c>
      <c r="B18" s="456">
        <f>'Valuation output'!B41</f>
        <v/>
      </c>
      <c r="D18" s="311" t="inlineStr">
        <is>
          <t>Revenue (Auto)</t>
        </is>
      </c>
      <c r="E18" s="783">
        <f>'Valuation output'!C23</f>
        <v/>
      </c>
      <c r="F18" s="783">
        <f>'Valuation output'!D23</f>
        <v/>
      </c>
      <c r="G18" s="783">
        <f>'Valuation output'!E23</f>
        <v/>
      </c>
      <c r="H18" s="783">
        <f>'Valuation output'!F23</f>
        <v/>
      </c>
      <c r="I18" s="783">
        <f>'Valuation output'!G23</f>
        <v/>
      </c>
      <c r="J18" s="783">
        <f>'Valuation output'!H23</f>
        <v/>
      </c>
      <c r="K18" s="783">
        <f>'Valuation output'!I23</f>
        <v/>
      </c>
      <c r="L18" s="783">
        <f>'Valuation output'!J23</f>
        <v/>
      </c>
      <c r="M18" s="783">
        <f>'Valuation output'!K23</f>
        <v/>
      </c>
      <c r="N18" s="783">
        <f>'Valuation output'!L23</f>
        <v/>
      </c>
      <c r="O18" s="784">
        <f>'Valuation output'!M23</f>
        <v/>
      </c>
      <c r="P18" s="442" t="n"/>
    </row>
    <row r="19">
      <c r="A19" s="451">
        <f>'Valuation output'!A43</f>
        <v/>
      </c>
      <c r="B19" s="785">
        <f>'Valuation output'!B43</f>
        <v/>
      </c>
      <c r="D19" s="311" t="inlineStr">
        <is>
          <t>Revenues (Total)</t>
        </is>
      </c>
      <c r="E19" s="783">
        <f>E16+E17+E18</f>
        <v/>
      </c>
      <c r="F19" s="783">
        <f>F16+F17+F18</f>
        <v/>
      </c>
      <c r="G19" s="783">
        <f>G16+G17+G18</f>
        <v/>
      </c>
      <c r="H19" s="783">
        <f>H16+H17+H18</f>
        <v/>
      </c>
      <c r="I19" s="783">
        <f>I16+I17+I18</f>
        <v/>
      </c>
      <c r="J19" s="783">
        <f>J16+J17+J18</f>
        <v/>
      </c>
      <c r="K19" s="783">
        <f>K16+K17+K18</f>
        <v/>
      </c>
      <c r="L19" s="783">
        <f>L16+L17+L18</f>
        <v/>
      </c>
      <c r="M19" s="783">
        <f>M16+M17+M18</f>
        <v/>
      </c>
      <c r="N19" s="783">
        <f>N16+N17+N18</f>
        <v/>
      </c>
      <c r="O19" s="784">
        <f>O16+O17+O18</f>
        <v/>
      </c>
      <c r="P19" s="442" t="n"/>
    </row>
    <row r="20">
      <c r="A20" s="451">
        <f>'Valuation output'!A44</f>
        <v/>
      </c>
      <c r="B20" s="785">
        <f>'Valuation output'!B44</f>
        <v/>
      </c>
      <c r="D20" s="311" t="inlineStr">
        <is>
          <t>R&amp;D Adj Operating Margin</t>
        </is>
      </c>
      <c r="E20" s="445">
        <f>'Valuation output'!C4</f>
        <v/>
      </c>
      <c r="F20" s="445">
        <f>'Valuation output'!D4</f>
        <v/>
      </c>
      <c r="G20" s="445">
        <f>'Valuation output'!E4</f>
        <v/>
      </c>
      <c r="H20" s="445">
        <f>'Valuation output'!F4</f>
        <v/>
      </c>
      <c r="I20" s="445">
        <f>'Valuation output'!G4</f>
        <v/>
      </c>
      <c r="J20" s="445">
        <f>'Valuation output'!H4</f>
        <v/>
      </c>
      <c r="K20" s="445">
        <f>'Valuation output'!I4</f>
        <v/>
      </c>
      <c r="L20" s="445">
        <f>'Valuation output'!J4</f>
        <v/>
      </c>
      <c r="M20" s="445">
        <f>'Valuation output'!K4</f>
        <v/>
      </c>
      <c r="N20" s="445">
        <f>'Valuation output'!L4</f>
        <v/>
      </c>
      <c r="O20" s="452">
        <f>'Valuation output'!M4</f>
        <v/>
      </c>
      <c r="P20" s="442" t="n"/>
    </row>
    <row r="21">
      <c r="A21" s="451">
        <f>'Valuation output'!A45</f>
        <v/>
      </c>
      <c r="B21" s="785">
        <f>'Valuation output'!B45</f>
        <v/>
      </c>
      <c r="D21" s="311" t="inlineStr">
        <is>
          <t>Operating Income</t>
        </is>
      </c>
      <c r="E21" s="783">
        <f>'Valuation output'!C5+'Valuation output'!C16+'Valuation output'!C25</f>
        <v/>
      </c>
      <c r="F21" s="783">
        <f>'Valuation output'!D5+'Valuation output'!D16+'Valuation output'!D25</f>
        <v/>
      </c>
      <c r="G21" s="783">
        <f>'Valuation output'!E5+'Valuation output'!E16+'Valuation output'!E25</f>
        <v/>
      </c>
      <c r="H21" s="783">
        <f>'Valuation output'!F5+'Valuation output'!F16+'Valuation output'!F25</f>
        <v/>
      </c>
      <c r="I21" s="783">
        <f>'Valuation output'!G5+'Valuation output'!G16+'Valuation output'!G25</f>
        <v/>
      </c>
      <c r="J21" s="783">
        <f>'Valuation output'!H5+'Valuation output'!H16+'Valuation output'!H25</f>
        <v/>
      </c>
      <c r="K21" s="783">
        <f>'Valuation output'!I5+'Valuation output'!I16+'Valuation output'!I25</f>
        <v/>
      </c>
      <c r="L21" s="783">
        <f>'Valuation output'!J5+'Valuation output'!J16+'Valuation output'!J25</f>
        <v/>
      </c>
      <c r="M21" s="783">
        <f>'Valuation output'!K5+'Valuation output'!K16+'Valuation output'!K25</f>
        <v/>
      </c>
      <c r="N21" s="783">
        <f>'Valuation output'!L5+'Valuation output'!L16+'Valuation output'!L25</f>
        <v/>
      </c>
      <c r="O21" s="783">
        <f>'Valuation output'!M5+'Valuation output'!M16+'Valuation output'!M25</f>
        <v/>
      </c>
      <c r="P21" s="442" t="n"/>
    </row>
    <row r="22">
      <c r="A22" s="451">
        <f>'Valuation output'!A46</f>
        <v/>
      </c>
      <c r="B22" s="785">
        <f>'Valuation output'!B46</f>
        <v/>
      </c>
      <c r="D22" s="311" t="inlineStr">
        <is>
          <t>EBIT (1-t)</t>
        </is>
      </c>
      <c r="E22" s="783">
        <f>'Valuation output'!C7+'Valuation output'!C17+'Valuation output'!C26</f>
        <v/>
      </c>
      <c r="F22" s="783">
        <f>'Valuation output'!D7+'Valuation output'!D17+'Valuation output'!D26</f>
        <v/>
      </c>
      <c r="G22" s="783">
        <f>'Valuation output'!E7+'Valuation output'!E17+'Valuation output'!E26</f>
        <v/>
      </c>
      <c r="H22" s="783">
        <f>'Valuation output'!F7+'Valuation output'!F17+'Valuation output'!F26</f>
        <v/>
      </c>
      <c r="I22" s="783">
        <f>'Valuation output'!G7+'Valuation output'!G17+'Valuation output'!G26</f>
        <v/>
      </c>
      <c r="J22" s="783">
        <f>'Valuation output'!H7+'Valuation output'!H17+'Valuation output'!H26</f>
        <v/>
      </c>
      <c r="K22" s="783">
        <f>'Valuation output'!I7+'Valuation output'!I17+'Valuation output'!I26</f>
        <v/>
      </c>
      <c r="L22" s="783">
        <f>'Valuation output'!J7+'Valuation output'!J17+'Valuation output'!J26</f>
        <v/>
      </c>
      <c r="M22" s="783">
        <f>'Valuation output'!K7+'Valuation output'!K17+'Valuation output'!K26</f>
        <v/>
      </c>
      <c r="N22" s="783">
        <f>'Valuation output'!L7+'Valuation output'!L17+'Valuation output'!L26</f>
        <v/>
      </c>
      <c r="O22" s="783">
        <f>'Valuation output'!M7+'Valuation output'!M17+'Valuation output'!M26</f>
        <v/>
      </c>
      <c r="P22" s="442" t="n"/>
    </row>
    <row r="23">
      <c r="A23" s="451">
        <f>'Valuation output'!A47</f>
        <v/>
      </c>
      <c r="B23" s="785">
        <f>'Valuation output'!B47</f>
        <v/>
      </c>
      <c r="D23" s="311" t="inlineStr">
        <is>
          <t>Reinvestment</t>
        </is>
      </c>
      <c r="E23" s="783">
        <f>'Valuation output'!C8+'Valuation output'!C18+'Valuation output'!C27</f>
        <v/>
      </c>
      <c r="F23" s="783">
        <f>'Valuation output'!D8+'Valuation output'!D18+'Valuation output'!D27</f>
        <v/>
      </c>
      <c r="G23" s="783">
        <f>'Valuation output'!E8+'Valuation output'!E18+'Valuation output'!E27</f>
        <v/>
      </c>
      <c r="H23" s="783">
        <f>'Valuation output'!F8+'Valuation output'!F18+'Valuation output'!F27</f>
        <v/>
      </c>
      <c r="I23" s="783">
        <f>'Valuation output'!G8+'Valuation output'!G18+'Valuation output'!G27</f>
        <v/>
      </c>
      <c r="J23" s="783">
        <f>'Valuation output'!H8+'Valuation output'!H18+'Valuation output'!H27</f>
        <v/>
      </c>
      <c r="K23" s="783">
        <f>'Valuation output'!I8+'Valuation output'!I18+'Valuation output'!I27</f>
        <v/>
      </c>
      <c r="L23" s="783">
        <f>'Valuation output'!J8+'Valuation output'!J18+'Valuation output'!J27</f>
        <v/>
      </c>
      <c r="M23" s="783">
        <f>'Valuation output'!K8+'Valuation output'!K18+'Valuation output'!K27</f>
        <v/>
      </c>
      <c r="N23" s="783">
        <f>'Valuation output'!L8+'Valuation output'!L18+'Valuation output'!L27</f>
        <v/>
      </c>
      <c r="O23" s="783">
        <f>'Valuation output'!M8+'Valuation output'!M18+'Valuation output'!M27</f>
        <v/>
      </c>
      <c r="P23" s="442" t="n"/>
    </row>
    <row r="24">
      <c r="A24" s="451">
        <f>'Valuation output'!A48</f>
        <v/>
      </c>
      <c r="B24" s="785">
        <f>'Valuation output'!B48</f>
        <v/>
      </c>
      <c r="D24" s="458" t="inlineStr">
        <is>
          <t>FCFF</t>
        </is>
      </c>
      <c r="E24" s="784">
        <f>'Valuation output'!C9+'Valuation output'!C19+'Valuation output'!C28</f>
        <v/>
      </c>
      <c r="F24" s="784">
        <f>'Valuation output'!D9+'Valuation output'!D19+'Valuation output'!D28</f>
        <v/>
      </c>
      <c r="G24" s="784">
        <f>'Valuation output'!E9+'Valuation output'!E19+'Valuation output'!E28</f>
        <v/>
      </c>
      <c r="H24" s="784">
        <f>'Valuation output'!F9+'Valuation output'!F19+'Valuation output'!F28</f>
        <v/>
      </c>
      <c r="I24" s="784">
        <f>'Valuation output'!G9+'Valuation output'!G19+'Valuation output'!G28</f>
        <v/>
      </c>
      <c r="J24" s="784">
        <f>'Valuation output'!H9+'Valuation output'!H19+'Valuation output'!H28</f>
        <v/>
      </c>
      <c r="K24" s="784">
        <f>'Valuation output'!I9+'Valuation output'!I19+'Valuation output'!I28</f>
        <v/>
      </c>
      <c r="L24" s="784">
        <f>'Valuation output'!J9+'Valuation output'!J19+'Valuation output'!J28</f>
        <v/>
      </c>
      <c r="M24" s="784">
        <f>'Valuation output'!K9+'Valuation output'!K19+'Valuation output'!K28</f>
        <v/>
      </c>
      <c r="N24" s="784">
        <f>'Valuation output'!L9+'Valuation output'!L19+'Valuation output'!L28</f>
        <v/>
      </c>
      <c r="O24" s="784">
        <f>'Valuation output'!M9+'Valuation output'!M19+'Valuation output'!M28</f>
        <v/>
      </c>
      <c r="P24" s="442" t="n"/>
    </row>
    <row r="25">
      <c r="A25" s="451">
        <f>'Valuation output'!A49</f>
        <v/>
      </c>
      <c r="B25" s="785">
        <f>'Valuation output'!B49</f>
        <v/>
      </c>
      <c r="N25" s="786">
        <f>'Valuation output'!N9+'Valuation output'!N19+'Valuation output'!N28</f>
        <v/>
      </c>
      <c r="P25" s="442" t="n"/>
    </row>
    <row r="26">
      <c r="A26" s="451">
        <f>'Valuation output'!A50</f>
        <v/>
      </c>
      <c r="B26" s="785">
        <f>'Valuation output'!B50</f>
        <v/>
      </c>
      <c r="P26" s="442" t="n"/>
    </row>
    <row r="27">
      <c r="A27" s="460">
        <f>'Valuation output'!A51</f>
        <v/>
      </c>
      <c r="B27" s="461">
        <f>'Valuation output'!B51</f>
        <v/>
      </c>
      <c r="D27" s="458" t="inlineStr">
        <is>
          <t>Cost of Capital</t>
        </is>
      </c>
      <c r="E27" s="452">
        <f>'Valuation output'!C30</f>
        <v/>
      </c>
      <c r="F27" s="452">
        <f>'Valuation output'!D30</f>
        <v/>
      </c>
      <c r="G27" s="452">
        <f>'Valuation output'!E30</f>
        <v/>
      </c>
      <c r="H27" s="452">
        <f>'Valuation output'!F30</f>
        <v/>
      </c>
      <c r="I27" s="452">
        <f>'Valuation output'!G30</f>
        <v/>
      </c>
      <c r="J27" s="452">
        <f>'Valuation output'!H30</f>
        <v/>
      </c>
      <c r="K27" s="452">
        <f>'Valuation output'!I30</f>
        <v/>
      </c>
      <c r="L27" s="452">
        <f>'Valuation output'!J30</f>
        <v/>
      </c>
      <c r="M27" s="452">
        <f>'Valuation output'!K30</f>
        <v/>
      </c>
      <c r="N27" s="452">
        <f>'Valuation output'!L30</f>
        <v/>
      </c>
      <c r="O27" s="462" t="n"/>
      <c r="P27" s="442" t="n"/>
    </row>
    <row r="28">
      <c r="A28" s="472">
        <f>'Valuation output'!A52</f>
        <v/>
      </c>
      <c r="B28" s="787">
        <f>'Valuation output'!B52</f>
        <v/>
      </c>
      <c r="D28" s="311" t="inlineStr">
        <is>
          <t>Cumulated WACC</t>
        </is>
      </c>
      <c r="E28" s="788">
        <f>'Valuation output'!C31</f>
        <v/>
      </c>
      <c r="F28" s="788">
        <f>'Valuation output'!D31</f>
        <v/>
      </c>
      <c r="G28" s="788">
        <f>'Valuation output'!E31</f>
        <v/>
      </c>
      <c r="H28" s="788">
        <f>'Valuation output'!F31</f>
        <v/>
      </c>
      <c r="I28" s="788">
        <f>'Valuation output'!G31</f>
        <v/>
      </c>
      <c r="J28" s="788">
        <f>'Valuation output'!H31</f>
        <v/>
      </c>
      <c r="K28" s="788">
        <f>'Valuation output'!I31</f>
        <v/>
      </c>
      <c r="L28" s="788">
        <f>'Valuation output'!J31</f>
        <v/>
      </c>
      <c r="M28" s="788">
        <f>'Valuation output'!K31</f>
        <v/>
      </c>
      <c r="N28" s="788">
        <f>'Valuation output'!L31</f>
        <v/>
      </c>
      <c r="P28" s="442" t="n"/>
    </row>
    <row r="29">
      <c r="A29" s="463" t="n"/>
      <c r="B29" s="789" t="n"/>
      <c r="P29" s="442" t="n"/>
    </row>
    <row r="30">
      <c r="A30" s="474" t="inlineStr">
        <is>
          <t>Price per share</t>
        </is>
      </c>
      <c r="B30" s="790">
        <f>'Stories to Numbers'!G39</f>
        <v/>
      </c>
      <c r="D30" s="458" t="inlineStr">
        <is>
          <t>Sales to Capital</t>
        </is>
      </c>
      <c r="E30" s="467">
        <f>'Valuation output'!C57</f>
        <v/>
      </c>
      <c r="F30" s="467">
        <f>'Valuation output'!D57</f>
        <v/>
      </c>
      <c r="G30" s="467">
        <f>'Valuation output'!E57</f>
        <v/>
      </c>
      <c r="H30" s="467">
        <f>'Valuation output'!F57</f>
        <v/>
      </c>
      <c r="I30" s="467">
        <f>'Valuation output'!G57</f>
        <v/>
      </c>
      <c r="J30" s="467">
        <f>'Valuation output'!H57</f>
        <v/>
      </c>
      <c r="K30" s="467">
        <f>'Valuation output'!I57</f>
        <v/>
      </c>
      <c r="L30" s="467">
        <f>'Valuation output'!J57</f>
        <v/>
      </c>
      <c r="M30" s="467">
        <f>'Valuation output'!K57</f>
        <v/>
      </c>
      <c r="N30" s="467">
        <f>'Valuation output'!L57</f>
        <v/>
      </c>
      <c r="P30" s="442" t="n"/>
    </row>
    <row r="31">
      <c r="A31" s="451" t="inlineStr">
        <is>
          <t>% Under or Over Valued</t>
        </is>
      </c>
      <c r="B31" s="466">
        <f>B30/B28-1</f>
        <v/>
      </c>
      <c r="D31" s="311" t="inlineStr">
        <is>
          <t>ROIC</t>
        </is>
      </c>
      <c r="E31" s="445">
        <f>'Valuation output'!C59</f>
        <v/>
      </c>
      <c r="F31" s="445">
        <f>'Valuation output'!D59</f>
        <v/>
      </c>
      <c r="G31" s="445">
        <f>'Valuation output'!E59</f>
        <v/>
      </c>
      <c r="H31" s="445">
        <f>'Valuation output'!F59</f>
        <v/>
      </c>
      <c r="I31" s="445">
        <f>'Valuation output'!G59</f>
        <v/>
      </c>
      <c r="J31" s="445">
        <f>'Valuation output'!H59</f>
        <v/>
      </c>
      <c r="K31" s="445">
        <f>'Valuation output'!I59</f>
        <v/>
      </c>
      <c r="L31" s="445">
        <f>'Valuation output'!J59</f>
        <v/>
      </c>
      <c r="M31" s="445">
        <f>'Valuation output'!K59</f>
        <v/>
      </c>
      <c r="N31" s="445">
        <f>'Valuation output'!L59</f>
        <v/>
      </c>
      <c r="O31" s="452">
        <f>'Valuation output'!M59</f>
        <v/>
      </c>
      <c r="P31" s="442" t="n"/>
    </row>
    <row r="32">
      <c r="A32" s="441" t="n"/>
      <c r="P32" s="442" t="n"/>
    </row>
    <row r="33" ht="14" customHeight="1" thickBot="1">
      <c r="A33" s="441" t="n"/>
      <c r="P33" s="442" t="n"/>
    </row>
    <row r="34">
      <c r="A34" s="441" t="n"/>
      <c r="D34" s="775" t="inlineStr">
        <is>
          <t>Risk Story</t>
        </is>
      </c>
      <c r="E34" s="711" t="n"/>
      <c r="G34" s="775" t="inlineStr">
        <is>
          <t>Competitive Advantages</t>
        </is>
      </c>
      <c r="H34" s="710" t="n"/>
      <c r="I34" s="711" t="n"/>
      <c r="L34" s="613" t="inlineStr">
        <is>
          <t>AI and Auto Business: Market Size and Market Share</t>
        </is>
      </c>
      <c r="M34" s="706" t="n"/>
      <c r="N34" s="706" t="n"/>
      <c r="O34" s="706" t="n"/>
      <c r="P34" s="707" t="n"/>
    </row>
    <row r="35">
      <c r="A35" s="441" t="n"/>
      <c r="D35" s="606">
        <f>'Stories to Numbers'!G14</f>
        <v/>
      </c>
      <c r="E35" s="744" t="n"/>
      <c r="G35" s="606">
        <f>'Stories to Numbers'!G13</f>
        <v/>
      </c>
      <c r="H35" s="743" t="n"/>
      <c r="I35" s="744" t="n"/>
      <c r="L35" s="486" t="n"/>
      <c r="M35" s="611" t="inlineStr">
        <is>
          <t>AI</t>
        </is>
      </c>
      <c r="N35" s="750" t="n"/>
      <c r="O35" s="611" t="inlineStr">
        <is>
          <t>Auto</t>
        </is>
      </c>
      <c r="P35" s="750" t="n"/>
    </row>
    <row r="36">
      <c r="A36" s="441" t="n"/>
      <c r="D36" s="746" t="n"/>
      <c r="E36" s="747" t="n"/>
      <c r="G36" s="746" t="n"/>
      <c r="I36" s="747" t="n"/>
      <c r="L36" s="486" t="n"/>
      <c r="M36" s="477" t="inlineStr">
        <is>
          <t>Current</t>
        </is>
      </c>
      <c r="N36" s="478" t="inlineStr">
        <is>
          <t>In 2034</t>
        </is>
      </c>
      <c r="O36" s="477" t="inlineStr">
        <is>
          <t>Current</t>
        </is>
      </c>
      <c r="P36" s="484" t="inlineStr">
        <is>
          <t>In 2034</t>
        </is>
      </c>
    </row>
    <row r="37">
      <c r="A37" s="441" t="n"/>
      <c r="D37" s="746" t="n"/>
      <c r="E37" s="747" t="n"/>
      <c r="G37" s="746" t="n"/>
      <c r="I37" s="747" t="n"/>
      <c r="L37" s="479" t="inlineStr">
        <is>
          <t>Total Market ($ M)</t>
        </is>
      </c>
      <c r="M37" s="791">
        <f>'Input sheet'!B44</f>
        <v/>
      </c>
      <c r="N37" s="792">
        <f>'Input sheet'!C44</f>
        <v/>
      </c>
      <c r="O37" s="791">
        <f>'Input sheet'!B50</f>
        <v/>
      </c>
      <c r="P37" s="791">
        <f>'Input sheet'!C50</f>
        <v/>
      </c>
    </row>
    <row r="38" ht="16" customHeight="1">
      <c r="A38" s="441" t="n"/>
      <c r="D38" s="746" t="n"/>
      <c r="E38" s="747" t="n"/>
      <c r="G38" s="746" t="n"/>
      <c r="I38" s="747" t="n"/>
      <c r="L38" s="482" t="inlineStr">
        <is>
          <t>Market Share</t>
        </is>
      </c>
      <c r="M38" s="483">
        <f>'Input sheet'!B45</f>
        <v/>
      </c>
      <c r="N38" s="483">
        <f>'Input sheet'!C45</f>
        <v/>
      </c>
      <c r="O38" s="791">
        <f>'Input sheet'!B51</f>
        <v/>
      </c>
      <c r="P38" s="791">
        <f>'Input sheet'!C51</f>
        <v/>
      </c>
    </row>
    <row r="39">
      <c r="A39" s="441" t="n"/>
      <c r="D39" s="746" t="n"/>
      <c r="E39" s="747" t="n"/>
      <c r="G39" s="746" t="n"/>
      <c r="I39" s="747" t="n"/>
      <c r="L39" s="479" t="inlineStr">
        <is>
          <t>NVIDIA revenues</t>
        </is>
      </c>
      <c r="M39" s="791">
        <f>M37*M38</f>
        <v/>
      </c>
      <c r="N39" s="792">
        <f>N37*N38</f>
        <v/>
      </c>
      <c r="O39" s="791">
        <f>O37*O38</f>
        <v/>
      </c>
      <c r="P39" s="793">
        <f>P37*P38</f>
        <v/>
      </c>
    </row>
    <row r="40" ht="17" customHeight="1" thickBot="1">
      <c r="A40" s="468" t="n"/>
      <c r="B40" s="469" t="n"/>
      <c r="C40" s="469" t="n"/>
      <c r="D40" s="748" t="n"/>
      <c r="E40" s="750" t="n"/>
      <c r="F40" s="469" t="n"/>
      <c r="G40" s="748" t="n"/>
      <c r="H40" s="749" t="n"/>
      <c r="I40" s="750" t="n"/>
      <c r="J40" s="469" t="n"/>
      <c r="K40" s="469" t="n"/>
      <c r="L40" s="469" t="n"/>
      <c r="M40" s="469" t="n"/>
      <c r="N40" s="469" t="n"/>
      <c r="O40" s="469" t="n"/>
      <c r="P40" s="470" t="n"/>
    </row>
  </sheetData>
  <mergeCells count="17">
    <mergeCell ref="L34:P34"/>
    <mergeCell ref="O3:P3"/>
    <mergeCell ref="A3:N3"/>
    <mergeCell ref="M35:N35"/>
    <mergeCell ref="E6:F13"/>
    <mergeCell ref="A5:C5"/>
    <mergeCell ref="H6:I13"/>
    <mergeCell ref="D34:E34"/>
    <mergeCell ref="O6:P6"/>
    <mergeCell ref="E5:F5"/>
    <mergeCell ref="K5:L5"/>
    <mergeCell ref="H5:I5"/>
    <mergeCell ref="G35:I40"/>
    <mergeCell ref="G34:I34"/>
    <mergeCell ref="O35:P35"/>
    <mergeCell ref="K6:L13"/>
    <mergeCell ref="D35:E40"/>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42"/>
  <sheetViews>
    <sheetView zoomScale="125" zoomScaleNormal="125" workbookViewId="0">
      <selection activeCell="D42" sqref="D42"/>
    </sheetView>
  </sheetViews>
  <sheetFormatPr baseColWidth="10" defaultRowHeight="16"/>
  <cols>
    <col width="61.6640625" customWidth="1" style="5" min="1" max="1"/>
    <col width="17.6640625" customWidth="1" style="250" min="2" max="2"/>
    <col width="21" customWidth="1" style="250" min="3" max="3"/>
    <col width="20.5" customWidth="1" style="250" min="4" max="4"/>
    <col width="17.6640625" customWidth="1" style="250" min="5" max="5"/>
    <col width="11.1640625" customWidth="1" style="5" min="6" max="6"/>
    <col width="72" customWidth="1" style="5" min="7" max="7"/>
    <col width="10.83203125" customWidth="1" style="5" min="8" max="16384"/>
  </cols>
  <sheetData>
    <row r="1">
      <c r="A1" s="259" t="inlineStr">
        <is>
          <t>Step 1: Check revenue growth rate</t>
        </is>
      </c>
      <c r="B1" s="617" t="n"/>
      <c r="C1" s="261" t="n"/>
      <c r="D1" s="631" t="inlineStr">
        <is>
          <t>Your forecasts</t>
        </is>
      </c>
      <c r="E1" s="711" t="n"/>
      <c r="G1" s="251" t="inlineStr">
        <is>
          <t>Questions to ask</t>
        </is>
      </c>
    </row>
    <row r="2" ht="34" customHeight="1">
      <c r="A2" s="262" t="n"/>
      <c r="B2" s="263" t="inlineStr">
        <is>
          <t>Industry Average</t>
        </is>
      </c>
      <c r="C2" s="263" t="inlineStr">
        <is>
          <t>Most Recent year</t>
        </is>
      </c>
      <c r="D2" s="263" t="inlineStr">
        <is>
          <t>Next year</t>
        </is>
      </c>
      <c r="E2" s="264" t="inlineStr">
        <is>
          <t>Years 2-5</t>
        </is>
      </c>
      <c r="G2" s="279" t="inlineStr">
        <is>
          <t>1. If you are forecasting a revenue growth rate &gt; industry average, is your company small?</t>
        </is>
      </c>
    </row>
    <row r="3" ht="34" customHeight="1">
      <c r="A3" s="257" t="inlineStr">
        <is>
          <t>Annual Revenue Growth Rate</t>
        </is>
      </c>
      <c r="B3" s="254">
        <f>'Input sheet'!J25</f>
        <v/>
      </c>
      <c r="C3" s="254">
        <f>'Input sheet'!I25</f>
        <v/>
      </c>
      <c r="D3" s="254">
        <f>C7/B7-1</f>
        <v/>
      </c>
      <c r="E3" s="254">
        <f>(D7/B7)^(1/5)-1</f>
        <v/>
      </c>
      <c r="G3" s="279" t="inlineStr">
        <is>
          <t>2. If your forecasted revenue growth rate is very different from your company's most recent year of growth, what is the reason?</t>
        </is>
      </c>
    </row>
    <row r="4" ht="17" customHeight="1" thickBot="1"/>
    <row r="5">
      <c r="A5" s="259" t="inlineStr">
        <is>
          <t>Step 2: Check dollar revenues</t>
        </is>
      </c>
      <c r="B5" s="261" t="n"/>
      <c r="C5" s="261" t="n"/>
      <c r="D5" s="261" t="n"/>
      <c r="E5" s="265" t="n"/>
    </row>
    <row r="6">
      <c r="A6" s="262" t="n"/>
      <c r="B6" s="250" t="inlineStr">
        <is>
          <t>Most Recent year</t>
        </is>
      </c>
      <c r="C6" s="250" t="inlineStr">
        <is>
          <t>Next year</t>
        </is>
      </c>
      <c r="D6" s="250" t="inlineStr">
        <is>
          <t>Year 5</t>
        </is>
      </c>
      <c r="E6" s="266" t="inlineStr">
        <is>
          <t>Year 10</t>
        </is>
      </c>
      <c r="G6" s="257" t="inlineStr">
        <is>
          <t>1. How big is the total market today?</t>
        </is>
      </c>
    </row>
    <row r="7">
      <c r="A7" s="276" t="inlineStr">
        <is>
          <t>Revenues</t>
        </is>
      </c>
      <c r="B7" s="794">
        <f>'Valuation output'!B3+'Valuation output'!B14+'Valuation output'!B23</f>
        <v/>
      </c>
      <c r="C7" s="794">
        <f>'Valuation output'!C3+'Valuation output'!C14+'Valuation output'!C23</f>
        <v/>
      </c>
      <c r="D7" s="794">
        <f>'Valuation output'!G3+'Valuation output'!G14+'Valuation output'!G23</f>
        <v/>
      </c>
      <c r="E7" s="794">
        <f>'Valuation output'!L3+'Valuation output'!L14+'Valuation output'!L23</f>
        <v/>
      </c>
      <c r="G7" s="257" t="inlineStr">
        <is>
          <t>2. How much revenues do the biggest companies in that market make today?</t>
        </is>
      </c>
    </row>
    <row r="8">
      <c r="G8" s="257" t="inlineStr">
        <is>
          <t>3. How much growth is there in the total market?</t>
        </is>
      </c>
    </row>
    <row r="9">
      <c r="G9" s="257" t="inlineStr">
        <is>
          <t>4. What type of market share are you forecasting for your company in year 10?</t>
        </is>
      </c>
    </row>
    <row r="10" ht="17" customHeight="1" thickBot="1"/>
    <row r="11">
      <c r="A11" s="267" t="inlineStr">
        <is>
          <t>Step 3: Check your margins</t>
        </is>
      </c>
      <c r="B11" s="268" t="inlineStr">
        <is>
          <t>Most Recent year</t>
        </is>
      </c>
      <c r="C11" s="268" t="inlineStr">
        <is>
          <t>Next year</t>
        </is>
      </c>
      <c r="D11" s="268" t="inlineStr">
        <is>
          <t>Year 5</t>
        </is>
      </c>
      <c r="E11" s="269" t="inlineStr">
        <is>
          <t>Year 10</t>
        </is>
      </c>
      <c r="G11" s="257" t="inlineStr">
        <is>
          <t>1. What are the margins of the industry that the company is in?</t>
        </is>
      </c>
    </row>
    <row r="12" ht="34" customHeight="1">
      <c r="A12" s="276" t="inlineStr">
        <is>
          <t>Operating Margin</t>
        </is>
      </c>
      <c r="B12" s="278">
        <f>'Valuation output'!B4</f>
        <v/>
      </c>
      <c r="C12" s="278">
        <f>'Valuation output'!C4</f>
        <v/>
      </c>
      <c r="D12" s="278">
        <f>'Valuation output'!G4</f>
        <v/>
      </c>
      <c r="E12" s="278">
        <f>'Valuation output'!M4</f>
        <v/>
      </c>
      <c r="G12" s="279" t="inlineStr">
        <is>
          <t>2. What are the unit economics of the business? (How much does it cost you to make the extra unit that you sell?</t>
        </is>
      </c>
    </row>
    <row r="13">
      <c r="G13" s="257" t="inlineStr">
        <is>
          <t>3. What does the competition in this business look like?</t>
        </is>
      </c>
    </row>
    <row r="14" ht="17" customHeight="1" thickBot="1"/>
    <row r="15">
      <c r="A15" s="267" t="inlineStr">
        <is>
          <t>Step 4: Check how much you are reinvesting</t>
        </is>
      </c>
      <c r="B15" s="261" t="n"/>
      <c r="C15" s="261" t="n"/>
      <c r="D15" s="261" t="n"/>
      <c r="E15" s="265" t="n"/>
    </row>
    <row r="16">
      <c r="A16" s="262" t="n"/>
      <c r="B16" s="263" t="inlineStr">
        <is>
          <t>Most Recent year</t>
        </is>
      </c>
      <c r="C16" s="263" t="inlineStr">
        <is>
          <t>Next year</t>
        </is>
      </c>
      <c r="D16" s="263" t="inlineStr">
        <is>
          <t>Year 5</t>
        </is>
      </c>
      <c r="E16" s="264" t="inlineStr">
        <is>
          <t>Year 10</t>
        </is>
      </c>
      <c r="G16" s="257" t="inlineStr">
        <is>
          <t>1. is the growth that you are forecasting bounce-back growth or new growth?</t>
        </is>
      </c>
    </row>
    <row r="17">
      <c r="A17" s="276" t="inlineStr">
        <is>
          <t>Sales to Capital</t>
        </is>
      </c>
      <c r="B17" s="386">
        <f>'Input sheet'!I27</f>
        <v/>
      </c>
      <c r="C17" s="386">
        <f>'Valuation output'!C57</f>
        <v/>
      </c>
      <c r="D17" s="386">
        <f>'Valuation output'!G57</f>
        <v/>
      </c>
      <c r="E17" s="386">
        <f>'Valuation output'!L57</f>
        <v/>
      </c>
      <c r="G17" s="257" t="inlineStr">
        <is>
          <t>2. How much excess capacity do you have to service near term growth?</t>
        </is>
      </c>
    </row>
    <row r="18">
      <c r="A18" s="262" t="n"/>
      <c r="E18" s="266" t="n"/>
      <c r="G18" s="257" t="inlineStr">
        <is>
          <t>3. Does investment efficiency in this business change as companies get bigger?</t>
        </is>
      </c>
    </row>
    <row r="19">
      <c r="A19" s="270" t="inlineStr">
        <is>
          <t>Reinvestment effect on cash flows</t>
        </is>
      </c>
      <c r="E19" s="266" t="n"/>
    </row>
    <row r="20">
      <c r="A20" s="262" t="n"/>
      <c r="B20" s="258" t="inlineStr">
        <is>
          <t>$ Value</t>
        </is>
      </c>
      <c r="C20" s="258" t="inlineStr">
        <is>
          <t>As % of value</t>
        </is>
      </c>
      <c r="E20" s="266" t="n"/>
    </row>
    <row r="21">
      <c r="A21" s="262" t="inlineStr">
        <is>
          <t>PV of after-tax operating income for next 10 years</t>
        </is>
      </c>
      <c r="B21" s="795">
        <f>('Valuation output'!C7+'Valuation output'!C17+'Valuation output'!C26)*'Valuation output'!C31+('Valuation output'!D7+'Valuation output'!D17+'Valuation output'!D26)*'Valuation output'!D31+('Valuation output'!E7+'Valuation output'!E17+'Valuation output'!E26)*'Valuation output'!E31+('Valuation output'!F7+'Valuation output'!F17+'Valuation output'!F26)*'Valuation output'!F31+('Valuation output'!G7+'Valuation output'!G17+'Valuation output'!G26)*'Valuation output'!G31+('Valuation output'!H7+'Valuation output'!H17+'Valuation output'!H26)*'Valuation output'!H31+('Valuation output'!I7+'Valuation output'!I17+'Valuation output'!I26)*'Valuation output'!I31+('Valuation output'!J7+'Valuation output'!J17+'Valuation output'!J26)*'Valuation output'!J31+('Valuation output'!K7+'Valuation output'!K17+'Valuation output'!K26)*'Valuation output'!K31+('Valuation output'!L7+'Valuation output'!L17+'Valuation output'!L26)*'Valuation output'!C31+('Valuation output'!M7+'Valuation output'!M17+'Valuation output'!M26)*'Valuation output'!M31</f>
        <v/>
      </c>
      <c r="C21" s="253">
        <f>B21/B21</f>
        <v/>
      </c>
      <c r="E21" s="266" t="n"/>
      <c r="G21" s="257" t="inlineStr">
        <is>
          <t>1. Is your reinvestment consitent with your revenue growth forecast?</t>
        </is>
      </c>
    </row>
    <row r="22">
      <c r="A22" s="271" t="inlineStr">
        <is>
          <t>Value effect of reinvestment for next 10 years</t>
        </is>
      </c>
      <c r="B22" s="796">
        <f>B21-B23</f>
        <v/>
      </c>
      <c r="C22" s="256">
        <f>B22/B21</f>
        <v/>
      </c>
      <c r="E22" s="266" t="n"/>
      <c r="G22" s="257" t="inlineStr">
        <is>
          <t>2. Are you comfortable with your return on capital in year 10?</t>
        </is>
      </c>
    </row>
    <row r="23">
      <c r="A23" s="262" t="inlineStr">
        <is>
          <t>PV of FCFF for next ten years</t>
        </is>
      </c>
      <c r="B23" s="795">
        <f>SUM('Valuation output'!C32:L32)+SUM('Valuation output'!C33:L33)+SUM('Valuation output'!C34:L34)</f>
        <v/>
      </c>
      <c r="C23" s="254">
        <f>C21-C22</f>
        <v/>
      </c>
      <c r="E23" s="266" t="n"/>
    </row>
    <row r="24">
      <c r="A24" s="262" t="n"/>
      <c r="E24" s="266" t="n"/>
    </row>
    <row r="25">
      <c r="A25" s="270" t="inlineStr">
        <is>
          <t>Return on capital effects</t>
        </is>
      </c>
      <c r="E25" s="266" t="n"/>
    </row>
    <row r="26">
      <c r="A26" s="262" t="n"/>
      <c r="B26" s="263" t="inlineStr">
        <is>
          <t>Most recent year</t>
        </is>
      </c>
      <c r="C26" s="263" t="inlineStr">
        <is>
          <t>Marginal (1-10)</t>
        </is>
      </c>
      <c r="D26" s="263" t="inlineStr">
        <is>
          <t>ROC in year 10</t>
        </is>
      </c>
      <c r="E26" s="264" t="inlineStr">
        <is>
          <t>Stable ROC</t>
        </is>
      </c>
    </row>
    <row r="27" ht="17" customHeight="1" thickBot="1">
      <c r="A27" s="272" t="inlineStr">
        <is>
          <t>Return on capital</t>
        </is>
      </c>
      <c r="B27" s="273">
        <f>'Valuation output'!B59</f>
        <v/>
      </c>
      <c r="C27" s="274">
        <f>('Valuation output'!L7-'Valuation output'!B7+'Valuation output'!L17-'Valuation output'!B17+'Valuation output'!L26-'Valuation output'!B26-'Valuation output'!B26)/('Valuation output'!L58-'Valuation output'!B58)</f>
        <v/>
      </c>
      <c r="D27" s="273">
        <f>'Valuation output'!L59</f>
        <v/>
      </c>
      <c r="E27" s="275">
        <f>'Valuation output'!M59</f>
        <v/>
      </c>
    </row>
    <row r="28" ht="17" customHeight="1" thickBot="1"/>
    <row r="29">
      <c r="A29" s="267" t="inlineStr">
        <is>
          <t>Step 5: Risk Metrics</t>
        </is>
      </c>
      <c r="B29" s="261" t="n"/>
      <c r="C29" s="261" t="n"/>
      <c r="D29" s="261" t="n"/>
      <c r="E29" s="265" t="n"/>
    </row>
    <row r="30">
      <c r="A30" s="262" t="n"/>
      <c r="B30" s="263" t="inlineStr">
        <is>
          <t>Industry Average</t>
        </is>
      </c>
      <c r="C30" s="263" t="inlineStr">
        <is>
          <t>Compounded</t>
        </is>
      </c>
      <c r="D30" s="263" t="inlineStr">
        <is>
          <t>Year 1-5</t>
        </is>
      </c>
      <c r="E30" s="264" t="inlineStr">
        <is>
          <t>Stable Growth</t>
        </is>
      </c>
      <c r="G30" s="257" t="inlineStr">
        <is>
          <t>1. How does your cost of capital compare to the industry average?</t>
        </is>
      </c>
    </row>
    <row r="31">
      <c r="A31" s="280" t="inlineStr">
        <is>
          <t>Cost of capital</t>
        </is>
      </c>
      <c r="B31" s="256">
        <f>'Input sheet'!J31</f>
        <v/>
      </c>
      <c r="C31" s="256">
        <f>(1/'Valuation output'!L31)^(1/10)-1</f>
        <v/>
      </c>
      <c r="D31" s="256">
        <f>'Valuation output'!C30</f>
        <v/>
      </c>
      <c r="E31" s="281">
        <f>'Valuation output'!M30</f>
        <v/>
      </c>
      <c r="G31" s="257" t="inlineStr">
        <is>
          <t>2. What is happenign to your cost of capital over time? Why?</t>
        </is>
      </c>
    </row>
    <row r="32">
      <c r="A32" s="262" t="n"/>
      <c r="E32" s="266" t="n"/>
      <c r="G32" s="257" t="inlineStr">
        <is>
          <t>3. Is your failure rate consistent with your company's characteristics?</t>
        </is>
      </c>
    </row>
    <row r="33" ht="17" customHeight="1" thickBot="1">
      <c r="A33" s="272" t="inlineStr">
        <is>
          <t>Failure Rate</t>
        </is>
      </c>
      <c r="B33" s="273">
        <f>'Valuation output'!B41</f>
        <v/>
      </c>
      <c r="C33" s="282" t="n"/>
      <c r="D33" s="282" t="n"/>
      <c r="E33" s="283" t="n"/>
    </row>
    <row r="34" ht="17" customHeight="1" thickBot="1"/>
    <row r="35">
      <c r="A35" s="267" t="inlineStr">
        <is>
          <t>Step 6: Price versus Value</t>
        </is>
      </c>
      <c r="B35" s="261" t="n"/>
      <c r="C35" s="261" t="n"/>
      <c r="D35" s="261" t="n"/>
      <c r="E35" s="265" t="n"/>
    </row>
    <row r="36" ht="14" customFormat="1" customHeight="1" s="51" thickBot="1">
      <c r="A36" s="295" t="inlineStr">
        <is>
          <t>Your calculated value as a percent of current price</t>
        </is>
      </c>
      <c r="B36" s="284">
        <f>'Valuation output'!B52/'Valuation output'!B53</f>
        <v/>
      </c>
      <c r="C36" s="296" t="n"/>
      <c r="D36" s="296" t="n"/>
      <c r="E36" s="297" t="n"/>
    </row>
    <row r="37" ht="17" customFormat="1" customHeight="1" s="51" thickBot="1">
      <c r="A37" s="53" t="n"/>
      <c r="B37" s="797">
        <f>IF(B36="NA","Value is negative. See below",IF(B36&gt;2,"Value seems high. See below",IF(B36&lt;0.5,"Value seems low. See below"," ")))</f>
        <v/>
      </c>
      <c r="C37" s="701" t="n"/>
      <c r="D37" s="296" t="n"/>
      <c r="E37" s="297" t="n"/>
      <c r="F37" s="7" t="n"/>
    </row>
    <row r="38" ht="42" customFormat="1" customHeight="1" s="7">
      <c r="A38" s="302" t="inlineStr">
        <is>
          <t>Inputs</t>
        </is>
      </c>
      <c r="B38" s="285" t="inlineStr">
        <is>
          <t>If calculated value is negative or looks too low</t>
        </is>
      </c>
      <c r="C38" s="286" t="inlineStr">
        <is>
          <t>If calculated value looks too high</t>
        </is>
      </c>
      <c r="D38" s="298" t="n"/>
      <c r="E38" s="299" t="n"/>
    </row>
    <row r="39" ht="35" customFormat="1" customHeight="1" s="7">
      <c r="A39" s="287" t="inlineStr">
        <is>
          <t>Revenue growth rate (input cell B25, B27)</t>
        </is>
      </c>
      <c r="B39" s="288" t="inlineStr">
        <is>
          <t>Increase revenue growth rate</t>
        </is>
      </c>
      <c r="C39" s="289" t="inlineStr">
        <is>
          <t>Decrease revenue growth rate</t>
        </is>
      </c>
      <c r="D39" s="298" t="n"/>
      <c r="E39" s="299" t="n"/>
    </row>
    <row r="40" ht="42" customFormat="1" customHeight="1" s="7">
      <c r="A40" s="287" t="inlineStr">
        <is>
          <t>Operating margin (B26, B28)</t>
        </is>
      </c>
      <c r="B40" s="290" t="inlineStr">
        <is>
          <t>Increase the target pre-tax operating margin</t>
        </is>
      </c>
      <c r="C40" s="289" t="inlineStr">
        <is>
          <t>Decrease the target pre-tax operating margin</t>
        </is>
      </c>
      <c r="D40" s="298" t="inlineStr">
        <is>
          <t> </t>
        </is>
      </c>
      <c r="E40" s="299" t="n"/>
    </row>
    <row r="41" ht="34" customFormat="1" customHeight="1" s="7">
      <c r="A41" s="291" t="inlineStr">
        <is>
          <t>Sales to Capital (B30-B32)</t>
        </is>
      </c>
      <c r="B41" s="288" t="inlineStr">
        <is>
          <t>Increase the sales/capital ratio</t>
        </is>
      </c>
      <c r="C41" s="289" t="inlineStr">
        <is>
          <t>Decrease the sales/capital ratio</t>
        </is>
      </c>
      <c r="D41" s="298" t="inlineStr">
        <is>
          <t> </t>
        </is>
      </c>
      <c r="E41" s="299" t="n"/>
    </row>
    <row r="42" ht="48" customFormat="1" customHeight="1" s="7" thickBot="1">
      <c r="A42" s="292" t="inlineStr">
        <is>
          <t>Return on capital in perpetuity (B48, B49)</t>
        </is>
      </c>
      <c r="B42" s="293" t="inlineStr">
        <is>
          <t>Increase relative to your cost of capital</t>
        </is>
      </c>
      <c r="C42" s="294" t="inlineStr">
        <is>
          <t>If higher than your cost of capital, lower towards your cost of capital</t>
        </is>
      </c>
      <c r="D42" s="300" t="n"/>
      <c r="E42" s="301" t="n"/>
      <c r="F42" s="5" t="n"/>
    </row>
  </sheetData>
  <mergeCells count="2">
    <mergeCell ref="D1:E1"/>
    <mergeCell ref="B37:C3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9"/>
  <sheetViews>
    <sheetView workbookViewId="0">
      <selection activeCell="D33" sqref="D33"/>
    </sheetView>
  </sheetViews>
  <sheetFormatPr baseColWidth="10" defaultRowHeight="16"/>
  <cols>
    <col width="44.33203125" customWidth="1" style="187" min="1" max="1"/>
    <col width="28.1640625" customWidth="1" style="187" min="2" max="2"/>
    <col width="30.6640625" customWidth="1" style="187" min="3" max="3"/>
    <col width="24.83203125" customWidth="1" style="187" min="4" max="4"/>
    <col width="44.33203125" customWidth="1" style="103" min="5" max="7"/>
  </cols>
  <sheetData>
    <row r="1" ht="19" customHeight="1">
      <c r="A1" s="632" t="inlineStr">
        <is>
          <t>Note: This worksheet is the most finicky of all of the worksheets in this spreadsheet. If you start to get errors, here is a quick fix. Go into cell B12 and replace the contents with a number (say 5), and then undo your action. The spreadsheet will fix itself magically.</t>
        </is>
      </c>
    </row>
    <row r="2" ht="38" customHeight="1">
      <c r="A2" s="766" t="n"/>
    </row>
    <row r="3" ht="18" customFormat="1" customHeight="1" s="322">
      <c r="A3" s="245" t="inlineStr">
        <is>
          <t>Valuing Options or Warrants</t>
        </is>
      </c>
      <c r="B3" s="245" t="n"/>
      <c r="C3" s="245" t="n"/>
      <c r="D3" s="245" t="n"/>
      <c r="E3" s="245" t="n"/>
      <c r="F3" s="245" t="n"/>
      <c r="G3" s="245" t="n"/>
    </row>
    <row r="4" customFormat="1" s="323">
      <c r="A4" s="187" t="inlineStr">
        <is>
          <t>Enter the current stock price =</t>
        </is>
      </c>
      <c r="B4" s="798">
        <f>'Input sheet'!B21</f>
        <v/>
      </c>
      <c r="C4" s="187" t="n"/>
      <c r="D4" s="187" t="n"/>
      <c r="E4" s="187" t="n"/>
    </row>
    <row r="5" customFormat="1" s="323">
      <c r="A5" s="187" t="inlineStr">
        <is>
          <t>Enter the strike price on the option =</t>
        </is>
      </c>
      <c r="B5" s="799">
        <f>'Input sheet'!B38</f>
        <v/>
      </c>
      <c r="C5" s="187" t="n"/>
      <c r="D5" s="187" t="n"/>
      <c r="E5" s="187" t="n"/>
    </row>
    <row r="6" customFormat="1" s="323">
      <c r="A6" s="187" t="inlineStr">
        <is>
          <t>Enter the expiration of the option =</t>
        </is>
      </c>
      <c r="B6" s="305">
        <f>'Input sheet'!B39</f>
        <v/>
      </c>
      <c r="C6" s="187" t="n"/>
      <c r="D6" s="187" t="n"/>
      <c r="E6" s="187" t="n"/>
    </row>
    <row r="7" customFormat="1" s="323">
      <c r="A7" s="187" t="inlineStr">
        <is>
          <t>Enter the standard deviation in stock prices =</t>
        </is>
      </c>
      <c r="B7" s="306">
        <f>'Input sheet'!B40</f>
        <v/>
      </c>
      <c r="C7" s="187" t="inlineStr">
        <is>
          <t>(volatility)</t>
        </is>
      </c>
      <c r="D7" s="187" t="n"/>
      <c r="E7" s="187" t="n"/>
    </row>
    <row r="8" customFormat="1" s="323">
      <c r="A8" s="187" t="inlineStr">
        <is>
          <t>Enter the annualized dividend yield on stock =</t>
        </is>
      </c>
      <c r="B8" s="307" t="n">
        <v>0</v>
      </c>
      <c r="C8" s="187" t="n"/>
      <c r="D8" s="187" t="n"/>
      <c r="E8" s="187" t="n"/>
    </row>
    <row r="9" customFormat="1" s="323">
      <c r="A9" s="187" t="inlineStr">
        <is>
          <t>Enter the treasury bond rate =</t>
        </is>
      </c>
      <c r="B9" s="307">
        <f>'Input sheet'!B33</f>
        <v/>
      </c>
      <c r="C9" s="187" t="n"/>
      <c r="D9" s="187" t="n"/>
      <c r="E9" s="187" t="n"/>
    </row>
    <row r="10" customFormat="1" s="323">
      <c r="A10" s="187" t="inlineStr">
        <is>
          <t>Enter the number of warrants (options) outstanding =</t>
        </is>
      </c>
      <c r="B10" s="305">
        <f>'Input sheet'!B37</f>
        <v/>
      </c>
      <c r="C10" s="187" t="n"/>
      <c r="D10" s="187" t="n"/>
      <c r="E10" s="187" t="n"/>
    </row>
    <row r="11" customFormat="1" s="323">
      <c r="A11" s="187" t="inlineStr">
        <is>
          <t>Enter the number of shares outstanding =</t>
        </is>
      </c>
      <c r="B11" s="308">
        <f>'Input sheet'!B20</f>
        <v/>
      </c>
      <c r="C11" s="187" t="n"/>
      <c r="D11" s="187" t="n"/>
      <c r="E11" s="187" t="n"/>
    </row>
    <row r="12" customFormat="1" s="323">
      <c r="A12" s="187" t="n"/>
      <c r="B12" s="187" t="n"/>
      <c r="C12" s="187" t="n"/>
      <c r="D12" s="187" t="n"/>
      <c r="E12" s="187" t="n"/>
      <c r="F12" s="187" t="n"/>
      <c r="G12" s="187" t="n"/>
    </row>
    <row r="13" customFormat="1" s="324">
      <c r="A13" s="309" t="inlineStr">
        <is>
          <t>Do not input any numbers below this line</t>
        </is>
      </c>
      <c r="B13" s="310" t="n"/>
      <c r="C13" s="310" t="n"/>
      <c r="D13" s="310" t="n"/>
      <c r="E13" s="310" t="n"/>
      <c r="F13" s="310" t="n"/>
      <c r="G13" s="310" t="n"/>
    </row>
    <row r="14" customFormat="1" s="325">
      <c r="A14" s="245" t="inlineStr">
        <is>
          <t>Dilution-adjusted Black-Scholes</t>
        </is>
      </c>
      <c r="B14" s="187" t="n"/>
      <c r="C14" s="187" t="n"/>
      <c r="D14" s="187" t="n"/>
      <c r="E14" s="187" t="n"/>
      <c r="F14" s="187" t="n"/>
      <c r="G14" s="187" t="n"/>
    </row>
    <row r="15" customFormat="1" s="325">
      <c r="A15" s="311" t="inlineStr">
        <is>
          <t>Stock Price=</t>
        </is>
      </c>
      <c r="B15" s="800">
        <f>B4</f>
        <v/>
      </c>
      <c r="C15" s="311" t="inlineStr">
        <is>
          <t># Warrants issued=</t>
        </is>
      </c>
      <c r="D15" s="314">
        <f>B10</f>
        <v/>
      </c>
      <c r="E15" s="326" t="n"/>
    </row>
    <row r="16" customFormat="1" s="325">
      <c r="A16" s="311" t="inlineStr">
        <is>
          <t>Strike Price=</t>
        </is>
      </c>
      <c r="B16" s="321">
        <f>B5</f>
        <v/>
      </c>
      <c r="C16" s="311" t="inlineStr">
        <is>
          <t># Shares outstanding=</t>
        </is>
      </c>
      <c r="D16" s="315">
        <f>B11</f>
        <v/>
      </c>
      <c r="E16" s="326" t="n"/>
    </row>
    <row r="17" customFormat="1" s="325">
      <c r="A17" s="311" t="inlineStr">
        <is>
          <t>Adjusted S =</t>
        </is>
      </c>
      <c r="B17" s="800">
        <f>(B15*D16+B28*D15)/(D16+D15)</f>
        <v/>
      </c>
      <c r="C17" s="311" t="inlineStr">
        <is>
          <t>T.Bond rate=</t>
        </is>
      </c>
      <c r="D17" s="316">
        <f>B9</f>
        <v/>
      </c>
      <c r="E17" s="187" t="n"/>
    </row>
    <row r="18" customFormat="1" s="325">
      <c r="A18" s="311" t="inlineStr">
        <is>
          <t>Adjusted K =</t>
        </is>
      </c>
      <c r="B18" s="321">
        <f>B16</f>
        <v/>
      </c>
      <c r="C18" s="311" t="inlineStr">
        <is>
          <t>Variance=</t>
        </is>
      </c>
      <c r="D18" s="801">
        <f>B7^2</f>
        <v/>
      </c>
      <c r="E18" s="187" t="n"/>
    </row>
    <row r="19" customFormat="1" s="325">
      <c r="A19" s="311" t="inlineStr">
        <is>
          <t>Expiration (in years) =</t>
        </is>
      </c>
      <c r="B19" s="321">
        <f>B6</f>
        <v/>
      </c>
      <c r="C19" s="311" t="inlineStr">
        <is>
          <t>Annualized dividend yield=</t>
        </is>
      </c>
      <c r="D19" s="316">
        <f>B8</f>
        <v/>
      </c>
      <c r="E19" s="187" t="n"/>
    </row>
    <row r="20" customFormat="1" s="325">
      <c r="A20" s="187" t="n"/>
      <c r="B20" s="187" t="n"/>
      <c r="C20" s="311" t="inlineStr">
        <is>
          <t>Div. Adj. interest rate=</t>
        </is>
      </c>
      <c r="D20" s="318">
        <f>D17-D19</f>
        <v/>
      </c>
      <c r="E20" s="187" t="n"/>
    </row>
    <row r="21" customFormat="1" s="325">
      <c r="A21" s="187" t="n"/>
      <c r="B21" s="187" t="n"/>
      <c r="C21" s="187" t="n"/>
      <c r="D21" s="187" t="n"/>
      <c r="E21" s="187" t="n"/>
      <c r="F21" s="187" t="n"/>
      <c r="G21" s="187" t="n"/>
    </row>
    <row r="22" customFormat="1" s="325">
      <c r="A22" s="187" t="inlineStr">
        <is>
          <t xml:space="preserve">d1 = </t>
        </is>
      </c>
      <c r="B22" s="802">
        <f>(LN(B17/B18)+(D20+(D18/2))*B19)/(((D18)^(0.5))*(B19^0.5))</f>
        <v/>
      </c>
      <c r="C22" s="187" t="n"/>
      <c r="D22" s="187" t="n"/>
      <c r="E22" s="187" t="n"/>
      <c r="F22" s="187" t="n"/>
      <c r="G22" s="187" t="n"/>
    </row>
    <row r="23" customFormat="1" s="325">
      <c r="A23" s="187" t="inlineStr">
        <is>
          <t>N (d1) =</t>
        </is>
      </c>
      <c r="B23" s="802">
        <f>NORMSDIST(B22)</f>
        <v/>
      </c>
      <c r="C23" s="187" t="n"/>
      <c r="D23" s="187" t="n"/>
      <c r="E23" s="187" t="n"/>
      <c r="F23" s="187" t="n"/>
      <c r="G23" s="187" t="n"/>
    </row>
    <row r="24" customFormat="1" s="325">
      <c r="A24" s="187" t="n"/>
      <c r="B24" s="319" t="n"/>
      <c r="C24" s="187" t="n"/>
      <c r="D24" s="187" t="n"/>
      <c r="E24" s="187" t="n"/>
      <c r="F24" s="187" t="n"/>
      <c r="G24" s="187" t="n"/>
    </row>
    <row r="25" ht="15.75" customFormat="1" customHeight="1" s="325">
      <c r="A25" s="187" t="inlineStr">
        <is>
          <t xml:space="preserve">d2 = </t>
        </is>
      </c>
      <c r="B25" s="802">
        <f>B22-((D18^0.5)*(B19^(0.5)))</f>
        <v/>
      </c>
      <c r="C25" s="187" t="n"/>
      <c r="D25" s="187" t="n"/>
      <c r="E25" s="187" t="n"/>
      <c r="F25" s="187" t="n"/>
      <c r="G25" s="187" t="n"/>
    </row>
    <row r="26" customFormat="1" s="325">
      <c r="A26" s="187" t="inlineStr">
        <is>
          <t>N (d2) =</t>
        </is>
      </c>
      <c r="B26" s="802">
        <f>NORMSDIST(B25)</f>
        <v/>
      </c>
      <c r="C26" s="187" t="n"/>
      <c r="D26" s="187" t="n"/>
      <c r="E26" s="187" t="n"/>
      <c r="F26" s="187" t="n"/>
      <c r="G26" s="187" t="n"/>
    </row>
    <row r="27" ht="17" customFormat="1" customHeight="1" s="323" thickBot="1">
      <c r="A27" s="187" t="n"/>
      <c r="B27" s="187" t="n"/>
      <c r="C27" s="187" t="n"/>
      <c r="D27" s="187" t="n"/>
      <c r="E27" s="187" t="n"/>
      <c r="F27" s="187" t="n"/>
      <c r="G27" s="187" t="n"/>
    </row>
    <row r="28" ht="17" customFormat="1" customHeight="1" s="325" thickBot="1">
      <c r="A28" s="187" t="inlineStr">
        <is>
          <t xml:space="preserve">Value per option = </t>
        </is>
      </c>
      <c r="B28" s="803">
        <f>((EXP((0-D19)*B19))*B17*B23-B18*(EXP((0-D17)*B19))*B26)</f>
        <v/>
      </c>
      <c r="C28" s="187" t="n"/>
      <c r="D28" s="187" t="n"/>
      <c r="E28" s="187" t="n"/>
      <c r="F28" s="804" t="n"/>
    </row>
    <row r="29" ht="17" customFormat="1" customHeight="1" s="325" thickBot="1">
      <c r="A29" s="187" t="inlineStr">
        <is>
          <t>Value of all options outstanding =</t>
        </is>
      </c>
      <c r="B29" s="805">
        <f>B28*B10</f>
        <v/>
      </c>
      <c r="C29" s="187" t="n"/>
      <c r="D29" s="187" t="n"/>
      <c r="E29" s="187" t="n"/>
    </row>
  </sheetData>
  <mergeCells count="1">
    <mergeCell ref="A1:D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34"/>
  <sheetViews>
    <sheetView zoomScale="125" zoomScaleNormal="125" workbookViewId="0">
      <selection activeCell="H3" sqref="H3:L11"/>
    </sheetView>
  </sheetViews>
  <sheetFormatPr baseColWidth="10" defaultRowHeight="13"/>
  <sheetData>
    <row r="1" ht="18" customFormat="1" customHeight="1" s="6">
      <c r="A1" s="16" t="inlineStr">
        <is>
          <t>Operating Lease Converter</t>
        </is>
      </c>
      <c r="B1" s="16" t="n"/>
      <c r="C1" s="16" t="n"/>
      <c r="D1" s="16" t="n"/>
      <c r="E1" s="16" t="n"/>
      <c r="F1" s="16" t="n"/>
      <c r="G1" s="16" t="n"/>
      <c r="H1" s="16" t="n"/>
      <c r="I1" s="16" t="n"/>
      <c r="J1" s="16" t="n"/>
      <c r="K1" s="16" t="n"/>
    </row>
    <row r="2" ht="19" customFormat="1" customHeight="1" s="6" thickBot="1">
      <c r="A2" s="16" t="inlineStr">
        <is>
          <t>The yellow cells are input cells. Please enter them.</t>
        </is>
      </c>
      <c r="B2" s="16" t="n"/>
      <c r="C2" s="16" t="n"/>
      <c r="D2" s="16" t="n"/>
      <c r="E2" s="16" t="n"/>
      <c r="F2" s="16" t="n"/>
      <c r="G2" s="16" t="n"/>
      <c r="H2" s="16" t="n"/>
      <c r="I2" s="16" t="n"/>
      <c r="J2" s="16" t="n"/>
      <c r="K2" s="16" t="n"/>
    </row>
    <row r="3" ht="13" customFormat="1" customHeight="1" s="12">
      <c r="A3" s="12" t="inlineStr">
        <is>
          <t>Inputs</t>
        </is>
      </c>
      <c r="H3" s="806" t="inlineStr">
        <is>
          <t>Until 2019, this worksheet had to be used for every firm with operating lease commitments, since accountants treated operating lease expenses as operating expenses. In 2019, IFRS and GAAP made the long-overdue change to treat leases as debt, and for firms that follow these standards, the conversion that I am doing on this spreadsheet is being done by accountants, with lease debt and operating income already adjusted. If that is the case, and you showed the lease debt as part of debt in the input page, please do not use this spreadsheet, since you will be double counting.</t>
        </is>
      </c>
      <c r="I3" s="710" t="n"/>
      <c r="J3" s="710" t="n"/>
      <c r="K3" s="710" t="n"/>
      <c r="L3" s="711" t="n"/>
    </row>
    <row r="4" customFormat="1" s="7">
      <c r="A4" s="7" t="inlineStr">
        <is>
          <t>Operating lease expense in current year =</t>
        </is>
      </c>
      <c r="E4" s="807" t="n">
        <v>295</v>
      </c>
      <c r="H4" s="766" t="n"/>
      <c r="L4" s="713" t="n"/>
    </row>
    <row r="5" customFormat="1" s="10">
      <c r="A5" s="10" t="inlineStr">
        <is>
          <t>Operating Lease Commitments (From footnote to financials)</t>
        </is>
      </c>
      <c r="H5" s="766" t="n"/>
      <c r="L5" s="713" t="n"/>
    </row>
    <row r="6" customFormat="1" s="7">
      <c r="A6" s="17" t="inlineStr">
        <is>
          <t>Year</t>
        </is>
      </c>
      <c r="B6" s="17" t="inlineStr">
        <is>
          <t>Commitment</t>
        </is>
      </c>
      <c r="C6" s="7" t="inlineStr">
        <is>
          <t>! Year 1 is next year, ….</t>
        </is>
      </c>
      <c r="H6" s="766" t="n"/>
      <c r="L6" s="713" t="n"/>
    </row>
    <row r="7" customFormat="1" s="7">
      <c r="A7" s="17" t="n">
        <v>1</v>
      </c>
      <c r="B7" s="808" t="n">
        <v>287</v>
      </c>
      <c r="H7" s="766" t="n"/>
      <c r="L7" s="713" t="n"/>
    </row>
    <row r="8" customFormat="1" s="7">
      <c r="A8" s="17" t="n">
        <v>2</v>
      </c>
      <c r="B8" s="808" t="n">
        <v>235</v>
      </c>
      <c r="H8" s="766" t="n"/>
      <c r="L8" s="713" t="n"/>
    </row>
    <row r="9" customFormat="1" s="7">
      <c r="A9" s="17" t="n">
        <v>3</v>
      </c>
      <c r="B9" s="808" t="n">
        <v>194</v>
      </c>
      <c r="H9" s="766" t="n"/>
      <c r="L9" s="713" t="n"/>
    </row>
    <row r="10" customFormat="1" s="7">
      <c r="A10" s="17" t="n">
        <v>4</v>
      </c>
      <c r="B10" s="808" t="n">
        <v>151</v>
      </c>
      <c r="H10" s="766" t="n"/>
      <c r="L10" s="713" t="n"/>
    </row>
    <row r="11" ht="14" customFormat="1" customHeight="1" s="7" thickBot="1">
      <c r="A11" s="17" t="n">
        <v>5</v>
      </c>
      <c r="B11" s="808" t="n">
        <v>98</v>
      </c>
      <c r="H11" s="778" t="n"/>
      <c r="I11" s="809" t="n"/>
      <c r="J11" s="809" t="n"/>
      <c r="K11" s="809" t="n"/>
      <c r="L11" s="779" t="n"/>
    </row>
    <row r="12" ht="14" customFormat="1" customHeight="1" s="7">
      <c r="A12" s="17" t="inlineStr">
        <is>
          <t>6 and beyond</t>
        </is>
      </c>
      <c r="B12" s="116" t="n">
        <v>605</v>
      </c>
    </row>
    <row r="13" customFormat="1" s="7"/>
    <row r="14" ht="17" customFormat="1" customHeight="1" s="18" thickBot="1">
      <c r="A14" s="18" t="inlineStr">
        <is>
          <t>Output</t>
        </is>
      </c>
    </row>
    <row r="15" ht="14" customFormat="1" customHeight="1" s="7" thickBot="1">
      <c r="A15" s="7" t="inlineStr">
        <is>
          <t>Pre-tax Cost of Debt =</t>
        </is>
      </c>
      <c r="C15" s="32">
        <f>'Cost of capital worksheet'!B37</f>
        <v/>
      </c>
      <c r="D15" s="7" t="inlineStr">
        <is>
          <t>! If you do not have a cost of debt, use the synthetic rating estimator</t>
        </is>
      </c>
    </row>
    <row r="16" customFormat="1" s="7"/>
    <row r="17" customFormat="1" s="7">
      <c r="D17" s="810" t="n"/>
    </row>
    <row r="18" customFormat="1" s="7">
      <c r="A18" s="7" t="inlineStr">
        <is>
          <t>Number of years embedded in yr 6 estimate =</t>
        </is>
      </c>
      <c r="D18" s="22">
        <f>IF(B12&gt;0,ROUND(B12/AVERAGE(B7:B11),0),0)</f>
        <v/>
      </c>
      <c r="E18" s="7" t="inlineStr">
        <is>
          <t>! I use the average lease expense over the first five years</t>
        </is>
      </c>
    </row>
    <row r="19" customFormat="1" s="12">
      <c r="E19" s="7" t="inlineStr">
        <is>
          <t>to estimate the number of years of expenses in yr 6</t>
        </is>
      </c>
    </row>
    <row r="20" customFormat="1" s="10">
      <c r="A20" s="10" t="inlineStr">
        <is>
          <t>Converting Operating Leases into debt</t>
        </is>
      </c>
    </row>
    <row r="21" customFormat="1" s="7">
      <c r="A21" s="17" t="inlineStr">
        <is>
          <t>Year</t>
        </is>
      </c>
      <c r="B21" s="17" t="inlineStr">
        <is>
          <t>Commitment</t>
        </is>
      </c>
      <c r="C21" s="17" t="inlineStr">
        <is>
          <t>Present Value</t>
        </is>
      </c>
    </row>
    <row r="22" customFormat="1" s="7">
      <c r="A22" s="13">
        <f>A7</f>
        <v/>
      </c>
      <c r="B22" s="811">
        <f>B7</f>
        <v/>
      </c>
      <c r="C22" s="812">
        <f>B22/(1+$C$15)^A22</f>
        <v/>
      </c>
    </row>
    <row r="23" customFormat="1" s="7">
      <c r="A23" s="13">
        <f>A8</f>
        <v/>
      </c>
      <c r="B23" s="811">
        <f>B8</f>
        <v/>
      </c>
      <c r="C23" s="812">
        <f>B23/(1+$C$15)^A23</f>
        <v/>
      </c>
    </row>
    <row r="24" customFormat="1" s="7">
      <c r="A24" s="13">
        <f>A9</f>
        <v/>
      </c>
      <c r="B24" s="811">
        <f>B9</f>
        <v/>
      </c>
      <c r="C24" s="812">
        <f>B24/(1+$C$15)^A24</f>
        <v/>
      </c>
    </row>
    <row r="25" customFormat="1" s="7">
      <c r="A25" s="13">
        <f>A10</f>
        <v/>
      </c>
      <c r="B25" s="811">
        <f>B10</f>
        <v/>
      </c>
      <c r="C25" s="812">
        <f>B25/(1+$C$15)^A25</f>
        <v/>
      </c>
    </row>
    <row r="26" customFormat="1" s="7">
      <c r="A26" s="13">
        <f>A11</f>
        <v/>
      </c>
      <c r="B26" s="811">
        <f>B11</f>
        <v/>
      </c>
      <c r="C26" s="812">
        <f>B26/(1+$C$15)^A26</f>
        <v/>
      </c>
    </row>
    <row r="27" ht="14" customFormat="1" customHeight="1" s="7" thickBot="1">
      <c r="A27" s="23">
        <f>A12</f>
        <v/>
      </c>
      <c r="B27" s="813">
        <f>IF(B12&gt;0,IF(D18&gt;0,B12/D18,B12),0)</f>
        <v/>
      </c>
      <c r="C27" s="814">
        <f>IF(D18&gt;0,(B27*(1-(1+C15)^(-D18))/C15)/(1+$C$15)^5,B27/(1+C15)^6)</f>
        <v/>
      </c>
      <c r="D27" s="7" t="inlineStr">
        <is>
          <t>! Commitment beyond year 6 converted into an annuity for ten years</t>
        </is>
      </c>
    </row>
    <row r="28" ht="14" customFormat="1" customHeight="1" s="7" thickBot="1">
      <c r="A28" s="19" t="inlineStr">
        <is>
          <t>Debt Value of leases =</t>
        </is>
      </c>
      <c r="B28" s="26" t="n"/>
      <c r="C28" s="815">
        <f>SUM(C22:C27)</f>
        <v/>
      </c>
    </row>
    <row r="29" customFormat="1" s="7"/>
    <row r="30" customFormat="1" s="7">
      <c r="A30" s="10" t="inlineStr">
        <is>
          <t>Restated Financials</t>
        </is>
      </c>
    </row>
    <row r="31" ht="14" customFormat="1" customHeight="1" s="7" thickBot="1">
      <c r="A31" s="7" t="inlineStr">
        <is>
          <t>Depreciation on Operating Lease Asset =</t>
        </is>
      </c>
      <c r="F31" s="814">
        <f>C28/(5+D18)</f>
        <v/>
      </c>
      <c r="G31" s="7" t="inlineStr">
        <is>
          <t>! I use straight line depreciation</t>
        </is>
      </c>
    </row>
    <row r="32" ht="14" customFormat="1" customHeight="1" s="7" thickBot="1">
      <c r="A32" s="7" t="inlineStr">
        <is>
          <t>Adjustment to Operating Earnings =</t>
        </is>
      </c>
      <c r="F32" s="816">
        <f>E4-F31</f>
        <v/>
      </c>
      <c r="G32" s="7" t="inlineStr">
        <is>
          <t>! Add this amount to pre-tax operating income</t>
        </is>
      </c>
    </row>
    <row r="33" ht="14" customFormat="1" customHeight="1" s="7" thickBot="1">
      <c r="A33" s="7" t="inlineStr">
        <is>
          <t>Adjustment to Total Debt outstanding =</t>
        </is>
      </c>
      <c r="F33" s="817">
        <f>C28</f>
        <v/>
      </c>
      <c r="G33" s="7" t="inlineStr">
        <is>
          <t>! Add this amount to debt</t>
        </is>
      </c>
    </row>
    <row r="34" ht="14" customHeight="1">
      <c r="A34" s="7" t="inlineStr">
        <is>
          <t>Adjustment to Depreciation =</t>
        </is>
      </c>
      <c r="F34" s="818">
        <f>C28/(5+D18)</f>
        <v/>
      </c>
    </row>
  </sheetData>
  <mergeCells count="1">
    <mergeCell ref="H3:L1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Y60"/>
  <sheetViews>
    <sheetView zoomScaleNormal="100" workbookViewId="0">
      <selection activeCell="D16" sqref="D16"/>
    </sheetView>
  </sheetViews>
  <sheetFormatPr baseColWidth="10" defaultRowHeight="16"/>
  <cols>
    <col width="11.1640625" bestFit="1" customWidth="1" style="187" min="1" max="2"/>
    <col width="19.5" customWidth="1" style="187" min="3" max="3"/>
    <col width="11.1640625" bestFit="1" customWidth="1" style="187" min="4" max="4"/>
    <col width="10.83203125" customWidth="1" style="187" min="5" max="5"/>
    <col width="12.83203125" bestFit="1" customWidth="1" style="187" min="6" max="6"/>
    <col width="10.83203125" customWidth="1" style="187" min="7" max="7"/>
    <col width="11.1640625" bestFit="1" customWidth="1" style="187" min="8" max="8"/>
    <col width="10.83203125" customWidth="1" style="187" min="9" max="10"/>
    <col width="11.1640625" bestFit="1" customWidth="1" style="187" min="11" max="20"/>
  </cols>
  <sheetData>
    <row r="1">
      <c r="A1" s="819" t="inlineStr">
        <is>
          <t>If you have negative operating income, this spreadsheet will offer you a D rating. Do not use that rating as your cost of debt for a going concern. Insread give your company a low, but going concern rating like BB and use that cost of debt.</t>
        </is>
      </c>
      <c r="B1" s="710" t="n"/>
      <c r="C1" s="710" t="n"/>
      <c r="D1" s="710" t="n"/>
      <c r="E1" s="710" t="n"/>
      <c r="F1" s="710" t="n"/>
      <c r="G1" s="710" t="n"/>
      <c r="H1" s="710" t="n"/>
      <c r="I1" s="710" t="n"/>
      <c r="J1" s="710" t="n"/>
      <c r="K1" s="710" t="n"/>
      <c r="L1" s="711" t="n"/>
    </row>
    <row r="2" ht="21" customHeight="1" thickBot="1">
      <c r="A2" s="778" t="n"/>
      <c r="B2" s="809" t="n"/>
      <c r="C2" s="809" t="n"/>
      <c r="D2" s="809" t="n"/>
      <c r="E2" s="809" t="n"/>
      <c r="F2" s="809" t="n"/>
      <c r="G2" s="809" t="n"/>
      <c r="H2" s="809" t="n"/>
      <c r="I2" s="809" t="n"/>
      <c r="J2" s="809" t="n"/>
      <c r="K2" s="809" t="n"/>
      <c r="L2" s="779" t="n"/>
    </row>
    <row r="4">
      <c r="A4" s="245" t="inlineStr">
        <is>
          <t>Inputs for synthetic rating estimation</t>
        </is>
      </c>
    </row>
    <row r="5">
      <c r="A5" s="245" t="inlineStr">
        <is>
          <t>Please read the special cases worksheet (see below) before you use this spreadsheet.</t>
        </is>
      </c>
    </row>
    <row r="6" ht="17" customFormat="1" customHeight="1" s="48" thickBot="1">
      <c r="A6" s="309" t="inlineStr">
        <is>
          <t>Before you use this spreadsheet, make sure that the iteration box (under calculation options in excel) is checked.</t>
        </is>
      </c>
      <c r="B6" s="310" t="n"/>
      <c r="C6" s="310" t="n"/>
      <c r="D6" s="310" t="n"/>
      <c r="E6" s="310" t="n"/>
      <c r="F6" s="310" t="n"/>
      <c r="G6" s="310" t="n"/>
      <c r="H6" s="310" t="n"/>
      <c r="I6" s="310" t="n"/>
      <c r="J6" s="310" t="n"/>
      <c r="K6" s="310" t="n"/>
      <c r="L6" s="310" t="n"/>
      <c r="M6" s="310" t="n"/>
      <c r="N6" s="310" t="n"/>
      <c r="O6" s="310" t="n"/>
      <c r="P6" s="310" t="n"/>
      <c r="Q6" s="310" t="n"/>
      <c r="R6" s="310" t="n"/>
      <c r="S6" s="310" t="n"/>
      <c r="T6" s="310" t="n"/>
    </row>
    <row r="7" ht="17" customFormat="1" customHeight="1" s="49" thickBot="1">
      <c r="A7" s="187" t="inlineStr">
        <is>
          <t>Enter the type of firm =</t>
        </is>
      </c>
      <c r="B7" s="187" t="n"/>
      <c r="C7" s="334">
        <f>'Cost of capital worksheet'!B36</f>
        <v/>
      </c>
      <c r="D7" s="187" t="n"/>
      <c r="E7" s="187" t="n"/>
      <c r="F7" s="187" t="n"/>
      <c r="G7" s="187" t="n"/>
      <c r="H7" s="187" t="n"/>
      <c r="I7" s="187" t="n"/>
      <c r="J7" s="187" t="n"/>
      <c r="K7" s="187" t="n"/>
      <c r="L7" s="187" t="n"/>
      <c r="M7" s="187" t="n"/>
      <c r="N7" s="187" t="n"/>
      <c r="O7" s="187" t="n"/>
      <c r="P7" s="187" t="n"/>
      <c r="Q7" s="187" t="n"/>
      <c r="R7" s="187" t="n"/>
      <c r="S7" s="187" t="n"/>
      <c r="T7" s="187" t="n"/>
    </row>
    <row r="8" ht="17" customFormat="1" customHeight="1" s="49" thickBot="1">
      <c r="A8" s="187" t="inlineStr">
        <is>
          <t>Enter current Earnings before interest and taxes (EBIT) =</t>
        </is>
      </c>
      <c r="B8" s="187" t="n"/>
      <c r="C8" s="187" t="n"/>
      <c r="D8" s="187" t="n"/>
      <c r="E8" s="187" t="n"/>
      <c r="F8" s="820">
        <f>IF('Input sheet'!B16="Yes",'Input sheet'!B11+'Operating lease converter'!F32,'Input sheet'!B11)</f>
        <v/>
      </c>
      <c r="G8" s="187" t="inlineStr">
        <is>
          <t>(Add back only long term interest expense for financial firms)</t>
        </is>
      </c>
      <c r="H8" s="187" t="n"/>
      <c r="I8" s="187" t="n"/>
      <c r="J8" s="187" t="n"/>
      <c r="K8" s="187" t="n"/>
      <c r="L8" s="187" t="n"/>
      <c r="M8" s="187" t="n"/>
      <c r="N8" s="187" t="n"/>
      <c r="O8" s="187" t="n"/>
      <c r="P8" s="187" t="n"/>
      <c r="Q8" s="187" t="n"/>
      <c r="R8" s="187" t="n"/>
      <c r="S8" s="187" t="n"/>
      <c r="T8" s="187" t="n"/>
    </row>
    <row r="9" ht="17" customFormat="1" customHeight="1" s="49" thickBot="1">
      <c r="A9" s="187" t="inlineStr">
        <is>
          <t>Enter current interest expenses =</t>
        </is>
      </c>
      <c r="B9" s="187" t="n"/>
      <c r="C9" s="187" t="n"/>
      <c r="D9" s="187" t="n"/>
      <c r="E9" s="187" t="n"/>
      <c r="F9" s="821">
        <f>IF('Input sheet'!B16="Yes",'Cost of capital worksheet'!B31+'Operating lease converter'!C28*'Operating lease converter'!C15,'Cost of capital worksheet'!B31)</f>
        <v/>
      </c>
      <c r="G9" s="187" t="inlineStr">
        <is>
          <t>(Use only long term interest expense for financial firms)</t>
        </is>
      </c>
      <c r="H9" s="187" t="n"/>
      <c r="I9" s="187" t="n"/>
      <c r="J9" s="187" t="n"/>
      <c r="K9" s="187" t="n"/>
      <c r="L9" s="187" t="n"/>
      <c r="M9" s="187" t="n"/>
      <c r="N9" s="187" t="n"/>
      <c r="O9" s="187" t="n"/>
      <c r="P9" s="187" t="n"/>
      <c r="Q9" s="187" t="n"/>
      <c r="R9" s="187" t="n"/>
      <c r="S9" s="187" t="n"/>
      <c r="T9" s="187" t="n"/>
    </row>
    <row r="10" ht="17" customFormat="1" customHeight="1" s="49" thickBot="1">
      <c r="A10" s="187" t="inlineStr">
        <is>
          <t>Enter long term risk free rate  =</t>
        </is>
      </c>
      <c r="B10" s="187" t="n"/>
      <c r="C10" s="187" t="n"/>
      <c r="D10" s="187" t="n"/>
      <c r="E10" s="187" t="n"/>
      <c r="F10" s="337">
        <f>'Input sheet'!B33</f>
        <v/>
      </c>
      <c r="G10" s="187" t="n"/>
      <c r="H10" s="187" t="n"/>
      <c r="I10" s="187" t="n"/>
      <c r="J10" s="187" t="n"/>
      <c r="K10" s="187" t="n"/>
      <c r="L10" s="187" t="n"/>
      <c r="M10" s="187" t="n"/>
      <c r="N10" s="187" t="n"/>
      <c r="O10" s="187" t="n"/>
      <c r="P10" s="187" t="n"/>
      <c r="Q10" s="187" t="n"/>
      <c r="R10" s="187" t="n"/>
      <c r="S10" s="187" t="n"/>
      <c r="T10" s="187" t="n"/>
    </row>
    <row r="11" ht="17" customFormat="1" customHeight="1" s="49" thickBot="1">
      <c r="A11" s="245" t="inlineStr">
        <is>
          <t>Output</t>
        </is>
      </c>
      <c r="B11" s="187" t="n"/>
      <c r="C11" s="187" t="n"/>
      <c r="D11" s="187" t="n"/>
      <c r="E11" s="187" t="n"/>
      <c r="F11" s="187" t="n"/>
      <c r="G11" s="187" t="n"/>
      <c r="H11" s="187" t="n"/>
      <c r="I11" s="187" t="n"/>
      <c r="J11" s="187" t="n"/>
      <c r="K11" s="187" t="n"/>
      <c r="L11" s="187" t="n"/>
      <c r="M11" s="187" t="n"/>
      <c r="N11" s="187" t="n"/>
      <c r="O11" s="187" t="n"/>
      <c r="P11" s="187" t="n"/>
      <c r="Q11" s="187" t="n"/>
      <c r="R11" s="187" t="n"/>
      <c r="S11" s="187" t="n"/>
      <c r="T11" s="187" t="n"/>
    </row>
    <row r="12" ht="17" customFormat="1" customHeight="1" s="49" thickBot="1">
      <c r="A12" s="187" t="inlineStr">
        <is>
          <t>Interest  coverage ratio =</t>
        </is>
      </c>
      <c r="B12" s="187" t="n"/>
      <c r="C12" s="187" t="n"/>
      <c r="D12" s="338">
        <f>IF(F9=0,1000000,IF(F8&lt;0,-100000,F8/F9))</f>
        <v/>
      </c>
      <c r="E12" s="187" t="n"/>
      <c r="F12" s="187" t="n"/>
      <c r="G12" s="187" t="n"/>
      <c r="H12" s="187" t="n"/>
      <c r="I12" s="187" t="n"/>
      <c r="J12" s="187" t="n"/>
      <c r="K12" s="187" t="n"/>
      <c r="L12" s="187" t="n"/>
      <c r="M12" s="187" t="n"/>
      <c r="N12" s="187" t="n"/>
      <c r="O12" s="187" t="n"/>
      <c r="P12" s="187" t="n"/>
      <c r="Q12" s="187" t="n"/>
      <c r="R12" s="187" t="n"/>
      <c r="S12" s="187" t="n"/>
      <c r="T12" s="187" t="n"/>
    </row>
    <row r="13" ht="17" customFormat="1" customHeight="1" s="49" thickBot="1">
      <c r="A13" s="187" t="inlineStr">
        <is>
          <t>Estimated Bond Rating =</t>
        </is>
      </c>
      <c r="B13" s="187" t="n"/>
      <c r="C13" s="187" t="n"/>
      <c r="D13" s="339">
        <f>IF(C7=1,VLOOKUP(D12,A22:D36,3),(IF(C7=2,VLOOKUP(D12,A41:D55,3),VLOOKUP(D12,F22:I36,3))))</f>
        <v/>
      </c>
      <c r="E13" s="187" t="n"/>
      <c r="F13" s="310" t="inlineStr">
        <is>
          <t>Note: If you get REF! All over the place, set the operating lease commitment question in cell F5</t>
        </is>
      </c>
      <c r="G13" s="187" t="n"/>
      <c r="H13" s="187" t="n"/>
      <c r="I13" s="187" t="n"/>
      <c r="J13" s="187" t="n"/>
      <c r="K13" s="187" t="n"/>
      <c r="L13" s="187" t="n"/>
      <c r="M13" s="187" t="n"/>
      <c r="N13" s="187" t="n"/>
      <c r="O13" s="187" t="n"/>
      <c r="P13" s="187" t="n"/>
      <c r="Q13" s="187" t="n"/>
      <c r="R13" s="187" t="n"/>
      <c r="S13" s="187" t="n"/>
      <c r="T13" s="187" t="n"/>
    </row>
    <row r="14" ht="17" customFormat="1" customHeight="1" s="49" thickBot="1">
      <c r="A14" s="187" t="inlineStr">
        <is>
          <t>Estimated Company Default Spread =</t>
        </is>
      </c>
      <c r="B14" s="187" t="n"/>
      <c r="C14" s="187" t="n"/>
      <c r="D14" s="340">
        <f>IF(C7=1,VLOOKUP(D12,A22:D36,4),(IF(C7=2,VLOOKUP(D12,A41:D55,4),VLOOKUP(D12,F22:I36,4))))</f>
        <v/>
      </c>
      <c r="E14" s="187" t="n"/>
      <c r="F14" s="310" t="inlineStr">
        <is>
          <t>to No, and then reset it to Yes. It should work.</t>
        </is>
      </c>
      <c r="G14" s="187" t="n"/>
      <c r="H14" s="187" t="n"/>
      <c r="I14" s="187" t="n"/>
      <c r="J14" s="187" t="n"/>
      <c r="K14" s="187" t="n"/>
      <c r="L14" s="187" t="n"/>
      <c r="M14" s="187" t="n"/>
      <c r="N14" s="187" t="n"/>
      <c r="O14" s="187" t="n"/>
      <c r="P14" s="187" t="n"/>
      <c r="Q14" s="187" t="n"/>
      <c r="R14" s="187" t="n"/>
      <c r="S14" s="187" t="n"/>
      <c r="T14" s="187" t="n"/>
    </row>
    <row r="15" ht="17" customFormat="1" customHeight="1" s="49" thickBot="1">
      <c r="A15" s="187" t="inlineStr">
        <is>
          <t>Estimated County Default Spread (if any) =</t>
        </is>
      </c>
      <c r="B15" s="187" t="n"/>
      <c r="C15" s="187" t="n"/>
      <c r="D15" s="340">
        <f>VLOOKUP('Input sheet'!B7,'Country equity risk premiums'!A5:C196,3)</f>
        <v/>
      </c>
      <c r="E15" s="187" t="n"/>
      <c r="F15" s="310" t="n"/>
      <c r="G15" s="187" t="n"/>
      <c r="H15" s="187" t="n"/>
      <c r="I15" s="187" t="n"/>
      <c r="J15" s="187" t="n"/>
      <c r="K15" s="187" t="n"/>
      <c r="L15" s="187" t="n"/>
      <c r="M15" s="187" t="n"/>
      <c r="N15" s="187" t="n"/>
      <c r="O15" s="187" t="n"/>
      <c r="P15" s="187" t="n"/>
      <c r="Q15" s="187" t="n"/>
      <c r="R15" s="187" t="n"/>
      <c r="S15" s="187" t="n"/>
      <c r="T15" s="187" t="n"/>
    </row>
    <row r="16" ht="17" customFormat="1" customHeight="1" s="7" thickBot="1">
      <c r="A16" s="187" t="inlineStr">
        <is>
          <t>Estimated Cost of Debt =</t>
        </is>
      </c>
      <c r="B16" s="187" t="n"/>
      <c r="C16" s="187" t="n"/>
      <c r="D16" s="341">
        <f>F10+D14+D15</f>
        <v/>
      </c>
      <c r="E16" s="187" t="n"/>
      <c r="F16" s="187" t="n"/>
      <c r="G16" s="187" t="n"/>
      <c r="H16" s="187" t="n"/>
      <c r="I16" s="187" t="n"/>
      <c r="J16" s="187" t="n"/>
      <c r="K16" s="187" t="n"/>
      <c r="L16" s="187" t="n"/>
      <c r="M16" s="187" t="n"/>
      <c r="N16" s="187" t="n"/>
      <c r="O16" s="187" t="n"/>
      <c r="P16" s="187" t="n"/>
      <c r="Q16" s="187" t="n"/>
      <c r="R16" s="187" t="n"/>
      <c r="S16" s="187" t="n"/>
      <c r="T16" s="187" t="n"/>
    </row>
    <row r="17" customFormat="1" s="7">
      <c r="A17" s="187" t="n"/>
      <c r="B17" s="187" t="n"/>
      <c r="C17" s="187" t="n"/>
      <c r="D17" s="342" t="n"/>
      <c r="E17" s="187" t="n"/>
      <c r="F17" s="187" t="n"/>
      <c r="G17" s="187" t="n"/>
      <c r="H17" s="187" t="n"/>
      <c r="I17" s="187" t="n"/>
      <c r="J17" s="187" t="n"/>
      <c r="K17" s="187" t="n"/>
      <c r="L17" s="187" t="n"/>
      <c r="M17" s="187" t="n"/>
      <c r="N17" s="187" t="n"/>
      <c r="O17" s="187" t="n"/>
      <c r="P17" s="187" t="n"/>
      <c r="Q17" s="187" t="n"/>
      <c r="R17" s="187" t="n"/>
      <c r="S17" s="187" t="n"/>
      <c r="T17" s="187" t="n"/>
    </row>
    <row r="18" ht="17" customFormat="1" customHeight="1" s="10" thickBot="1">
      <c r="A18" s="310" t="inlineStr">
        <is>
          <t xml:space="preserve"> If you want to update the spreads listed below, please visit http://www.bondsonline.com</t>
        </is>
      </c>
      <c r="B18" s="310" t="n"/>
      <c r="C18" s="310" t="n"/>
      <c r="D18" s="343" t="n"/>
      <c r="E18" s="310" t="n"/>
      <c r="F18" s="310" t="n"/>
      <c r="G18" s="310" t="n"/>
      <c r="H18" s="310" t="n"/>
      <c r="I18" s="310" t="n"/>
      <c r="J18" s="310" t="n"/>
      <c r="K18" s="310" t="n"/>
      <c r="L18" s="310" t="n"/>
      <c r="M18" s="310" t="n"/>
      <c r="N18" s="310" t="n"/>
      <c r="O18" s="310" t="n"/>
      <c r="P18" s="310" t="n"/>
      <c r="Q18" s="310" t="n"/>
      <c r="R18" s="310" t="n"/>
      <c r="S18" s="310" t="n"/>
      <c r="T18" s="310" t="n"/>
    </row>
    <row r="19" ht="17" customFormat="1" customHeight="1" s="49" thickBot="1">
      <c r="A19" s="245" t="inlineStr">
        <is>
          <t>For large manufacturing firms</t>
        </is>
      </c>
      <c r="B19" s="187" t="n"/>
      <c r="C19" s="187" t="n"/>
      <c r="D19" s="187" t="n"/>
      <c r="E19" s="187" t="n"/>
      <c r="F19" s="187" t="n"/>
      <c r="G19" s="187" t="n"/>
      <c r="H19" s="187" t="n"/>
      <c r="I19" s="187" t="n"/>
      <c r="J19" s="822" t="inlineStr">
        <is>
          <t>Default Probabilities over time (1 - 10 year time horizons)</t>
        </is>
      </c>
      <c r="K19" s="700" t="n"/>
      <c r="L19" s="700" t="n"/>
      <c r="M19" s="700" t="n"/>
      <c r="N19" s="700" t="n"/>
      <c r="O19" s="700" t="n"/>
      <c r="P19" s="700" t="n"/>
      <c r="Q19" s="700" t="n"/>
      <c r="R19" s="700" t="n"/>
      <c r="S19" s="700" t="n"/>
      <c r="T19" s="701" t="n"/>
    </row>
    <row r="20" customFormat="1" s="49">
      <c r="A20" s="344" t="inlineStr">
        <is>
          <t>If interest coverage ratio is</t>
        </is>
      </c>
      <c r="B20" s="344" t="n"/>
      <c r="C20" s="345" t="n"/>
      <c r="D20" s="345" t="n"/>
      <c r="E20" s="187" t="n"/>
      <c r="F20" s="187" t="n"/>
      <c r="G20" s="187" t="n"/>
      <c r="H20" s="187" t="n"/>
      <c r="I20" s="187" t="n"/>
      <c r="J20" s="330" t="inlineStr">
        <is>
          <t>Rating</t>
        </is>
      </c>
      <c r="K20" s="331" t="n">
        <v>1</v>
      </c>
      <c r="L20" s="331" t="n">
        <v>2</v>
      </c>
      <c r="M20" s="331" t="n">
        <v>3</v>
      </c>
      <c r="N20" s="331" t="n">
        <v>4</v>
      </c>
      <c r="O20" s="331" t="n">
        <v>5</v>
      </c>
      <c r="P20" s="331" t="n">
        <v>6</v>
      </c>
      <c r="Q20" s="331" t="n">
        <v>7</v>
      </c>
      <c r="R20" s="331" t="n">
        <v>8</v>
      </c>
      <c r="S20" s="331" t="n">
        <v>9</v>
      </c>
      <c r="T20" s="331" t="n">
        <v>10</v>
      </c>
    </row>
    <row r="21" customFormat="1" s="49">
      <c r="A21" s="613" t="inlineStr">
        <is>
          <t>&gt;</t>
        </is>
      </c>
      <c r="B21" s="613" t="inlineStr">
        <is>
          <t>≤ to</t>
        </is>
      </c>
      <c r="C21" s="613" t="inlineStr">
        <is>
          <t>Rating is</t>
        </is>
      </c>
      <c r="D21" s="613" t="inlineStr">
        <is>
          <t>Spread is</t>
        </is>
      </c>
      <c r="E21" s="187" t="n"/>
      <c r="F21" s="187" t="n"/>
      <c r="G21" s="187" t="n"/>
      <c r="H21" s="187" t="n"/>
      <c r="I21" s="187" t="n"/>
      <c r="J21" s="332" t="inlineStr">
        <is>
          <t>AAA</t>
        </is>
      </c>
      <c r="K21" s="333" t="n">
        <v>0</v>
      </c>
      <c r="L21" s="333" t="n">
        <v>0.0003</v>
      </c>
      <c r="M21" s="333" t="n">
        <v>0.0013</v>
      </c>
      <c r="N21" s="333" t="n">
        <v>0.0024</v>
      </c>
      <c r="O21" s="333" t="n">
        <v>0.0035</v>
      </c>
      <c r="P21" s="333" t="n">
        <v>0.004500000000000001</v>
      </c>
      <c r="Q21" s="333" t="n">
        <v>0.0051</v>
      </c>
      <c r="R21" s="333" t="n">
        <v>0.0059</v>
      </c>
      <c r="S21" s="333" t="n">
        <v>0.0064</v>
      </c>
      <c r="T21" s="333" t="n">
        <v>0.006999999999999999</v>
      </c>
    </row>
    <row r="22" customFormat="1" s="49">
      <c r="A22" s="314" t="n">
        <v>-100000</v>
      </c>
      <c r="B22" s="314" t="n">
        <v>0.199999</v>
      </c>
      <c r="C22" s="314" t="inlineStr">
        <is>
          <t>D2/D</t>
        </is>
      </c>
      <c r="D22" s="347" t="n">
        <v>0.2</v>
      </c>
      <c r="E22" s="187" t="n"/>
      <c r="F22" s="187" t="n"/>
      <c r="G22" s="187" t="n"/>
      <c r="H22" s="187" t="n"/>
      <c r="I22" s="187" t="n"/>
      <c r="J22" s="332" t="inlineStr">
        <is>
          <t>AA</t>
        </is>
      </c>
      <c r="K22" s="333" t="n">
        <v>0.0002</v>
      </c>
      <c r="L22" s="333" t="n">
        <v>0.0005999999999999999</v>
      </c>
      <c r="M22" s="333" t="n">
        <v>0.0012</v>
      </c>
      <c r="N22" s="333" t="n">
        <v>0.0021</v>
      </c>
      <c r="O22" s="333" t="n">
        <v>0.0031</v>
      </c>
      <c r="P22" s="333" t="n">
        <v>0.0042</v>
      </c>
      <c r="Q22" s="333" t="n">
        <v>0.005</v>
      </c>
      <c r="R22" s="333" t="n">
        <v>0.0058</v>
      </c>
      <c r="S22" s="333" t="n">
        <v>0.006500000000000001</v>
      </c>
      <c r="T22" s="333" t="n">
        <v>0.0072</v>
      </c>
    </row>
    <row r="23" customFormat="1" s="49">
      <c r="A23" s="314" t="n">
        <v>0.2</v>
      </c>
      <c r="B23" s="314" t="n">
        <v>0.649999</v>
      </c>
      <c r="C23" s="314" t="inlineStr">
        <is>
          <t>C2/C</t>
        </is>
      </c>
      <c r="D23" s="347" t="n">
        <v>0.175</v>
      </c>
      <c r="E23" s="187" t="n"/>
      <c r="F23" s="314" t="n"/>
      <c r="G23" s="187" t="n"/>
      <c r="H23" s="187" t="n"/>
      <c r="I23" s="187" t="n"/>
      <c r="J23" s="332" t="inlineStr">
        <is>
          <t>A</t>
        </is>
      </c>
      <c r="K23" s="333" t="n">
        <v>0.0005</v>
      </c>
      <c r="L23" s="333" t="n">
        <v>0.0014</v>
      </c>
      <c r="M23" s="333" t="n">
        <v>0.0023</v>
      </c>
      <c r="N23" s="333" t="n">
        <v>0.0035</v>
      </c>
      <c r="O23" s="333" t="n">
        <v>0.004699999999999999</v>
      </c>
      <c r="P23" s="333" t="n">
        <v>0.0062</v>
      </c>
      <c r="Q23" s="333" t="n">
        <v>0.007900000000000001</v>
      </c>
      <c r="R23" s="333" t="n">
        <v>0.009300000000000001</v>
      </c>
      <c r="S23" s="333" t="n">
        <v>0.0108</v>
      </c>
      <c r="T23" s="333" t="n">
        <v>0.0124</v>
      </c>
    </row>
    <row r="24" customFormat="1" s="49">
      <c r="A24" s="314" t="n">
        <v>0.65</v>
      </c>
      <c r="B24" s="314" t="n">
        <v>0.799999</v>
      </c>
      <c r="C24" s="314" t="inlineStr">
        <is>
          <t>Ca2/CC</t>
        </is>
      </c>
      <c r="D24" s="347" t="n">
        <v>0.1578</v>
      </c>
      <c r="E24" s="187" t="n"/>
      <c r="F24" s="187" t="n"/>
      <c r="G24" s="187" t="n"/>
      <c r="H24" s="187" t="n"/>
      <c r="I24" s="187" t="n"/>
      <c r="J24" s="332" t="inlineStr">
        <is>
          <t>BBB</t>
        </is>
      </c>
      <c r="K24" s="333" t="n">
        <v>0.0016</v>
      </c>
      <c r="L24" s="333" t="n">
        <v>0.004500000000000001</v>
      </c>
      <c r="M24" s="333" t="n">
        <v>0.007800000000000001</v>
      </c>
      <c r="N24" s="333" t="n">
        <v>0.0117</v>
      </c>
      <c r="O24" s="333" t="n">
        <v>0.0158</v>
      </c>
      <c r="P24" s="333" t="n">
        <v>0.0198</v>
      </c>
      <c r="Q24" s="333" t="n">
        <v>0.0233</v>
      </c>
      <c r="R24" s="333" t="n">
        <v>0.0267</v>
      </c>
      <c r="S24" s="333" t="n">
        <v>0.03</v>
      </c>
      <c r="T24" s="333" t="n">
        <v>0.0332</v>
      </c>
    </row>
    <row r="25" customFormat="1" s="49">
      <c r="A25" s="314" t="n">
        <v>0.8</v>
      </c>
      <c r="B25" s="314" t="n">
        <v>1.249999</v>
      </c>
      <c r="C25" s="314" t="inlineStr">
        <is>
          <t>Caa/CCC</t>
        </is>
      </c>
      <c r="D25" s="347" t="n">
        <v>0.1157</v>
      </c>
      <c r="E25" s="187" t="n"/>
      <c r="F25" s="187" t="n"/>
      <c r="G25" s="187" t="n"/>
      <c r="H25" s="187" t="n"/>
      <c r="I25" s="187" t="n"/>
      <c r="J25" s="332" t="inlineStr">
        <is>
          <t>BB</t>
        </is>
      </c>
      <c r="K25" s="333" t="n">
        <v>0.0061</v>
      </c>
      <c r="L25" s="333" t="n">
        <v>0.0192</v>
      </c>
      <c r="M25" s="333" t="n">
        <v>0.0348</v>
      </c>
      <c r="N25" s="333" t="n">
        <v>0.0505</v>
      </c>
      <c r="O25" s="333" t="n">
        <v>0.06519999999999999</v>
      </c>
      <c r="P25" s="333" t="n">
        <v>0.0785</v>
      </c>
      <c r="Q25" s="333" t="n">
        <v>0.0901</v>
      </c>
      <c r="R25" s="333" t="n">
        <v>0.1004</v>
      </c>
      <c r="S25" s="333" t="n">
        <v>0.1097</v>
      </c>
      <c r="T25" s="333" t="n">
        <v>0.1178</v>
      </c>
    </row>
    <row r="26" customFormat="1" s="49">
      <c r="A26" s="314" t="n">
        <v>1.25</v>
      </c>
      <c r="B26" s="314" t="n">
        <v>1.499999</v>
      </c>
      <c r="C26" s="314" t="inlineStr">
        <is>
          <t>B3/B-</t>
        </is>
      </c>
      <c r="D26" s="347" t="n">
        <v>0.0737</v>
      </c>
      <c r="E26" s="187" t="n"/>
      <c r="F26" s="187" t="n"/>
      <c r="G26" s="187" t="n"/>
      <c r="H26" s="187" t="n"/>
      <c r="I26" s="187" t="n"/>
      <c r="J26" s="332" t="inlineStr">
        <is>
          <t>B</t>
        </is>
      </c>
      <c r="K26" s="333" t="n">
        <v>0.0333</v>
      </c>
      <c r="L26" s="333" t="n">
        <v>0.0771</v>
      </c>
      <c r="M26" s="333" t="n">
        <v>0.1155</v>
      </c>
      <c r="N26" s="333" t="n">
        <v>0.1458</v>
      </c>
      <c r="O26" s="333" t="n">
        <v>0.1693</v>
      </c>
      <c r="P26" s="333" t="n">
        <v>0.1883</v>
      </c>
      <c r="Q26" s="333" t="n">
        <v>0.2036</v>
      </c>
      <c r="R26" s="333" t="n">
        <v>0.216</v>
      </c>
      <c r="S26" s="333" t="n">
        <v>0.227</v>
      </c>
      <c r="T26" s="333" t="n">
        <v>0.2374</v>
      </c>
    </row>
    <row r="27" customFormat="1" s="49">
      <c r="A27" s="314" t="n">
        <v>1.5</v>
      </c>
      <c r="B27" s="314" t="n">
        <v>1.749999</v>
      </c>
      <c r="C27" s="314" t="inlineStr">
        <is>
          <t>B2/B</t>
        </is>
      </c>
      <c r="D27" s="347" t="n">
        <v>0.0526</v>
      </c>
      <c r="E27" s="187" t="n"/>
      <c r="F27" s="187" t="n"/>
      <c r="G27" s="187" t="n"/>
      <c r="H27" s="187" t="n"/>
      <c r="I27" s="187" t="n"/>
      <c r="J27" s="332" t="inlineStr">
        <is>
          <t>CCC/C</t>
        </is>
      </c>
      <c r="K27" s="333" t="n">
        <v>0.2708</v>
      </c>
      <c r="L27" s="333" t="n">
        <v>0.3664</v>
      </c>
      <c r="M27" s="333" t="n">
        <v>0.4141</v>
      </c>
      <c r="N27" s="333" t="n">
        <v>0.441</v>
      </c>
      <c r="O27" s="333" t="n">
        <v>0.4619</v>
      </c>
      <c r="P27" s="333" t="n">
        <v>0.4709</v>
      </c>
      <c r="Q27" s="333" t="n">
        <v>0.4826</v>
      </c>
      <c r="R27" s="333" t="n">
        <v>0.4905</v>
      </c>
      <c r="S27" s="333" t="n">
        <v>0.4976</v>
      </c>
      <c r="T27" s="333" t="n">
        <v>0.5038</v>
      </c>
    </row>
    <row r="28" customFormat="1" s="49">
      <c r="A28" s="314" t="n">
        <v>1.75</v>
      </c>
      <c r="B28" s="314" t="n">
        <v>1.999999</v>
      </c>
      <c r="C28" s="314" t="inlineStr">
        <is>
          <t>B1/B+</t>
        </is>
      </c>
      <c r="D28" s="347" t="n">
        <v>0.0455</v>
      </c>
      <c r="E28" s="187" t="n"/>
      <c r="F28" s="187" t="n"/>
      <c r="G28" s="187" t="n"/>
      <c r="H28" s="187" t="n"/>
      <c r="I28" s="187" t="n"/>
      <c r="J28" s="187" t="n"/>
      <c r="K28" s="187" t="n"/>
      <c r="L28" s="187" t="n"/>
      <c r="M28" s="187" t="n"/>
      <c r="N28" s="187" t="n"/>
      <c r="O28" s="187" t="n"/>
      <c r="P28" s="187" t="n"/>
      <c r="Q28" s="187" t="n"/>
      <c r="R28" s="187" t="n"/>
      <c r="S28" s="187" t="n"/>
      <c r="T28" s="187" t="n"/>
    </row>
    <row r="29" customFormat="1" s="49">
      <c r="A29" s="314" t="n">
        <v>2</v>
      </c>
      <c r="B29" s="314" t="n">
        <v>2.2499999</v>
      </c>
      <c r="C29" s="314" t="inlineStr">
        <is>
          <t>Ba2/BB</t>
        </is>
      </c>
      <c r="D29" s="347" t="n">
        <v>0.0313</v>
      </c>
      <c r="E29" s="187" t="n"/>
      <c r="F29" s="187" t="n"/>
      <c r="G29" s="187" t="n"/>
      <c r="H29" s="187" t="n"/>
      <c r="I29" s="187" t="n"/>
      <c r="J29" s="187" t="n"/>
      <c r="K29" s="187" t="n"/>
      <c r="L29" s="187" t="n"/>
      <c r="M29" s="187" t="n"/>
      <c r="N29" s="187" t="n"/>
      <c r="O29" s="187" t="n"/>
      <c r="P29" s="187" t="n"/>
      <c r="Q29" s="187" t="n"/>
      <c r="R29" s="187" t="n"/>
      <c r="S29" s="187" t="n"/>
      <c r="T29" s="187" t="n"/>
    </row>
    <row r="30" customFormat="1" s="49">
      <c r="A30" s="314" t="n">
        <v>2.25</v>
      </c>
      <c r="B30" s="314" t="n">
        <v>2.49999</v>
      </c>
      <c r="C30" s="314" t="inlineStr">
        <is>
          <t>Ba1/BB+</t>
        </is>
      </c>
      <c r="D30" s="347" t="n">
        <v>0.0242</v>
      </c>
      <c r="E30" s="187" t="n"/>
      <c r="F30" s="187" t="n"/>
      <c r="G30" s="187" t="n"/>
      <c r="H30" s="187" t="n"/>
      <c r="I30" s="187" t="n"/>
      <c r="J30" s="187" t="n"/>
      <c r="K30" s="187" t="n"/>
      <c r="L30" s="187" t="n"/>
      <c r="M30" s="187" t="n"/>
      <c r="N30" s="187" t="n"/>
      <c r="O30" s="187" t="n"/>
      <c r="P30" s="187" t="n"/>
      <c r="Q30" s="187" t="n"/>
      <c r="R30" s="187" t="n"/>
      <c r="S30" s="187" t="n"/>
      <c r="T30" s="187" t="n"/>
    </row>
    <row r="31" customFormat="1" s="49">
      <c r="A31" s="314" t="n">
        <v>2.5</v>
      </c>
      <c r="B31" s="314" t="n">
        <v>2.999999</v>
      </c>
      <c r="C31" s="314" t="inlineStr">
        <is>
          <t>Baa2/BBB</t>
        </is>
      </c>
      <c r="D31" s="347" t="n">
        <v>0.02</v>
      </c>
      <c r="E31" s="187" t="n"/>
      <c r="F31" s="187" t="n"/>
      <c r="G31" s="187" t="n"/>
      <c r="H31" s="187" t="n"/>
      <c r="I31" s="187" t="n"/>
      <c r="J31" s="187" t="n"/>
      <c r="K31" s="187" t="n"/>
      <c r="L31" s="187" t="n"/>
      <c r="M31" s="187" t="n"/>
      <c r="N31" s="187" t="n"/>
      <c r="O31" s="187" t="n"/>
      <c r="P31" s="187" t="n"/>
      <c r="Q31" s="187" t="n"/>
      <c r="R31" s="187" t="n"/>
      <c r="S31" s="187" t="n"/>
      <c r="T31" s="187" t="n"/>
    </row>
    <row r="32" customFormat="1" s="49">
      <c r="A32" s="314" t="n">
        <v>3</v>
      </c>
      <c r="B32" s="314" t="n">
        <v>4.249999</v>
      </c>
      <c r="C32" s="314" t="inlineStr">
        <is>
          <t>A3/A-</t>
        </is>
      </c>
      <c r="D32" s="347" t="n">
        <v>0.0162</v>
      </c>
      <c r="E32" s="187" t="n"/>
      <c r="F32" s="187" t="n"/>
      <c r="G32" s="187" t="n"/>
      <c r="H32" s="187" t="n"/>
      <c r="I32" s="187" t="n"/>
      <c r="J32" s="187" t="n"/>
      <c r="K32" s="187" t="n"/>
      <c r="L32" s="187" t="n"/>
      <c r="M32" s="187" t="n"/>
      <c r="N32" s="187" t="n"/>
      <c r="O32" s="187" t="n"/>
      <c r="P32" s="187" t="n"/>
      <c r="Q32" s="187" t="n"/>
      <c r="R32" s="187" t="n"/>
      <c r="S32" s="187" t="n"/>
      <c r="T32" s="187" t="n"/>
    </row>
    <row r="33" customFormat="1" s="49">
      <c r="A33" s="314" t="n">
        <v>4.25</v>
      </c>
      <c r="B33" s="314" t="n">
        <v>5.499999</v>
      </c>
      <c r="C33" s="314" t="inlineStr">
        <is>
          <t>A2/A</t>
        </is>
      </c>
      <c r="D33" s="347" t="n">
        <v>0.0142</v>
      </c>
      <c r="E33" s="187" t="n"/>
      <c r="F33" s="187" t="n"/>
      <c r="G33" s="187" t="n"/>
      <c r="H33" s="187" t="n"/>
      <c r="I33" s="187" t="n"/>
      <c r="J33" s="187" t="n"/>
      <c r="K33" s="187" t="n"/>
      <c r="L33" s="187" t="n"/>
      <c r="M33" s="187" t="n"/>
      <c r="N33" s="187" t="n"/>
      <c r="O33" s="187" t="n"/>
      <c r="P33" s="187" t="n"/>
      <c r="Q33" s="187" t="n"/>
      <c r="R33" s="187" t="n"/>
      <c r="S33" s="187" t="n"/>
      <c r="T33" s="187" t="n"/>
    </row>
    <row r="34" customFormat="1" s="49">
      <c r="A34" s="314" t="n">
        <v>5.5</v>
      </c>
      <c r="B34" s="314" t="n">
        <v>6.499999</v>
      </c>
      <c r="C34" s="314" t="inlineStr">
        <is>
          <t>A1/A+</t>
        </is>
      </c>
      <c r="D34" s="347" t="n">
        <v>0.0123</v>
      </c>
      <c r="E34" s="187" t="n"/>
      <c r="F34" s="187" t="n"/>
      <c r="G34" s="187" t="n"/>
      <c r="H34" s="187" t="n"/>
      <c r="I34" s="187" t="n"/>
      <c r="J34" s="187" t="n"/>
      <c r="K34" s="187" t="n"/>
      <c r="L34" s="187" t="n"/>
      <c r="M34" s="187" t="n"/>
      <c r="N34" s="187" t="n"/>
      <c r="O34" s="187" t="n"/>
      <c r="P34" s="187" t="n"/>
      <c r="Q34" s="187" t="n"/>
      <c r="R34" s="187" t="n"/>
      <c r="S34" s="187" t="n"/>
      <c r="T34" s="187" t="n"/>
    </row>
    <row r="35" customFormat="1" s="49">
      <c r="A35" s="314" t="n">
        <v>6.5</v>
      </c>
      <c r="B35" s="314" t="n">
        <v>8.499999000000001</v>
      </c>
      <c r="C35" s="314" t="inlineStr">
        <is>
          <t>Aa2/AA</t>
        </is>
      </c>
      <c r="D35" s="347" t="n">
        <v>0.008500000000000001</v>
      </c>
      <c r="E35" s="187" t="n"/>
      <c r="F35" s="187" t="n"/>
      <c r="G35" s="187" t="n"/>
      <c r="H35" s="187" t="n"/>
      <c r="I35" s="187" t="n"/>
      <c r="J35" s="187" t="n"/>
      <c r="K35" s="187" t="n"/>
      <c r="L35" s="187" t="n"/>
      <c r="M35" s="187" t="n"/>
      <c r="N35" s="187" t="n"/>
      <c r="O35" s="187" t="n"/>
      <c r="P35" s="187" t="n"/>
      <c r="Q35" s="187" t="n"/>
      <c r="R35" s="187" t="n"/>
      <c r="S35" s="187" t="n"/>
      <c r="T35" s="187" t="n"/>
    </row>
    <row r="36" customFormat="1" s="49">
      <c r="A36" s="348" t="n">
        <v>8.5</v>
      </c>
      <c r="B36" s="314" t="n">
        <v>100000</v>
      </c>
      <c r="C36" s="314" t="inlineStr">
        <is>
          <t>Aaa/AAA</t>
        </is>
      </c>
      <c r="D36" s="347" t="n">
        <v>0.0069</v>
      </c>
      <c r="E36" s="187" t="n"/>
      <c r="F36" s="187" t="n"/>
      <c r="G36" s="187" t="n"/>
      <c r="H36" s="187" t="n"/>
      <c r="I36" s="187" t="n"/>
      <c r="J36" s="187" t="n"/>
      <c r="K36" s="187" t="n"/>
      <c r="L36" s="187" t="n"/>
      <c r="M36" s="187" t="n"/>
      <c r="N36" s="187" t="n"/>
      <c r="O36" s="187" t="n"/>
      <c r="P36" s="187" t="n"/>
      <c r="Q36" s="187" t="n"/>
      <c r="R36" s="187" t="n"/>
      <c r="S36" s="187" t="n"/>
      <c r="T36" s="187" t="n"/>
    </row>
    <row r="37" customFormat="1" s="49">
      <c r="A37" s="187" t="n"/>
      <c r="B37" s="187" t="n"/>
      <c r="C37" s="187" t="n"/>
      <c r="D37" s="187" t="n"/>
      <c r="E37" s="187" t="n"/>
      <c r="F37" s="187" t="n"/>
      <c r="G37" s="187" t="n"/>
      <c r="H37" s="187" t="n"/>
      <c r="I37" s="187" t="n"/>
      <c r="J37" s="187" t="n"/>
      <c r="K37" s="187" t="n"/>
      <c r="L37" s="187" t="n"/>
      <c r="M37" s="187" t="n"/>
      <c r="N37" s="187" t="n"/>
      <c r="O37" s="187" t="n"/>
      <c r="P37" s="187" t="n"/>
      <c r="Q37" s="187" t="n"/>
      <c r="R37" s="187" t="n"/>
      <c r="S37" s="187" t="n"/>
      <c r="T37" s="187" t="n"/>
    </row>
    <row r="38" customFormat="1" s="49">
      <c r="A38" s="245" t="inlineStr">
        <is>
          <t>For smaller and riskier firms</t>
        </is>
      </c>
      <c r="B38" s="187" t="n"/>
      <c r="C38" s="187" t="n"/>
      <c r="D38" s="187" t="n"/>
      <c r="E38" s="187" t="n"/>
      <c r="F38" s="187" t="n"/>
      <c r="G38" s="187" t="n"/>
      <c r="H38" s="187" t="n"/>
      <c r="I38" s="187" t="n"/>
      <c r="J38" s="187" t="n"/>
      <c r="K38" s="187" t="n"/>
      <c r="L38" s="187" t="n"/>
      <c r="M38" s="187" t="n"/>
      <c r="N38" s="187" t="n"/>
      <c r="O38" s="187" t="n"/>
      <c r="P38" s="187" t="n"/>
      <c r="Q38" s="187" t="n"/>
      <c r="R38" s="187" t="n"/>
      <c r="S38" s="187" t="n"/>
      <c r="T38" s="187" t="n"/>
    </row>
    <row r="39" customFormat="1" s="49">
      <c r="A39" s="344" t="inlineStr">
        <is>
          <t>If interest coverage ratio is</t>
        </is>
      </c>
      <c r="B39" s="349" t="n"/>
      <c r="C39" s="314" t="n"/>
      <c r="D39" s="314" t="n"/>
      <c r="E39" s="187" t="n"/>
      <c r="F39" s="187" t="n"/>
      <c r="G39" s="187" t="n"/>
      <c r="H39" s="187" t="n"/>
      <c r="I39" s="187" t="n"/>
      <c r="J39" s="187" t="n"/>
      <c r="K39" s="187" t="n"/>
      <c r="L39" s="187" t="n"/>
      <c r="M39" s="187" t="n"/>
      <c r="N39" s="187" t="n"/>
      <c r="O39" s="187" t="n"/>
      <c r="P39" s="187" t="n"/>
      <c r="Q39" s="187" t="n"/>
      <c r="R39" s="187" t="n"/>
      <c r="S39" s="187" t="n"/>
      <c r="T39" s="187" t="n"/>
    </row>
    <row r="40" customFormat="1" s="49">
      <c r="A40" s="314" t="inlineStr">
        <is>
          <t>greater than</t>
        </is>
      </c>
      <c r="B40" s="314" t="inlineStr">
        <is>
          <t>≤ to</t>
        </is>
      </c>
      <c r="C40" s="314" t="inlineStr">
        <is>
          <t>Rating is</t>
        </is>
      </c>
      <c r="D40" s="314" t="inlineStr">
        <is>
          <t>Spread is</t>
        </is>
      </c>
      <c r="E40" s="187" t="n"/>
      <c r="F40" s="187" t="n"/>
      <c r="G40" s="187" t="n"/>
      <c r="H40" s="187" t="n"/>
      <c r="I40" s="187" t="n"/>
      <c r="J40" s="187" t="n"/>
      <c r="K40" s="187" t="n"/>
      <c r="L40" s="187" t="n"/>
      <c r="M40" s="187" t="n"/>
      <c r="N40" s="187" t="n"/>
      <c r="O40" s="187" t="n"/>
      <c r="P40" s="187" t="n"/>
      <c r="Q40" s="187" t="n"/>
      <c r="R40" s="187" t="n"/>
      <c r="S40" s="187" t="n"/>
      <c r="T40" s="187" t="n"/>
    </row>
    <row r="41" customFormat="1" s="49">
      <c r="A41" s="314" t="n">
        <v>-100000</v>
      </c>
      <c r="B41" s="314" t="n">
        <v>0.499999</v>
      </c>
      <c r="C41" s="314" t="inlineStr">
        <is>
          <t>D2/D</t>
        </is>
      </c>
      <c r="D41" s="347" t="n">
        <v>0.2</v>
      </c>
      <c r="E41" s="187" t="n"/>
      <c r="F41" s="187" t="n"/>
      <c r="G41" s="613" t="inlineStr">
        <is>
          <t>Rating is</t>
        </is>
      </c>
      <c r="H41" s="613" t="inlineStr">
        <is>
          <t>Spread is</t>
        </is>
      </c>
      <c r="I41" s="187" t="n"/>
      <c r="J41" s="187" t="n"/>
      <c r="K41" s="187" t="n"/>
      <c r="L41" s="187" t="n"/>
      <c r="M41" s="187" t="n"/>
      <c r="N41" s="187" t="n"/>
      <c r="O41" s="187" t="n"/>
      <c r="P41" s="187" t="n"/>
      <c r="Q41" s="187" t="n"/>
      <c r="R41" s="187" t="n"/>
      <c r="S41" s="187" t="n"/>
      <c r="T41" s="187" t="n"/>
    </row>
    <row r="42" customFormat="1" s="49">
      <c r="A42" s="314" t="n">
        <v>0.5</v>
      </c>
      <c r="B42" s="314" t="n">
        <v>0.799999</v>
      </c>
      <c r="C42" s="314" t="inlineStr">
        <is>
          <t>C2/C</t>
        </is>
      </c>
      <c r="D42" s="347" t="n">
        <v>0.175</v>
      </c>
      <c r="E42" s="187" t="n"/>
      <c r="F42" s="187" t="n"/>
      <c r="G42" s="314" t="inlineStr">
        <is>
          <t>A1/A+</t>
        </is>
      </c>
      <c r="H42" s="347" t="n">
        <v>0.0123</v>
      </c>
      <c r="I42" s="187" t="n"/>
      <c r="J42" s="187" t="n"/>
      <c r="K42" s="187" t="n"/>
      <c r="L42" s="187" t="n"/>
      <c r="M42" s="187" t="n"/>
      <c r="N42" s="187" t="n"/>
      <c r="O42" s="187" t="n"/>
      <c r="P42" s="187" t="n"/>
      <c r="Q42" s="187" t="n"/>
      <c r="R42" s="187" t="n"/>
      <c r="S42" s="187" t="n"/>
      <c r="T42" s="187" t="n"/>
    </row>
    <row r="43" customFormat="1" s="49">
      <c r="A43" s="314" t="n">
        <v>0.8</v>
      </c>
      <c r="B43" s="314" t="n">
        <v>1.249999</v>
      </c>
      <c r="C43" s="314" t="inlineStr">
        <is>
          <t>Ca2/CC</t>
        </is>
      </c>
      <c r="D43" s="347" t="n">
        <v>0.1578</v>
      </c>
      <c r="E43" s="187" t="n"/>
      <c r="F43" s="187" t="n"/>
      <c r="G43" s="314" t="inlineStr">
        <is>
          <t>A2/A</t>
        </is>
      </c>
      <c r="H43" s="347" t="n">
        <v>0.0142</v>
      </c>
      <c r="I43" s="187" t="n"/>
      <c r="J43" s="187" t="n"/>
      <c r="K43" s="187" t="n"/>
      <c r="L43" s="187" t="n"/>
      <c r="M43" s="187" t="n"/>
      <c r="N43" s="187" t="n"/>
      <c r="O43" s="187" t="n"/>
      <c r="P43" s="187" t="n"/>
      <c r="Q43" s="187" t="n"/>
      <c r="R43" s="187" t="n"/>
      <c r="S43" s="187" t="n"/>
      <c r="T43" s="187" t="n"/>
    </row>
    <row r="44" customFormat="1" s="49">
      <c r="A44" s="314" t="n">
        <v>1.25</v>
      </c>
      <c r="B44" s="314" t="n">
        <v>1.499999</v>
      </c>
      <c r="C44" s="314" t="inlineStr">
        <is>
          <t>Caa/CCC</t>
        </is>
      </c>
      <c r="D44" s="347" t="n">
        <v>0.1157</v>
      </c>
      <c r="E44" s="187" t="n"/>
      <c r="F44" s="187" t="n"/>
      <c r="G44" s="314" t="inlineStr">
        <is>
          <t>A3/A-</t>
        </is>
      </c>
      <c r="H44" s="347" t="n">
        <v>0.0162</v>
      </c>
      <c r="I44" s="187" t="n"/>
      <c r="J44" s="187" t="n"/>
      <c r="K44" s="187" t="n"/>
      <c r="L44" s="187" t="n"/>
      <c r="M44" s="187" t="n"/>
      <c r="N44" s="187" t="n"/>
      <c r="O44" s="187" t="n"/>
      <c r="P44" s="187" t="n"/>
      <c r="Q44" s="187" t="n"/>
      <c r="R44" s="187" t="n"/>
      <c r="S44" s="187" t="n"/>
      <c r="T44" s="187" t="n"/>
    </row>
    <row r="45" customFormat="1" s="49">
      <c r="A45" s="314" t="n">
        <v>1.5</v>
      </c>
      <c r="B45" s="314" t="n">
        <v>1.999999</v>
      </c>
      <c r="C45" s="314" t="inlineStr">
        <is>
          <t>B3/B-</t>
        </is>
      </c>
      <c r="D45" s="347" t="n">
        <v>0.0737</v>
      </c>
      <c r="E45" s="187" t="n"/>
      <c r="F45" s="187" t="n"/>
      <c r="G45" s="314" t="inlineStr">
        <is>
          <t>Aa2/AA</t>
        </is>
      </c>
      <c r="H45" s="347" t="n">
        <v>0.008500000000000001</v>
      </c>
      <c r="I45" s="187" t="n"/>
      <c r="J45" s="187" t="n"/>
      <c r="K45" s="187" t="n"/>
      <c r="L45" s="187" t="n"/>
      <c r="M45" s="187" t="n"/>
      <c r="N45" s="187" t="n"/>
      <c r="O45" s="187" t="n"/>
      <c r="P45" s="187" t="n"/>
      <c r="Q45" s="187" t="n"/>
      <c r="R45" s="187" t="n"/>
      <c r="S45" s="187" t="n"/>
      <c r="T45" s="187" t="n"/>
    </row>
    <row r="46" customFormat="1" s="49">
      <c r="A46" s="314" t="n">
        <v>2</v>
      </c>
      <c r="B46" s="314" t="n">
        <v>2.499999</v>
      </c>
      <c r="C46" s="314" t="inlineStr">
        <is>
          <t>B2/B</t>
        </is>
      </c>
      <c r="D46" s="347" t="n">
        <v>0.0526</v>
      </c>
      <c r="E46" s="187" t="n"/>
      <c r="F46" s="187" t="n"/>
      <c r="G46" s="314" t="inlineStr">
        <is>
          <t>Aaa/AAA</t>
        </is>
      </c>
      <c r="H46" s="347" t="n">
        <v>0.0069</v>
      </c>
      <c r="I46" s="187" t="n"/>
      <c r="J46" s="187" t="n"/>
      <c r="K46" s="187" t="n"/>
      <c r="L46" s="187" t="n"/>
      <c r="M46" s="187" t="n"/>
      <c r="N46" s="187" t="n"/>
      <c r="O46" s="187" t="n"/>
      <c r="P46" s="187" t="n"/>
      <c r="Q46" s="187" t="n"/>
      <c r="R46" s="187" t="n"/>
      <c r="S46" s="187" t="n"/>
      <c r="T46" s="187" t="n"/>
    </row>
    <row r="47" customFormat="1" s="49">
      <c r="A47" s="314" t="n">
        <v>2.5</v>
      </c>
      <c r="B47" s="314" t="n">
        <v>2.999999</v>
      </c>
      <c r="C47" s="314" t="inlineStr">
        <is>
          <t>B1/B+</t>
        </is>
      </c>
      <c r="D47" s="347" t="n">
        <v>0.0455</v>
      </c>
      <c r="E47" s="187" t="n"/>
      <c r="F47" s="187" t="n"/>
      <c r="G47" s="314" t="inlineStr">
        <is>
          <t>B1/B+</t>
        </is>
      </c>
      <c r="H47" s="347" t="n">
        <v>0.0455</v>
      </c>
      <c r="I47" s="187" t="n"/>
      <c r="J47" s="187" t="n"/>
      <c r="K47" s="187" t="n"/>
      <c r="L47" s="187" t="n"/>
      <c r="M47" s="187" t="n"/>
      <c r="N47" s="187" t="n"/>
      <c r="O47" s="187" t="n"/>
      <c r="P47" s="187" t="n"/>
      <c r="Q47" s="187" t="n"/>
      <c r="R47" s="187" t="n"/>
      <c r="S47" s="187" t="n"/>
      <c r="T47" s="187" t="n"/>
    </row>
    <row r="48" customFormat="1" s="49">
      <c r="A48" s="314" t="n">
        <v>3</v>
      </c>
      <c r="B48" s="314" t="n">
        <v>3.499999</v>
      </c>
      <c r="C48" s="314" t="inlineStr">
        <is>
          <t>Ba2/BB</t>
        </is>
      </c>
      <c r="D48" s="347" t="n">
        <v>0.0313</v>
      </c>
      <c r="E48" s="187" t="n"/>
      <c r="F48" s="187" t="n"/>
      <c r="G48" s="314" t="inlineStr">
        <is>
          <t>B2/B</t>
        </is>
      </c>
      <c r="H48" s="347" t="n">
        <v>0.0526</v>
      </c>
      <c r="I48" s="187" t="n"/>
      <c r="J48" s="187" t="n"/>
      <c r="K48" s="187" t="n"/>
      <c r="L48" s="187" t="n"/>
      <c r="M48" s="187" t="n"/>
      <c r="N48" s="187" t="n"/>
      <c r="O48" s="187" t="n"/>
      <c r="P48" s="187" t="n"/>
      <c r="Q48" s="187" t="n"/>
      <c r="R48" s="187" t="n"/>
      <c r="S48" s="187" t="n"/>
      <c r="T48" s="187" t="n"/>
    </row>
    <row r="49" customFormat="1" s="49">
      <c r="A49" s="314" t="n">
        <v>3.5</v>
      </c>
      <c r="B49" s="314" t="n">
        <v>3.9999999</v>
      </c>
      <c r="C49" s="314" t="inlineStr">
        <is>
          <t>Ba1/BB+</t>
        </is>
      </c>
      <c r="D49" s="347" t="n">
        <v>0.0242</v>
      </c>
      <c r="E49" s="187" t="n"/>
      <c r="F49" s="187" t="n"/>
      <c r="G49" s="314" t="inlineStr">
        <is>
          <t>B3/B-</t>
        </is>
      </c>
      <c r="H49" s="347" t="n">
        <v>0.0737</v>
      </c>
      <c r="I49" s="187" t="n"/>
      <c r="J49" s="187" t="n"/>
      <c r="K49" s="187" t="n"/>
      <c r="L49" s="187" t="n"/>
      <c r="M49" s="187" t="n"/>
      <c r="N49" s="187" t="n"/>
      <c r="O49" s="187" t="n"/>
      <c r="P49" s="187" t="n"/>
      <c r="Q49" s="187" t="n"/>
      <c r="R49" s="187" t="n"/>
      <c r="S49" s="187" t="n"/>
      <c r="T49" s="187" t="n"/>
    </row>
    <row r="50" customFormat="1" s="49">
      <c r="A50" s="314" t="n">
        <v>4</v>
      </c>
      <c r="B50" s="314" t="n">
        <v>4.499999</v>
      </c>
      <c r="C50" s="314" t="inlineStr">
        <is>
          <t>Baa2/BBB</t>
        </is>
      </c>
      <c r="D50" s="347" t="n">
        <v>0.02</v>
      </c>
      <c r="E50" s="187" t="n"/>
      <c r="F50" s="187" t="n"/>
      <c r="G50" s="314" t="inlineStr">
        <is>
          <t>Ba1/BB+</t>
        </is>
      </c>
      <c r="H50" s="347" t="n">
        <v>0.0242</v>
      </c>
      <c r="I50" s="187" t="n"/>
      <c r="J50" s="187" t="n"/>
      <c r="K50" s="187" t="n"/>
      <c r="L50" s="187" t="n"/>
      <c r="M50" s="187" t="n"/>
      <c r="N50" s="187" t="n"/>
      <c r="O50" s="187" t="n"/>
      <c r="P50" s="187" t="n"/>
      <c r="Q50" s="187" t="n"/>
      <c r="R50" s="187" t="n"/>
      <c r="S50" s="187" t="n"/>
      <c r="T50" s="187" t="n"/>
    </row>
    <row r="51" customFormat="1" s="49">
      <c r="A51" s="314" t="n">
        <v>4.5</v>
      </c>
      <c r="B51" s="314" t="n">
        <v>5.999999</v>
      </c>
      <c r="C51" s="314" t="inlineStr">
        <is>
          <t>A3/A-</t>
        </is>
      </c>
      <c r="D51" s="347" t="n">
        <v>0.0162</v>
      </c>
      <c r="E51" s="187" t="n"/>
      <c r="F51" s="187" t="n"/>
      <c r="G51" s="314" t="inlineStr">
        <is>
          <t>Ba2/BB</t>
        </is>
      </c>
      <c r="H51" s="347" t="n">
        <v>0.0313</v>
      </c>
      <c r="I51" s="187" t="n"/>
      <c r="J51" s="187" t="n"/>
      <c r="K51" s="187" t="n"/>
      <c r="L51" s="187" t="n"/>
      <c r="M51" s="187" t="n"/>
      <c r="N51" s="187" t="n"/>
      <c r="O51" s="187" t="n"/>
      <c r="P51" s="187" t="n"/>
      <c r="Q51" s="187" t="n"/>
      <c r="R51" s="187" t="n"/>
      <c r="S51" s="187" t="n"/>
      <c r="T51" s="187" t="n"/>
    </row>
    <row r="52" customFormat="1" s="49">
      <c r="A52" s="314" t="n">
        <v>6</v>
      </c>
      <c r="B52" s="314" t="n">
        <v>7.499999</v>
      </c>
      <c r="C52" s="314" t="inlineStr">
        <is>
          <t>A2/A</t>
        </is>
      </c>
      <c r="D52" s="347" t="n">
        <v>0.0142</v>
      </c>
      <c r="E52" s="187" t="n"/>
      <c r="F52" s="187" t="n"/>
      <c r="G52" s="314" t="inlineStr">
        <is>
          <t>Baa2/BBB</t>
        </is>
      </c>
      <c r="H52" s="347" t="n">
        <v>0.02</v>
      </c>
      <c r="I52" s="187" t="n"/>
      <c r="J52" s="187" t="n"/>
      <c r="K52" s="187" t="n"/>
      <c r="L52" s="187" t="n"/>
      <c r="M52" s="187" t="n"/>
      <c r="N52" s="187" t="n"/>
      <c r="O52" s="187" t="n"/>
      <c r="P52" s="187" t="n"/>
      <c r="Q52" s="187" t="n"/>
      <c r="R52" s="187" t="n"/>
      <c r="S52" s="187" t="n"/>
      <c r="T52" s="187" t="n"/>
    </row>
    <row r="53" customFormat="1" s="49">
      <c r="A53" s="314" t="n">
        <v>7.5</v>
      </c>
      <c r="B53" s="314" t="n">
        <v>9.499999000000001</v>
      </c>
      <c r="C53" s="314" t="inlineStr">
        <is>
          <t>A1/A+</t>
        </is>
      </c>
      <c r="D53" s="347" t="n">
        <v>0.0123</v>
      </c>
      <c r="E53" s="187" t="n"/>
      <c r="F53" s="187" t="n"/>
      <c r="G53" s="314" t="inlineStr">
        <is>
          <t>C2/C</t>
        </is>
      </c>
      <c r="H53" s="347" t="n">
        <v>0.175</v>
      </c>
      <c r="I53" s="187" t="n"/>
      <c r="J53" s="187" t="n"/>
      <c r="K53" s="187" t="n"/>
      <c r="L53" s="187" t="n"/>
      <c r="M53" s="187" t="n"/>
      <c r="N53" s="187" t="n"/>
      <c r="O53" s="187" t="n"/>
      <c r="P53" s="187" t="n"/>
      <c r="Q53" s="187" t="n"/>
      <c r="R53" s="187" t="n"/>
      <c r="S53" s="187" t="n"/>
      <c r="T53" s="187" t="n"/>
    </row>
    <row r="54">
      <c r="A54" s="314" t="n">
        <v>9.5</v>
      </c>
      <c r="B54" s="314" t="n">
        <v>12.499999</v>
      </c>
      <c r="C54" s="314" t="inlineStr">
        <is>
          <t>Aa2/AA</t>
        </is>
      </c>
      <c r="D54" s="347" t="n">
        <v>0.008500000000000001</v>
      </c>
      <c r="G54" s="314" t="inlineStr">
        <is>
          <t>Ca2/CC</t>
        </is>
      </c>
      <c r="H54" s="347" t="n">
        <v>0.1578</v>
      </c>
      <c r="U54" s="49" t="n"/>
      <c r="V54" s="49" t="n"/>
      <c r="W54" s="49" t="n"/>
      <c r="X54" s="49" t="n"/>
      <c r="Y54" s="49" t="n"/>
    </row>
    <row r="55">
      <c r="A55" s="314" t="n">
        <v>12.5</v>
      </c>
      <c r="B55" s="314" t="n">
        <v>100000</v>
      </c>
      <c r="C55" s="314" t="inlineStr">
        <is>
          <t>Aaa/AAA</t>
        </is>
      </c>
      <c r="D55" s="347" t="n">
        <v>0.0069</v>
      </c>
      <c r="G55" s="314" t="inlineStr">
        <is>
          <t>Caa/CCC</t>
        </is>
      </c>
      <c r="H55" s="347" t="n">
        <v>0.1157</v>
      </c>
      <c r="U55" s="49" t="n"/>
      <c r="V55" s="49" t="n"/>
      <c r="W55" s="49" t="n"/>
      <c r="X55" s="49" t="n"/>
      <c r="Y55" s="49" t="n"/>
    </row>
    <row r="56">
      <c r="G56" s="314" t="inlineStr">
        <is>
          <t>D2/D</t>
        </is>
      </c>
      <c r="H56" s="347" t="n">
        <v>0.2</v>
      </c>
      <c r="U56" s="49" t="n"/>
      <c r="V56" s="49" t="n"/>
      <c r="W56" s="49" t="n"/>
      <c r="X56" s="49" t="n"/>
      <c r="Y56" s="49" t="n"/>
    </row>
    <row r="57">
      <c r="U57" s="49" t="n"/>
      <c r="V57" s="49" t="n"/>
      <c r="W57" s="49" t="n"/>
      <c r="X57" s="49" t="n"/>
      <c r="Y57" s="49" t="n"/>
    </row>
    <row r="58">
      <c r="U58" s="49" t="n"/>
      <c r="V58" s="49" t="n"/>
      <c r="W58" s="49" t="n"/>
      <c r="X58" s="49" t="n"/>
      <c r="Y58" s="49" t="n"/>
    </row>
    <row r="59">
      <c r="U59" s="49" t="n"/>
      <c r="V59" s="49" t="n"/>
      <c r="W59" s="49" t="n"/>
      <c r="X59" s="49" t="n"/>
      <c r="Y59" s="49" t="n"/>
    </row>
    <row r="60">
      <c r="U60" s="49" t="n"/>
      <c r="V60" s="49" t="n"/>
      <c r="W60" s="49" t="n"/>
      <c r="X60" s="49" t="n"/>
      <c r="Y60" s="49" t="n"/>
    </row>
  </sheetData>
  <mergeCells count="2">
    <mergeCell ref="J19:T19"/>
    <mergeCell ref="A1:L2"/>
  </mergeCells>
  <pageMargins left="0.75" right="0.75" top="1" bottom="1" header="0.5" footer="0.5"/>
  <pageSetup orientation="portrait" horizontalDpi="4294967292" verticalDpi="4294967292"/>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J40"/>
  <sheetViews>
    <sheetView workbookViewId="0">
      <selection activeCell="F8" sqref="F8"/>
    </sheetView>
  </sheetViews>
  <sheetFormatPr baseColWidth="10" defaultRowHeight="13"/>
  <cols>
    <col width="11" bestFit="1" customWidth="1" style="323" min="1" max="3"/>
    <col width="11.1640625" bestFit="1" customWidth="1" style="323" min="4" max="6"/>
    <col width="10.83203125" customWidth="1" style="323" min="7" max="10"/>
  </cols>
  <sheetData>
    <row r="1" ht="18" customFormat="1" customHeight="1" s="6">
      <c r="A1" s="351" t="inlineStr">
        <is>
          <t>R &amp; D Converter</t>
        </is>
      </c>
      <c r="B1" s="351" t="n"/>
      <c r="C1" s="351" t="n"/>
      <c r="D1" s="351" t="n"/>
      <c r="E1" s="351" t="n"/>
      <c r="F1" s="351" t="n"/>
      <c r="G1" s="351" t="n"/>
      <c r="H1" s="351" t="n"/>
      <c r="I1" s="351" t="n"/>
      <c r="J1" s="351" t="n"/>
    </row>
    <row r="2" customFormat="1" s="7">
      <c r="A2" s="325" t="inlineStr">
        <is>
          <t>This spreadsheet converts R&amp;D expenses from operating to capital expenses. It makes the appropriate adjustments to operating income, net</t>
        </is>
      </c>
      <c r="B2" s="325" t="n"/>
      <c r="C2" s="325" t="n"/>
      <c r="D2" s="325" t="n"/>
      <c r="E2" s="325" t="n"/>
      <c r="F2" s="325" t="n"/>
      <c r="G2" s="325" t="n"/>
      <c r="H2" s="325" t="n"/>
      <c r="I2" s="325" t="n"/>
      <c r="J2" s="325" t="n"/>
    </row>
    <row r="3" customFormat="1" s="7">
      <c r="A3" s="325" t="inlineStr">
        <is>
          <t>income, the book value of assets and the book value of equity.</t>
        </is>
      </c>
      <c r="B3" s="325" t="n"/>
      <c r="C3" s="325" t="n"/>
      <c r="D3" s="325" t="n"/>
      <c r="E3" s="325" t="n"/>
      <c r="F3" s="325" t="n"/>
      <c r="G3" s="325" t="n"/>
      <c r="H3" s="325" t="n"/>
      <c r="I3" s="325" t="n"/>
      <c r="J3" s="325" t="n"/>
    </row>
    <row r="4" customFormat="1" s="7">
      <c r="A4" s="325" t="n"/>
      <c r="B4" s="325" t="n"/>
      <c r="C4" s="325" t="n"/>
      <c r="D4" s="325" t="n"/>
      <c r="E4" s="325" t="n"/>
      <c r="F4" s="325" t="n"/>
      <c r="G4" s="325" t="n"/>
      <c r="H4" s="325" t="n"/>
      <c r="I4" s="325" t="n"/>
      <c r="J4" s="325" t="n"/>
    </row>
    <row r="5" customFormat="1" s="7">
      <c r="A5" s="329" t="inlineStr">
        <is>
          <t>Inputs</t>
        </is>
      </c>
      <c r="B5" s="325" t="n"/>
      <c r="C5" s="325" t="n"/>
      <c r="D5" s="325" t="n"/>
      <c r="E5" s="325" t="n"/>
      <c r="F5" s="325" t="n"/>
      <c r="G5" s="325" t="n"/>
      <c r="H5" s="325" t="n"/>
      <c r="I5" s="325" t="n"/>
      <c r="J5" s="325" t="n"/>
    </row>
    <row r="6" customFormat="1" s="7">
      <c r="A6" s="325" t="inlineStr">
        <is>
          <t>Over how many years do you want to amortize R&amp;D expenses</t>
        </is>
      </c>
      <c r="B6" s="325" t="n">
        <v>5</v>
      </c>
      <c r="C6" s="325" t="n"/>
      <c r="D6" s="325" t="n"/>
      <c r="E6" s="325" t="n"/>
      <c r="F6" s="352" t="n">
        <v>5</v>
      </c>
      <c r="G6" s="325" t="inlineStr">
        <is>
          <t>! If in doubt, use the lookup table below</t>
        </is>
      </c>
      <c r="H6" s="325" t="n"/>
      <c r="I6" s="325" t="n"/>
      <c r="J6" s="325" t="n"/>
    </row>
    <row r="7" customFormat="1" s="7">
      <c r="A7" s="325" t="inlineStr">
        <is>
          <t>Enter the current year's R&amp;D expense =</t>
        </is>
      </c>
      <c r="B7" s="325" t="n">
        <v>2288.204</v>
      </c>
      <c r="C7" s="325" t="n"/>
      <c r="D7" s="325" t="n"/>
      <c r="E7" s="325" t="n"/>
      <c r="F7" s="823" t="n">
        <v>11665</v>
      </c>
      <c r="G7" s="325" t="inlineStr">
        <is>
          <t>The maximum allowed is ten years</t>
        </is>
      </c>
      <c r="H7" s="325" t="n"/>
      <c r="I7" s="325" t="n"/>
      <c r="J7" s="325" t="n"/>
    </row>
    <row r="8" customFormat="1" s="7">
      <c r="A8" s="325" t="inlineStr">
        <is>
          <t>Enter R&amp; D expenses for past years: the number of years that you will need to enter will be determined by the amortization period</t>
        </is>
      </c>
      <c r="B8" s="325" t="n"/>
      <c r="C8" s="325" t="n"/>
      <c r="D8" s="325" t="n"/>
      <c r="E8" s="325" t="n"/>
      <c r="F8" s="325" t="n"/>
      <c r="G8" s="325" t="n"/>
      <c r="H8" s="325" t="n"/>
      <c r="I8" s="325" t="n"/>
      <c r="J8" s="325" t="n"/>
    </row>
    <row r="9" customFormat="1" s="7">
      <c r="A9" s="325" t="inlineStr">
        <is>
          <t>Do not input numbers in the first column (Year). It will get automatically updated  based on the input above.</t>
        </is>
      </c>
      <c r="B9" s="325" t="n"/>
      <c r="C9" s="325" t="n"/>
      <c r="D9" s="325" t="n"/>
      <c r="E9" s="325" t="n"/>
      <c r="F9" s="325" t="n"/>
      <c r="G9" s="325" t="n"/>
      <c r="H9" s="325" t="n"/>
      <c r="I9" s="325" t="n"/>
      <c r="J9" s="325" t="n"/>
    </row>
    <row r="10" customFormat="1" s="70">
      <c r="A10" s="354" t="inlineStr">
        <is>
          <t>Year</t>
        </is>
      </c>
      <c r="B10" s="354" t="inlineStr">
        <is>
          <t>R&amp; D Expenses</t>
        </is>
      </c>
      <c r="C10" s="355" t="n"/>
      <c r="D10" s="355" t="n"/>
      <c r="E10" s="355" t="n"/>
      <c r="F10" s="355" t="n"/>
      <c r="G10" s="355" t="n"/>
      <c r="H10" s="355" t="n"/>
      <c r="I10" s="355" t="n"/>
      <c r="J10" s="356" t="n"/>
    </row>
    <row r="11" customFormat="1" s="70">
      <c r="A11" s="357" t="n">
        <v>-1</v>
      </c>
      <c r="B11" s="358" t="n">
        <v>2027.532</v>
      </c>
      <c r="C11" s="355" t="inlineStr">
        <is>
          <t>! Year -1 is the year prior to the current year</t>
        </is>
      </c>
      <c r="D11" s="355" t="n"/>
      <c r="E11" s="355" t="n"/>
      <c r="F11" s="355" t="n"/>
      <c r="G11" s="355" t="n"/>
      <c r="H11" s="355" t="n"/>
      <c r="I11" s="355" t="n"/>
      <c r="J11" s="356" t="n"/>
    </row>
    <row r="12" customFormat="1" s="70">
      <c r="A12" s="357">
        <f>IF((0-A11)&lt;$F$6,IF(A11&gt;-1,,A11-1),)</f>
        <v/>
      </c>
      <c r="B12" s="358" t="n">
        <v>2195.329</v>
      </c>
      <c r="C12" s="355" t="inlineStr">
        <is>
          <t>! Year -2 is the two years prior to the current year</t>
        </is>
      </c>
      <c r="D12" s="355" t="n"/>
      <c r="E12" s="355" t="n"/>
      <c r="F12" s="355" t="n"/>
      <c r="G12" s="355" t="n"/>
      <c r="H12" s="355" t="n"/>
      <c r="I12" s="355" t="n"/>
      <c r="J12" s="356" t="n"/>
    </row>
    <row r="13" customFormat="1" s="70">
      <c r="A13" s="357">
        <f>IF((0-A12)&lt;$F$6,IF(A12&gt;-1,,A12-1),)</f>
        <v/>
      </c>
      <c r="B13" s="358" t="n">
        <v>2073.461</v>
      </c>
      <c r="C13" s="355" t="n"/>
      <c r="D13" s="355" t="n"/>
      <c r="E13" s="355" t="n"/>
      <c r="F13" s="355" t="n"/>
      <c r="G13" s="355" t="n"/>
      <c r="H13" s="355" t="n"/>
      <c r="I13" s="355" t="n"/>
      <c r="J13" s="356" t="n"/>
    </row>
    <row r="14" customFormat="1" s="70">
      <c r="A14" s="357">
        <f>IF((0-A13)&lt;$F$6,IF(A13&gt;-1,,A13-1),)</f>
        <v/>
      </c>
      <c r="B14" s="358" t="n">
        <v>1453.912</v>
      </c>
      <c r="C14" s="355" t="n"/>
      <c r="D14" s="355" t="n"/>
      <c r="E14" s="355" t="n"/>
      <c r="F14" s="355" t="n"/>
      <c r="G14" s="355" t="n"/>
      <c r="H14" s="355" t="n"/>
      <c r="I14" s="355" t="n"/>
      <c r="J14" s="356" t="n"/>
    </row>
    <row r="15" customFormat="1" s="70">
      <c r="A15" s="357">
        <f>IF((0-A14)&lt;$F$6,IF(A14&gt;-1,,A14-1),)</f>
        <v/>
      </c>
      <c r="B15" s="358" t="n">
        <v>1335.744</v>
      </c>
      <c r="C15" s="355" t="n"/>
      <c r="D15" s="355" t="n"/>
      <c r="E15" s="355" t="n"/>
      <c r="F15" s="355" t="n"/>
      <c r="G15" s="355" t="n"/>
      <c r="H15" s="355" t="n"/>
      <c r="I15" s="355" t="n"/>
      <c r="J15" s="356" t="n"/>
    </row>
    <row r="16" customFormat="1" s="70">
      <c r="A16" s="357">
        <f>IF((0-A15)&lt;$F$6,IF(A15&gt;-1,,A15-1),)</f>
        <v/>
      </c>
      <c r="B16" s="358" t="n">
        <v>1266.341</v>
      </c>
      <c r="C16" s="355" t="n"/>
      <c r="D16" s="355" t="n"/>
      <c r="E16" s="355" t="n"/>
      <c r="F16" s="355" t="n"/>
      <c r="G16" s="355" t="n"/>
      <c r="H16" s="355" t="n"/>
      <c r="I16" s="355" t="n"/>
      <c r="J16" s="356" t="n"/>
    </row>
    <row r="17" customFormat="1" s="70">
      <c r="A17" s="357">
        <f>IF((0-A16)&lt;$F$6,IF(A16&gt;-1,,A16-1),)</f>
        <v/>
      </c>
      <c r="B17" s="358" t="n">
        <v>1273.729</v>
      </c>
      <c r="C17" s="355" t="n"/>
      <c r="D17" s="355" t="n"/>
      <c r="E17" s="355" t="n"/>
      <c r="F17" s="355" t="n"/>
      <c r="G17" s="355" t="n"/>
      <c r="H17" s="355" t="n"/>
      <c r="I17" s="355" t="n"/>
      <c r="J17" s="356" t="n"/>
    </row>
    <row r="18" customFormat="1" s="70">
      <c r="A18" s="357">
        <f>IF((0-A17)&lt;$F$6,IF(A17&gt;-1,,A17-1),)</f>
        <v/>
      </c>
      <c r="B18" s="358" t="n">
        <v>1361.691</v>
      </c>
      <c r="C18" s="355" t="n"/>
      <c r="D18" s="355" t="n"/>
      <c r="E18" s="355" t="n"/>
      <c r="F18" s="355" t="n"/>
      <c r="G18" s="355" t="n"/>
      <c r="H18" s="355" t="n"/>
      <c r="I18" s="355" t="n"/>
      <c r="J18" s="356" t="n"/>
    </row>
    <row r="19" customFormat="1" s="70">
      <c r="A19" s="357">
        <f>IF((0-A18)&lt;$F$6,IF(A18&gt;-1,,A18-1),)</f>
        <v/>
      </c>
      <c r="B19" s="358" t="n">
        <v>1491.37</v>
      </c>
      <c r="C19" s="355" t="n"/>
      <c r="D19" s="355" t="n"/>
      <c r="E19" s="355" t="n"/>
      <c r="F19" s="355" t="n"/>
      <c r="G19" s="355" t="n"/>
      <c r="H19" s="355" t="n"/>
      <c r="I19" s="355" t="n"/>
      <c r="J19" s="356" t="n"/>
    </row>
    <row r="20" customFormat="1" s="70">
      <c r="A20" s="357">
        <f>IF((0-A19)&lt;$F$6,IF(A19&gt;-1,,A19-1),)</f>
        <v/>
      </c>
      <c r="B20" s="358" t="n">
        <v>1220.919</v>
      </c>
      <c r="C20" s="355" t="n"/>
      <c r="D20" s="355" t="n"/>
      <c r="E20" s="355" t="n"/>
      <c r="F20" s="355" t="n"/>
      <c r="G20" s="355" t="n"/>
      <c r="H20" s="355" t="n"/>
      <c r="I20" s="355" t="n"/>
      <c r="J20" s="356" t="n"/>
    </row>
    <row r="21" customFormat="1" s="70">
      <c r="A21" s="355" t="n"/>
      <c r="B21" s="355" t="n"/>
      <c r="C21" s="355" t="n"/>
      <c r="D21" s="355" t="n"/>
      <c r="E21" s="355" t="n"/>
      <c r="F21" s="355" t="n"/>
      <c r="G21" s="355" t="n"/>
      <c r="H21" s="355" t="n"/>
      <c r="I21" s="355" t="n"/>
      <c r="J21" s="356" t="n"/>
    </row>
    <row r="22" customFormat="1" s="70">
      <c r="A22" s="359" t="inlineStr">
        <is>
          <t>Output</t>
        </is>
      </c>
      <c r="B22" s="355" t="n"/>
      <c r="C22" s="355" t="n"/>
      <c r="D22" s="355" t="n"/>
      <c r="E22" s="355" t="n"/>
      <c r="F22" s="355" t="n"/>
      <c r="G22" s="355" t="n"/>
      <c r="H22" s="355" t="n"/>
      <c r="I22" s="355" t="n"/>
      <c r="J22" s="356" t="n"/>
    </row>
    <row r="23" customFormat="1" s="70">
      <c r="A23" s="354" t="inlineStr">
        <is>
          <t>Year</t>
        </is>
      </c>
      <c r="B23" s="354" t="inlineStr">
        <is>
          <t>R&amp;D Expense</t>
        </is>
      </c>
      <c r="C23" s="360" t="inlineStr">
        <is>
          <t>Unamortized portion</t>
        </is>
      </c>
      <c r="D23" s="361" t="n"/>
      <c r="E23" s="355" t="inlineStr">
        <is>
          <t>Amortization this year</t>
        </is>
      </c>
      <c r="F23" s="355" t="n"/>
      <c r="G23" s="355" t="n"/>
      <c r="H23" s="355" t="n"/>
      <c r="I23" s="355" t="n"/>
      <c r="J23" s="356" t="n"/>
    </row>
    <row r="24" customFormat="1" s="70">
      <c r="A24" s="354" t="inlineStr">
        <is>
          <t>Current</t>
        </is>
      </c>
      <c r="B24" s="354">
        <f>F7</f>
        <v/>
      </c>
      <c r="C24" s="354">
        <f>1</f>
        <v/>
      </c>
      <c r="D24" s="354">
        <f>B24*C24</f>
        <v/>
      </c>
      <c r="E24" s="355" t="n"/>
      <c r="F24" s="355" t="n"/>
      <c r="G24" s="355" t="n"/>
      <c r="H24" s="355" t="n"/>
      <c r="I24" s="355" t="n"/>
      <c r="J24" s="356" t="n"/>
    </row>
    <row r="25" customFormat="1" s="70">
      <c r="A25" s="357">
        <f>A11</f>
        <v/>
      </c>
      <c r="B25" s="354">
        <f>B11</f>
        <v/>
      </c>
      <c r="C25" s="354">
        <f>IF(A25&lt;0,($F$6+A25)/$F$6,0)</f>
        <v/>
      </c>
      <c r="D25" s="354">
        <f>B25*C25</f>
        <v/>
      </c>
      <c r="E25" s="824">
        <f>IF(A25&lt;0,B25/$F$6,0)</f>
        <v/>
      </c>
      <c r="F25" s="355" t="n"/>
      <c r="G25" s="355" t="n"/>
      <c r="H25" s="355" t="n"/>
      <c r="I25" s="355" t="n"/>
      <c r="J25" s="356" t="n"/>
    </row>
    <row r="26" customFormat="1" s="70">
      <c r="A26" s="357">
        <f>A12</f>
        <v/>
      </c>
      <c r="B26" s="354">
        <f>B12</f>
        <v/>
      </c>
      <c r="C26" s="354">
        <f>IF(A26&lt;0,($F$6+A26)/$F$6,0)</f>
        <v/>
      </c>
      <c r="D26" s="354">
        <f>B26*C26</f>
        <v/>
      </c>
      <c r="E26" s="824">
        <f>IF(A26&lt;0,B26/$F$6,0)</f>
        <v/>
      </c>
      <c r="F26" s="355" t="n"/>
      <c r="G26" s="355" t="n"/>
      <c r="H26" s="355" t="n"/>
      <c r="I26" s="355" t="n"/>
      <c r="J26" s="356" t="n"/>
    </row>
    <row r="27" customFormat="1" s="70">
      <c r="A27" s="357">
        <f>A13</f>
        <v/>
      </c>
      <c r="B27" s="354">
        <f>B13</f>
        <v/>
      </c>
      <c r="C27" s="354">
        <f>IF(A27&lt;0,($F$6+A27)/$F$6,0)</f>
        <v/>
      </c>
      <c r="D27" s="354">
        <f>B27*C27</f>
        <v/>
      </c>
      <c r="E27" s="824">
        <f>IF(A27&lt;0,B27/$F$6,0)</f>
        <v/>
      </c>
      <c r="F27" s="355" t="n"/>
      <c r="G27" s="355" t="n"/>
      <c r="H27" s="355" t="n"/>
      <c r="I27" s="355" t="n"/>
      <c r="J27" s="356" t="n"/>
    </row>
    <row r="28" customFormat="1" s="70">
      <c r="A28" s="357">
        <f>A14</f>
        <v/>
      </c>
      <c r="B28" s="354">
        <f>B14</f>
        <v/>
      </c>
      <c r="C28" s="354">
        <f>IF(A28&lt;0,($F$6+A28)/$F$6,0)</f>
        <v/>
      </c>
      <c r="D28" s="354">
        <f>B28*C28</f>
        <v/>
      </c>
      <c r="E28" s="824">
        <f>IF(A28&lt;0,B28/$F$6,0)</f>
        <v/>
      </c>
      <c r="F28" s="355" t="n"/>
      <c r="G28" s="355" t="n"/>
      <c r="H28" s="355" t="n"/>
      <c r="I28" s="355" t="n"/>
      <c r="J28" s="356" t="n"/>
    </row>
    <row r="29" customFormat="1" s="70">
      <c r="A29" s="357">
        <f>A15</f>
        <v/>
      </c>
      <c r="B29" s="354">
        <f>B15</f>
        <v/>
      </c>
      <c r="C29" s="354">
        <f>IF(A29&lt;0,($F$6+A29)/$F$6,0)</f>
        <v/>
      </c>
      <c r="D29" s="354">
        <f>B29*C29</f>
        <v/>
      </c>
      <c r="E29" s="824">
        <f>IF(A29&lt;0,B29/$F$6,0)</f>
        <v/>
      </c>
      <c r="F29" s="355" t="n"/>
      <c r="G29" s="355" t="n"/>
      <c r="H29" s="355" t="n"/>
      <c r="I29" s="355" t="n"/>
      <c r="J29" s="356" t="n"/>
    </row>
    <row r="30" customFormat="1" s="70">
      <c r="A30" s="357">
        <f>A16</f>
        <v/>
      </c>
      <c r="B30" s="354">
        <f>B16</f>
        <v/>
      </c>
      <c r="C30" s="354">
        <f>IF(A30&lt;0,($F$6+A30)/$F$6,0)</f>
        <v/>
      </c>
      <c r="D30" s="354">
        <f>B30*C30</f>
        <v/>
      </c>
      <c r="E30" s="824">
        <f>IF(A30&lt;0,B30/$F$6,0)</f>
        <v/>
      </c>
      <c r="F30" s="355" t="n"/>
      <c r="G30" s="355" t="n"/>
      <c r="H30" s="355" t="n"/>
      <c r="I30" s="355" t="n"/>
      <c r="J30" s="356" t="n"/>
    </row>
    <row r="31" customFormat="1" s="70">
      <c r="A31" s="357">
        <f>A17</f>
        <v/>
      </c>
      <c r="B31" s="354">
        <f>B17</f>
        <v/>
      </c>
      <c r="C31" s="354">
        <f>IF(A31&lt;0,($F$6+A31)/$F$6,0)</f>
        <v/>
      </c>
      <c r="D31" s="354">
        <f>B31*C31</f>
        <v/>
      </c>
      <c r="E31" s="824">
        <f>IF(A31&lt;0,B31/$F$6,0)</f>
        <v/>
      </c>
      <c r="F31" s="355" t="n"/>
      <c r="G31" s="355" t="n"/>
      <c r="H31" s="355" t="n"/>
      <c r="I31" s="355" t="n"/>
      <c r="J31" s="356" t="n"/>
    </row>
    <row r="32" customFormat="1" s="70">
      <c r="A32" s="357">
        <f>A18</f>
        <v/>
      </c>
      <c r="B32" s="354">
        <f>B18</f>
        <v/>
      </c>
      <c r="C32" s="354">
        <f>IF(A32&lt;0,($F$6+A32)/$F$6,0)</f>
        <v/>
      </c>
      <c r="D32" s="354">
        <f>B32*C32</f>
        <v/>
      </c>
      <c r="E32" s="824">
        <f>IF(A32&lt;0,B32/$F$6,0)</f>
        <v/>
      </c>
      <c r="F32" s="355" t="n"/>
      <c r="G32" s="355" t="n"/>
      <c r="H32" s="355" t="n"/>
      <c r="I32" s="355" t="n"/>
      <c r="J32" s="356" t="n"/>
    </row>
    <row r="33" customFormat="1" s="70">
      <c r="A33" s="357">
        <f>A19</f>
        <v/>
      </c>
      <c r="B33" s="354">
        <f>B19</f>
        <v/>
      </c>
      <c r="C33" s="354">
        <f>IF(A33&lt;0,($F$6+A33)/$F$6,0)</f>
        <v/>
      </c>
      <c r="D33" s="354">
        <f>B33*C33</f>
        <v/>
      </c>
      <c r="E33" s="824">
        <f>IF(A33&lt;0,B33/$F$6,0)</f>
        <v/>
      </c>
      <c r="F33" s="355" t="n"/>
      <c r="G33" s="355" t="n"/>
      <c r="H33" s="355" t="n"/>
      <c r="I33" s="355" t="n"/>
      <c r="J33" s="356" t="n"/>
    </row>
    <row r="34" ht="16" customFormat="1" customHeight="1" s="70" thickBot="1">
      <c r="A34" s="357">
        <f>A20</f>
        <v/>
      </c>
      <c r="B34" s="354">
        <f>B20</f>
        <v/>
      </c>
      <c r="C34" s="354">
        <f>IF(A34&lt;0,($F$6+A34)/$F$6,0)</f>
        <v/>
      </c>
      <c r="D34" s="363">
        <f>B34*C34</f>
        <v/>
      </c>
      <c r="E34" s="825">
        <f>IF(A34&lt;0,B34/$F$6,0)</f>
        <v/>
      </c>
      <c r="F34" s="355" t="n"/>
      <c r="G34" s="355" t="n"/>
      <c r="H34" s="355" t="n"/>
      <c r="I34" s="355" t="n"/>
      <c r="J34" s="356" t="n"/>
    </row>
    <row r="35" ht="14" customFormat="1" customHeight="1" s="7" thickBot="1">
      <c r="A35" s="325" t="inlineStr">
        <is>
          <t>Value of Research Asset =</t>
        </is>
      </c>
      <c r="B35" s="325" t="n"/>
      <c r="C35" s="325" t="n"/>
      <c r="D35" s="826">
        <f>SUM(D24:D34)</f>
        <v/>
      </c>
      <c r="E35" s="826">
        <f>SUM(E25:E34)</f>
        <v/>
      </c>
      <c r="F35" s="325" t="n"/>
      <c r="G35" s="325" t="n"/>
      <c r="H35" s="325" t="n"/>
      <c r="I35" s="325" t="n"/>
      <c r="J35" s="325" t="n"/>
    </row>
    <row r="36" ht="14" customHeight="1" thickBot="1">
      <c r="D36" s="827" t="n"/>
      <c r="E36" s="827" t="n"/>
    </row>
    <row r="37" ht="14" customFormat="1" customHeight="1" s="7" thickBot="1">
      <c r="A37" s="325" t="inlineStr">
        <is>
          <t>Amortization of asset for current year =</t>
        </is>
      </c>
      <c r="B37" s="325" t="n"/>
      <c r="C37" s="325" t="n"/>
      <c r="D37" s="826">
        <f>E35</f>
        <v/>
      </c>
      <c r="E37" s="828" t="n"/>
      <c r="F37" s="325" t="n"/>
      <c r="G37" s="325" t="n"/>
      <c r="H37" s="325" t="n"/>
      <c r="I37" s="325" t="n"/>
      <c r="J37" s="325" t="n"/>
    </row>
    <row r="38" ht="14" customFormat="1" customHeight="1" s="7" thickBot="1">
      <c r="A38" s="325" t="n"/>
      <c r="B38" s="325" t="n"/>
      <c r="C38" s="325" t="n"/>
      <c r="D38" s="325" t="n"/>
      <c r="E38" s="325" t="n"/>
      <c r="F38" s="325" t="n"/>
      <c r="G38" s="325" t="n"/>
      <c r="H38" s="325" t="n"/>
      <c r="I38" s="325" t="n"/>
      <c r="J38" s="325" t="n"/>
    </row>
    <row r="39" customFormat="1" s="7">
      <c r="A39" s="325" t="inlineStr">
        <is>
          <t>Adjustment to Operating Income =</t>
        </is>
      </c>
      <c r="B39" s="325" t="n"/>
      <c r="C39" s="325" t="n"/>
      <c r="D39" s="829">
        <f>F7-D37</f>
        <v/>
      </c>
      <c r="E39" s="325" t="inlineStr">
        <is>
          <t>! A positive number indicates an increase in operating income (add to reported EBIT)</t>
        </is>
      </c>
      <c r="F39" s="325" t="n"/>
      <c r="G39" s="325" t="n"/>
      <c r="H39" s="325" t="n"/>
      <c r="I39" s="325" t="n"/>
      <c r="J39" s="325" t="n"/>
    </row>
    <row r="40" ht="14" customHeight="1">
      <c r="A40" s="323" t="inlineStr">
        <is>
          <t>Tax Effect of R&amp;D Expensing</t>
        </is>
      </c>
      <c r="D40" s="830">
        <f>D39*'Input sheet'!B23</f>
        <v/>
      </c>
      <c r="E40" s="325" t="n"/>
    </row>
  </sheetData>
  <conditionalFormatting sqref="B14:B20">
    <cfRule type="cellIs" priority="2" operator="equal" dxfId="0" stopIfTrue="1">
      <formula>0</formula>
    </cfRule>
  </conditionalFormatting>
  <conditionalFormatting sqref="B11:B13">
    <cfRule type="cellIs" priority="1" operator="equal" dxfId="0" stopIfTrue="1">
      <formula>0</formula>
    </cfRule>
  </conditionalFormatting>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T81"/>
  <sheetViews>
    <sheetView topLeftCell="A45" zoomScale="130" zoomScaleNormal="130" workbookViewId="0">
      <selection activeCell="I9" sqref="I9:I15"/>
    </sheetView>
  </sheetViews>
  <sheetFormatPr baseColWidth="10" defaultRowHeight="13"/>
  <cols>
    <col width="40.1640625" bestFit="1" customWidth="1" min="1" max="1"/>
    <col width="17.33203125" bestFit="1" customWidth="1" min="2" max="2"/>
    <col width="12.83203125" bestFit="1" customWidth="1" min="3" max="3"/>
    <col width="13.6640625" customWidth="1" min="4" max="4"/>
    <col width="12" customWidth="1" min="5" max="5"/>
    <col width="19.5" bestFit="1" customWidth="1" min="7" max="7"/>
    <col width="16.33203125" customWidth="1" min="8" max="8"/>
    <col width="18.1640625" bestFit="1" customWidth="1" min="11" max="11"/>
    <col width="17.5" customWidth="1" min="12" max="12"/>
  </cols>
  <sheetData>
    <row r="1" ht="13" customHeight="1">
      <c r="A1" s="831" t="inlineStr">
        <is>
          <t>You can use this spreadsheet to compute your cost of capital. You can either use the built-in data to compute key inputs (beta, equity risk premium, default spread) or enter them directly. If you choose to use the built in ERP data, you can update the ERP numbers to reflect a more current mature market premuum (since the spreadsheet uses the start of the year numbers).</t>
        </is>
      </c>
      <c r="B1" s="743" t="n"/>
      <c r="C1" s="743" t="n"/>
      <c r="D1" s="743" t="n"/>
      <c r="E1" s="743" t="n"/>
      <c r="F1" s="743" t="n"/>
      <c r="G1" s="743" t="n"/>
      <c r="H1" s="743" t="n"/>
      <c r="I1" s="743" t="n"/>
      <c r="J1" s="743" t="n"/>
      <c r="K1" s="744" t="n"/>
    </row>
    <row r="2">
      <c r="A2" s="748" t="n"/>
      <c r="B2" s="749" t="n"/>
      <c r="C2" s="749" t="n"/>
      <c r="D2" s="749" t="n"/>
      <c r="E2" s="749" t="n"/>
      <c r="F2" s="749" t="n"/>
      <c r="G2" s="749" t="n"/>
      <c r="H2" s="749" t="n"/>
      <c r="I2" s="749" t="n"/>
      <c r="J2" s="749" t="n"/>
      <c r="K2" s="750" t="n"/>
    </row>
    <row r="3" ht="19" customFormat="1" customHeight="1" s="34" thickBot="1">
      <c r="A3" s="679" t="inlineStr">
        <is>
          <t>Estimation of Current Cost of Capital</t>
        </is>
      </c>
      <c r="B3" s="767" t="n"/>
      <c r="C3" s="767" t="n"/>
      <c r="D3" s="767" t="n"/>
      <c r="E3" s="767" t="n"/>
      <c r="G3" s="47" t="inlineStr">
        <is>
          <t>Operating Countries ERP calculator</t>
        </is>
      </c>
    </row>
    <row r="4" ht="15" customFormat="1" customHeight="1" s="9">
      <c r="A4" s="832" t="inlineStr">
        <is>
          <t>There are four ways in whch you can estimate your cost of capital. In the first, you can directly input a cost of captial. In the second, you can work through your company's cost of capital inputs in detail, entering business, geogaphical mix and debt, and I will help you estimate a cost of capital. In the third, you can look up the cost of capital for the industry your firm belongs to and in the fourth, you can use a crosssectoinal distribution  of costs of capital for companies at the start of the year to make your estimate.</t>
        </is>
      </c>
      <c r="B4" s="710" t="n"/>
      <c r="C4" s="710" t="n"/>
      <c r="D4" s="710" t="n"/>
      <c r="E4" s="711" t="n"/>
      <c r="F4" s="34" t="n"/>
      <c r="G4" s="57" t="inlineStr">
        <is>
          <t>Country</t>
        </is>
      </c>
      <c r="H4" s="57" t="inlineStr">
        <is>
          <t>Revenues</t>
        </is>
      </c>
      <c r="I4" s="57" t="inlineStr">
        <is>
          <t>ERP</t>
        </is>
      </c>
      <c r="J4" s="57" t="inlineStr">
        <is>
          <t>Weight</t>
        </is>
      </c>
      <c r="K4" s="57" t="inlineStr">
        <is>
          <t>Weighted ERP</t>
        </is>
      </c>
    </row>
    <row r="5" ht="15" customFormat="1" customHeight="1" s="7">
      <c r="A5" s="766" t="n"/>
      <c r="E5" s="713" t="n"/>
      <c r="F5" s="34" t="n"/>
      <c r="G5" s="55" t="inlineStr">
        <is>
          <t>United States</t>
        </is>
      </c>
      <c r="H5" s="55" t="n">
        <v>26966</v>
      </c>
      <c r="I5" s="41">
        <f>IF(H5=0,0,VLOOKUP(G5,'Country equity risk premiums'!$A$5:$D$196,4))</f>
        <v/>
      </c>
      <c r="J5" s="41">
        <f>IF(H5&gt;0,H5/$H$18,)</f>
        <v/>
      </c>
      <c r="K5" s="41">
        <f>IF(J5=0,0,I5*J5)</f>
        <v/>
      </c>
      <c r="M5" s="672" t="inlineStr">
        <is>
          <t>The last two rows in each of country/region risk premium tables is set aside for your input to provide you with flexibility to enter some numbers directly. For instance, assume that you have a company that breaks its revenues down into three countries and then puts the rest into "Rest of the World". You can enter the "Rest of the World" in one of these two rows and enter an equity risk premium for the rest of the world. The easiest way to do that is to go into the country equity risk premium worksheet and change the GDP for the three countries that you have data for to zero and compute the global weighted average ERP for the remaining countries. With the regional worksheet, you can use the last two rows to enter the data for an individual country (usually the domestic country) that might be broken out though the rest of the revenues are broken down by region. You can look up the ERP for the country in the country ERP worksheet.</t>
        </is>
      </c>
      <c r="S5" s="506" t="inlineStr">
        <is>
          <t>United States</t>
        </is>
      </c>
      <c r="T5" s="833" t="n">
        <v>26966</v>
      </c>
    </row>
    <row r="6" ht="15" customFormat="1" customHeight="1" s="7">
      <c r="A6" s="766" t="n"/>
      <c r="E6" s="713" t="n"/>
      <c r="F6" s="34" t="n"/>
      <c r="G6" s="55" t="inlineStr">
        <is>
          <t>China</t>
        </is>
      </c>
      <c r="H6" s="55" t="n">
        <v>10306</v>
      </c>
      <c r="I6" s="41">
        <f>IF(H6=0,0,VLOOKUP(G6,'Country equity risk premiums'!$A$5:$D$196,4))</f>
        <v/>
      </c>
      <c r="J6" s="41">
        <f>IF(H6&gt;0,H6/$H$18,)</f>
        <v/>
      </c>
      <c r="K6" s="41">
        <f>IF(J6=0,0,I6*J6)</f>
        <v/>
      </c>
      <c r="S6" s="506" t="inlineStr">
        <is>
          <t>Taiwan</t>
        </is>
      </c>
      <c r="T6" s="833" t="n">
        <v>13405</v>
      </c>
    </row>
    <row r="7" ht="15" customFormat="1" customHeight="1" s="7">
      <c r="A7" s="766" t="n"/>
      <c r="E7" s="713" t="n"/>
      <c r="F7" s="34" t="n"/>
      <c r="G7" s="55" t="inlineStr">
        <is>
          <t>Taiwan</t>
        </is>
      </c>
      <c r="H7" s="55" t="n">
        <v>13405</v>
      </c>
      <c r="I7" s="41">
        <f>IF(H7=0,0,VLOOKUP(G7,'Country equity risk premiums'!$A$5:$D$196,4))</f>
        <v/>
      </c>
      <c r="J7" s="41">
        <f>IF(H7&gt;0,H7/$H$18,)</f>
        <v/>
      </c>
      <c r="K7" s="41">
        <f>IF(J7=0,0,I7*J7)</f>
        <v/>
      </c>
      <c r="S7" s="506" t="inlineStr">
        <is>
          <t>China (Including Hong Kong)</t>
        </is>
      </c>
      <c r="T7" s="833" t="n">
        <v>10306</v>
      </c>
    </row>
    <row r="8" ht="15" customFormat="1" customHeight="1" s="7">
      <c r="A8" s="766" t="n"/>
      <c r="E8" s="713" t="n"/>
      <c r="F8" s="34" t="n"/>
      <c r="G8" s="55" t="n"/>
      <c r="H8" s="55" t="n"/>
      <c r="I8" s="41">
        <f>IF(H8=0,0,VLOOKUP(G8,'Country equity risk premiums'!$A$5:$D$196,4))</f>
        <v/>
      </c>
      <c r="J8" s="41">
        <f>IF(H8&gt;0,H8/$H$18,)</f>
        <v/>
      </c>
      <c r="K8" s="41">
        <f>IF(J8=0,0,I8*J8)</f>
        <v/>
      </c>
      <c r="S8" s="506" t="inlineStr">
        <is>
          <t>Other Countries</t>
        </is>
      </c>
      <c r="T8" s="833" t="n">
        <v>10245</v>
      </c>
    </row>
    <row r="9" ht="15" customFormat="1" customHeight="1" s="7" thickBot="1">
      <c r="A9" s="778" t="n"/>
      <c r="B9" s="809" t="n"/>
      <c r="C9" s="809" t="n"/>
      <c r="D9" s="809" t="n"/>
      <c r="E9" s="779" t="n"/>
      <c r="F9" s="34" t="n"/>
      <c r="G9" s="55" t="n"/>
      <c r="H9" s="55" t="n"/>
      <c r="I9" s="41">
        <f>IF(H9=0,0,VLOOKUP(G9,'Country equity risk premiums'!$A$5:$D$196,4))</f>
        <v/>
      </c>
      <c r="J9" s="41">
        <f>IF(H9&gt;0,H9/$H$18,)</f>
        <v/>
      </c>
      <c r="K9" s="41">
        <f>IF(J9=0,0,I9*J9)</f>
        <v/>
      </c>
    </row>
    <row r="10" ht="15" customFormat="1" customHeight="1" s="7">
      <c r="A10" s="167" t="n"/>
      <c r="B10" s="167" t="n"/>
      <c r="C10" s="167" t="n"/>
      <c r="D10" s="167" t="n"/>
      <c r="E10" s="167" t="n"/>
      <c r="F10" s="34" t="n"/>
      <c r="G10" s="55" t="n"/>
      <c r="H10" s="55" t="n"/>
      <c r="I10" s="41">
        <f>IF(H10=0,0,VLOOKUP(G10,'Country equity risk premiums'!$A$5:$D$196,4))</f>
        <v/>
      </c>
      <c r="J10" s="41">
        <f>IF(H10&gt;0,H10/$H$18,)</f>
        <v/>
      </c>
      <c r="K10" s="41">
        <f>IF(J10=0,0,I10*J10)</f>
        <v/>
      </c>
    </row>
    <row r="11" ht="15" customFormat="1" customHeight="1" s="7">
      <c r="A11" s="167" t="inlineStr">
        <is>
          <t>Which approach will you be using?</t>
        </is>
      </c>
      <c r="B11" s="168" t="inlineStr">
        <is>
          <t>Detailed</t>
        </is>
      </c>
      <c r="C11" s="167" t="n"/>
      <c r="D11" s="167" t="n"/>
      <c r="E11" s="167" t="n"/>
      <c r="F11" s="34" t="n"/>
      <c r="G11" s="55" t="n"/>
      <c r="H11" s="55" t="n"/>
      <c r="I11" s="41">
        <f>IF(H11=0,0,VLOOKUP(G11,'Country equity risk premiums'!$A$5:$D$196,4))</f>
        <v/>
      </c>
      <c r="J11" s="41">
        <f>IF(H11&gt;0,H11/$H$18,)</f>
        <v/>
      </c>
      <c r="K11" s="41">
        <f>IF(J11=0,0,I11*J11)</f>
        <v/>
      </c>
    </row>
    <row r="12" ht="15" customFormat="1" customHeight="1" s="7">
      <c r="A12" s="167" t="inlineStr">
        <is>
          <t>If direct input, enter cost of capital to use</t>
        </is>
      </c>
      <c r="B12" s="169" t="n">
        <v>0.09</v>
      </c>
      <c r="C12" s="167" t="n"/>
      <c r="D12" s="167" t="n"/>
      <c r="E12" s="167" t="n"/>
      <c r="F12" s="34" t="n"/>
      <c r="G12" s="55" t="n"/>
      <c r="H12" s="55" t="n"/>
      <c r="I12" s="41">
        <f>IF(H12=0,0,VLOOKUP(G12,'Country equity risk premiums'!$A$5:$D$196,4))</f>
        <v/>
      </c>
      <c r="J12" s="41">
        <f>IF(H12&gt;0,H12/$H$18,)</f>
        <v/>
      </c>
      <c r="K12" s="41">
        <f>IF(J12=0,0,I12*J12)</f>
        <v/>
      </c>
    </row>
    <row r="13" ht="15" customFormat="1" customHeight="1" s="7">
      <c r="A13" s="167" t="inlineStr">
        <is>
          <t>Cost of capital based upon approach =</t>
        </is>
      </c>
      <c r="B13" s="170">
        <f>IF(B11="I will input",B12,IF(B11="Detailed",E62,IF(B11="Industry Average",B67,B72)))</f>
        <v/>
      </c>
      <c r="C13" s="167" t="n"/>
      <c r="D13" s="167" t="n"/>
      <c r="E13" s="167" t="n"/>
      <c r="F13" s="34" t="n"/>
      <c r="G13" s="55" t="n"/>
      <c r="H13" s="55" t="n"/>
      <c r="I13" s="41">
        <f>IF(H13=0,0,VLOOKUP(G13,'Country equity risk premiums'!$A$5:$D$196,4))</f>
        <v/>
      </c>
      <c r="J13" s="41">
        <f>IF(H13&gt;0,H13/$H$18,)</f>
        <v/>
      </c>
      <c r="K13" s="41">
        <f>IF(J13=0,0,I13*J13)</f>
        <v/>
      </c>
    </row>
    <row r="14" ht="15" customFormat="1" customHeight="1" s="7" thickBot="1">
      <c r="A14" s="167" t="n"/>
      <c r="B14" s="167" t="n"/>
      <c r="C14" s="167" t="n"/>
      <c r="D14" s="167" t="n"/>
      <c r="E14" s="167" t="n"/>
      <c r="F14" s="34" t="n"/>
      <c r="G14" s="55" t="n"/>
      <c r="H14" s="55" t="n"/>
      <c r="I14" s="41">
        <f>IF(H14=0,0,VLOOKUP(G14,'Country equity risk premiums'!$A$5:$D$196,4))</f>
        <v/>
      </c>
      <c r="J14" s="41">
        <f>IF(H14&gt;0,H14/$H$18,)</f>
        <v/>
      </c>
      <c r="K14" s="41">
        <f>IF(J14=0,0,I14*J14)</f>
        <v/>
      </c>
    </row>
    <row r="15" ht="15" customFormat="1" customHeight="1" s="7" thickBot="1">
      <c r="A15" s="834" t="inlineStr">
        <is>
          <t>Approach 1: Detailed Cost of Capital</t>
        </is>
      </c>
      <c r="B15" s="700" t="n"/>
      <c r="C15" s="700" t="n"/>
      <c r="D15" s="700" t="n"/>
      <c r="E15" s="700" t="n"/>
      <c r="F15" s="701" t="n"/>
      <c r="G15" s="55" t="n"/>
      <c r="H15" s="55" t="n"/>
      <c r="I15" s="41">
        <f>IF(H15=0,0,VLOOKUP(G15,'Country equity risk premiums'!$A$5:$D$196,4))</f>
        <v/>
      </c>
      <c r="J15" s="41">
        <f>IF(H15&gt;0,H15/$H$18,)</f>
        <v/>
      </c>
      <c r="K15" s="41">
        <f>IF(J15=0,0,I15*J15)</f>
        <v/>
      </c>
    </row>
    <row r="16" ht="15" customFormat="1" customHeight="1" s="7">
      <c r="A16" s="9" t="inlineStr">
        <is>
          <t>Inputs</t>
        </is>
      </c>
      <c r="B16" s="158" t="n"/>
      <c r="C16" s="82" t="n"/>
      <c r="D16" s="9" t="n"/>
      <c r="E16" s="9" t="n"/>
      <c r="F16" s="9" t="n"/>
      <c r="G16" s="113" t="inlineStr">
        <is>
          <t>Rest of the World</t>
        </is>
      </c>
      <c r="H16" s="55" t="n">
        <v>10245</v>
      </c>
      <c r="I16" s="120" t="n">
        <v>0.055</v>
      </c>
      <c r="J16" s="41">
        <f>IF(H16&gt;0,H16/$H$18,)</f>
        <v/>
      </c>
      <c r="K16" s="41">
        <f>IF(J16=0,0,I16*J16)</f>
        <v/>
      </c>
    </row>
    <row r="17" ht="15" customFormat="1" customHeight="1" s="7">
      <c r="A17" s="12" t="inlineStr">
        <is>
          <t>Equity</t>
        </is>
      </c>
      <c r="B17" s="159" t="n"/>
      <c r="G17" s="113" t="n"/>
      <c r="H17" s="55" t="n"/>
      <c r="I17" s="113" t="n"/>
      <c r="J17" s="41">
        <f>IF(H17&gt;0,H17/$H$18,)</f>
        <v/>
      </c>
      <c r="K17" s="41">
        <f>IF(J17=0,0,I17*J17)</f>
        <v/>
      </c>
    </row>
    <row r="18" ht="15" customFormat="1" customHeight="1" s="7">
      <c r="A18" s="7" t="inlineStr">
        <is>
          <t>Number of Shares outstanding =</t>
        </is>
      </c>
      <c r="B18" s="38">
        <f>'Input sheet'!B20</f>
        <v/>
      </c>
      <c r="G18" s="56" t="inlineStr">
        <is>
          <t>Total</t>
        </is>
      </c>
      <c r="H18" s="56">
        <f>SUM(H5:H17)</f>
        <v/>
      </c>
      <c r="I18" s="56" t="n"/>
      <c r="J18" s="41">
        <f>SUM(J5:J17)</f>
        <v/>
      </c>
      <c r="K18" s="41">
        <f>SUM(K5:K17)</f>
        <v/>
      </c>
    </row>
    <row r="19" ht="15" customFormat="1" customHeight="1" s="7">
      <c r="A19" s="7" t="inlineStr">
        <is>
          <t>Current Market Price per share =</t>
        </is>
      </c>
      <c r="B19" s="835">
        <f>'Input sheet'!B21</f>
        <v/>
      </c>
      <c r="G19" s="47" t="inlineStr">
        <is>
          <t>Operating Regions ERP calculator</t>
        </is>
      </c>
    </row>
    <row r="20" ht="15" customFormat="1" customHeight="1" s="7">
      <c r="G20" s="13" t="inlineStr">
        <is>
          <t>Region</t>
        </is>
      </c>
      <c r="H20" s="13" t="inlineStr">
        <is>
          <t>Revenues</t>
        </is>
      </c>
      <c r="I20" s="13" t="inlineStr">
        <is>
          <t>ERP</t>
        </is>
      </c>
      <c r="J20" s="13" t="inlineStr">
        <is>
          <t>Weight</t>
        </is>
      </c>
      <c r="K20" s="13" t="inlineStr">
        <is>
          <t>Weighted ERP</t>
        </is>
      </c>
    </row>
    <row r="21" ht="15" customFormat="1" customHeight="1" s="7">
      <c r="A21" s="7" t="inlineStr">
        <is>
          <t>Approach for estimating beta</t>
        </is>
      </c>
      <c r="B21" s="55" t="inlineStr">
        <is>
          <t>Single Business(US)</t>
        </is>
      </c>
      <c r="G21" s="13">
        <f>'Country equity risk premiums'!A201</f>
        <v/>
      </c>
      <c r="H21" s="55" t="n"/>
      <c r="I21" s="14">
        <f>'Country equity risk premiums'!B201</f>
        <v/>
      </c>
      <c r="J21" s="41">
        <f>H21/$H$32</f>
        <v/>
      </c>
      <c r="K21" s="836">
        <f>I21*J21</f>
        <v/>
      </c>
    </row>
    <row r="22" ht="15" customFormat="1" customHeight="1" s="7">
      <c r="A22" s="7" t="inlineStr">
        <is>
          <t>If direct input, enter levered beta (or regression beta)</t>
        </is>
      </c>
      <c r="B22" s="83" t="n">
        <v>1.2</v>
      </c>
      <c r="G22" s="13">
        <f>'Country equity risk premiums'!A202</f>
        <v/>
      </c>
      <c r="H22" s="55" t="n">
        <v>27899</v>
      </c>
      <c r="I22" s="14">
        <f>'Country equity risk premiums'!B202</f>
        <v/>
      </c>
      <c r="J22" s="41">
        <f>H22/$H$32</f>
        <v/>
      </c>
      <c r="K22" s="836">
        <f>I22*J22</f>
        <v/>
      </c>
    </row>
    <row r="23" ht="15" customFormat="1" customHeight="1" s="7">
      <c r="A23" s="7" t="inlineStr">
        <is>
          <t>Unlevered beta =</t>
        </is>
      </c>
      <c r="B23" s="60">
        <f>IF(B21="Single Business(US)",VLOOKUP('Input sheet'!B8,'Industry Averages(US)'!A2:G95,7),IF(B21="Multibusiness(US)",K48,IF(B21="Single Business(Global)",VLOOKUP('Input sheet'!B9,'Industry Average Beta (Global)'!A2:G95,7),'Cost of capital worksheet'!K64)))</f>
        <v/>
      </c>
      <c r="G23" s="13">
        <f>'Country equity risk premiums'!A203</f>
        <v/>
      </c>
      <c r="H23" s="55" t="n"/>
      <c r="I23" s="14">
        <f>'Country equity risk premiums'!B203</f>
        <v/>
      </c>
      <c r="J23" s="41">
        <f>H23/$H$32</f>
        <v/>
      </c>
      <c r="K23" s="836">
        <f>I23*J23</f>
        <v/>
      </c>
    </row>
    <row r="24" ht="15" customFormat="1" customHeight="1" s="7">
      <c r="A24" s="7" t="inlineStr">
        <is>
          <t>Riskfree Rate =</t>
        </is>
      </c>
      <c r="B24" s="43">
        <f>'Input sheet'!B33</f>
        <v/>
      </c>
      <c r="G24" s="13">
        <f>'Country equity risk premiums'!A204</f>
        <v/>
      </c>
      <c r="H24" s="55" t="n"/>
      <c r="I24" s="14">
        <f>'Country equity risk premiums'!B204</f>
        <v/>
      </c>
      <c r="J24" s="41">
        <f>H24/$H$32</f>
        <v/>
      </c>
      <c r="K24" s="836">
        <f>I24*J24</f>
        <v/>
      </c>
    </row>
    <row r="25" ht="15" customFormat="1" customHeight="1" s="7">
      <c r="A25" s="7" t="inlineStr">
        <is>
          <t>What approach do you want to use to input ERP?</t>
        </is>
      </c>
      <c r="B25" s="78" t="inlineStr">
        <is>
          <t>Operating countries</t>
        </is>
      </c>
      <c r="G25" s="13">
        <f>'Country equity risk premiums'!A205</f>
        <v/>
      </c>
      <c r="H25" s="55" t="n"/>
      <c r="I25" s="14">
        <f>'Country equity risk premiums'!B205</f>
        <v/>
      </c>
      <c r="J25" s="41">
        <f>H25/$H$32</f>
        <v/>
      </c>
      <c r="K25" s="836">
        <f>I25*J25</f>
        <v/>
      </c>
    </row>
    <row r="26" ht="15" customFormat="1" customHeight="1" s="7">
      <c r="A26" s="7" t="inlineStr">
        <is>
          <t>Direct input for ERP (if you choose "will input"</t>
        </is>
      </c>
      <c r="B26" s="78" t="n">
        <v>0.06</v>
      </c>
      <c r="G26" s="13">
        <f>'Country equity risk premiums'!A206</f>
        <v/>
      </c>
      <c r="H26" s="55" t="n"/>
      <c r="I26" s="14">
        <f>'Country equity risk premiums'!B206</f>
        <v/>
      </c>
      <c r="J26" s="41">
        <f>H26/$H$32</f>
        <v/>
      </c>
      <c r="K26" s="836">
        <f>I26*J26</f>
        <v/>
      </c>
    </row>
    <row r="27" ht="15" customFormat="1" customHeight="1" s="7">
      <c r="A27" s="7" t="inlineStr">
        <is>
          <t>Equity Risk Premium used in cost of equity =</t>
        </is>
      </c>
      <c r="B27" s="79">
        <f>IF(B25="Will Input",B26,IF(B25="Country of Incorporation",VLOOKUP('Input sheet'!B7,'Country equity risk premiums'!A5:E195,4),IF(B25="Operating regions",'Cost of capital worksheet'!K32,'Cost of capital worksheet'!K18)))</f>
        <v/>
      </c>
      <c r="G27" s="13">
        <f>'Country equity risk premiums'!A207</f>
        <v/>
      </c>
      <c r="H27" s="55" t="n"/>
      <c r="I27" s="14">
        <f>'Country equity risk premiums'!B207</f>
        <v/>
      </c>
      <c r="J27" s="41">
        <f>H27/$H$32</f>
        <v/>
      </c>
      <c r="K27" s="836">
        <f>I27*J27</f>
        <v/>
      </c>
    </row>
    <row r="28" ht="15" customFormat="1" customHeight="1" s="7">
      <c r="G28" s="13">
        <f>'Country equity risk premiums'!A208</f>
        <v/>
      </c>
      <c r="H28" s="55" t="n">
        <v>8292</v>
      </c>
      <c r="I28" s="14">
        <f>'Country equity risk premiums'!B208</f>
        <v/>
      </c>
      <c r="J28" s="41">
        <f>H28/$H$32</f>
        <v/>
      </c>
      <c r="K28" s="836">
        <f>I28*J28</f>
        <v/>
      </c>
    </row>
    <row r="29" ht="15" customFormat="1" customHeight="1" s="7">
      <c r="A29" s="12" t="inlineStr">
        <is>
          <t>Debt</t>
        </is>
      </c>
      <c r="G29" s="13">
        <f>'Country equity risk premiums'!A193</f>
        <v/>
      </c>
      <c r="H29" s="55" t="n">
        <v>5389</v>
      </c>
      <c r="I29" s="14">
        <f>'Country equity risk premiums'!B209</f>
        <v/>
      </c>
      <c r="J29" s="41">
        <f>H29/$H$32</f>
        <v/>
      </c>
      <c r="K29" s="836">
        <f>I29*J29</f>
        <v/>
      </c>
    </row>
    <row r="30" ht="15" customFormat="1" customHeight="1" s="7">
      <c r="A30" s="7" t="inlineStr">
        <is>
          <t>Book Value of Straight Debt =</t>
        </is>
      </c>
      <c r="B30" s="835">
        <f>'Input sheet'!B14</f>
        <v/>
      </c>
      <c r="G30" s="55" t="n"/>
      <c r="H30" s="55" t="n"/>
      <c r="I30" s="114" t="n"/>
      <c r="J30" s="41">
        <f>H30/$H$32</f>
        <v/>
      </c>
      <c r="K30" s="836">
        <f>I30*J30</f>
        <v/>
      </c>
    </row>
    <row r="31" ht="15" customFormat="1" customHeight="1" s="7">
      <c r="A31" s="7" t="inlineStr">
        <is>
          <t>Interest Expense on Debt =</t>
        </is>
      </c>
      <c r="B31" s="835">
        <f>'Input sheet'!B12</f>
        <v/>
      </c>
      <c r="G31" s="55" t="inlineStr">
        <is>
          <t>South Korea</t>
        </is>
      </c>
      <c r="H31" s="55" t="n">
        <v>66423</v>
      </c>
      <c r="I31" s="114" t="n">
        <v>0.052</v>
      </c>
      <c r="J31" s="41">
        <f>H31/$H$32</f>
        <v/>
      </c>
      <c r="K31" s="836">
        <f>I31*J31</f>
        <v/>
      </c>
    </row>
    <row r="32" ht="15" customFormat="1" customHeight="1" s="7">
      <c r="A32" s="7" t="inlineStr">
        <is>
          <t>Average Maturity =</t>
        </is>
      </c>
      <c r="B32" s="35" t="n">
        <v>3</v>
      </c>
      <c r="G32" s="56" t="inlineStr">
        <is>
          <t>Total</t>
        </is>
      </c>
      <c r="H32" s="56">
        <f>SUM(H21:H31)</f>
        <v/>
      </c>
      <c r="I32" s="43" t="n"/>
      <c r="J32" s="41">
        <f>SUM(J21:J31)</f>
        <v/>
      </c>
      <c r="K32" s="837">
        <f>SUM(K21:K31)</f>
        <v/>
      </c>
    </row>
    <row r="33" ht="15" customFormat="1" customHeight="1" s="7">
      <c r="A33" s="7" t="inlineStr">
        <is>
          <t>Approach for estimating pre-tax cost of debt</t>
        </is>
      </c>
      <c r="B33" s="50" t="inlineStr">
        <is>
          <t>Actual rating</t>
        </is>
      </c>
    </row>
    <row r="34" ht="15" customFormat="1" customHeight="1" s="7">
      <c r="A34" s="7" t="inlineStr">
        <is>
          <t>If direct input, input the pre-tax cost of debt</t>
        </is>
      </c>
      <c r="B34" s="838" t="n">
        <v>0.04</v>
      </c>
      <c r="G34" s="34" t="inlineStr">
        <is>
          <t>Multi Business (US Industry Averages)</t>
        </is>
      </c>
    </row>
    <row r="35" ht="15" customFormat="1" customHeight="1" s="7">
      <c r="A35" s="7" t="inlineStr">
        <is>
          <t>If actual rating, input the rating</t>
        </is>
      </c>
      <c r="B35" s="50" t="inlineStr">
        <is>
          <t>A2/A</t>
        </is>
      </c>
      <c r="G35" s="13" t="inlineStr">
        <is>
          <t>Business</t>
        </is>
      </c>
      <c r="H35" s="13" t="inlineStr">
        <is>
          <t>Revenues</t>
        </is>
      </c>
      <c r="I35" s="13" t="inlineStr">
        <is>
          <t>EV/Sales</t>
        </is>
      </c>
      <c r="J35" s="13" t="inlineStr">
        <is>
          <t>Estimated Value</t>
        </is>
      </c>
      <c r="K35" s="13" t="inlineStr">
        <is>
          <t>Unlevered Beta</t>
        </is>
      </c>
      <c r="L35" s="13" t="inlineStr">
        <is>
          <t>Cost of capital</t>
        </is>
      </c>
    </row>
    <row r="36" ht="15" customFormat="1" customHeight="1" s="7">
      <c r="A36" s="7" t="inlineStr">
        <is>
          <t>If synethetic rating, input the type of company</t>
        </is>
      </c>
      <c r="B36" s="50" t="n">
        <v>2</v>
      </c>
      <c r="G36" s="55" t="inlineStr">
        <is>
          <t>Semiconductor</t>
        </is>
      </c>
      <c r="H36" s="839" t="n">
        <v>25878</v>
      </c>
      <c r="I36" s="840">
        <f>IF(G36=0,,VLOOKUP(G36,'Industry Averages(US)'!$A$2:$S$95,15))</f>
        <v/>
      </c>
      <c r="J36" s="841">
        <f>H36*I36</f>
        <v/>
      </c>
      <c r="K36" s="842">
        <f>IF(I36=0,0,VLOOKUP(G36,'Industry Averages(US)'!$A$2:$S$95,7))</f>
        <v/>
      </c>
      <c r="L36" s="163">
        <f>IF(I36=0,0,VLOOKUP(G36,'Industry Averages(US)'!$A$2:$S$95,13))</f>
        <v/>
      </c>
    </row>
    <row r="37" ht="15" customFormat="1" customHeight="1" s="7">
      <c r="A37" s="7" t="inlineStr">
        <is>
          <t>Pre-tax Cost of Debt =</t>
        </is>
      </c>
      <c r="B37" s="79">
        <f>IF(B33="Direct Input",B34,IF(B33="Synthetic Rating",'Synthetic rating'!D16,B24+VLOOKUP('Cost of capital worksheet'!B35,'Synthetic rating'!G42:H56,2)))</f>
        <v/>
      </c>
      <c r="G37" s="55" t="n"/>
      <c r="H37" s="839" t="n"/>
      <c r="I37" s="840">
        <f>IF(G37=0,,VLOOKUP(G37,'Industry Averages(US)'!$A$2:$S$95,15))</f>
        <v/>
      </c>
      <c r="J37" s="841">
        <f>H37*I37</f>
        <v/>
      </c>
      <c r="K37" s="842">
        <f>IF(I37=0,0,VLOOKUP(G37,'Industry Averages(US)'!$A$2:$S$95,7))</f>
        <v/>
      </c>
      <c r="L37" s="163">
        <f>IF(I37=0,0,VLOOKUP(G37,'Industry Averages(US)'!$A$2:$S$95,13))</f>
        <v/>
      </c>
    </row>
    <row r="38" ht="15" customFormat="1" customHeight="1" s="7">
      <c r="A38" s="7" t="inlineStr">
        <is>
          <t>Tax Rate =</t>
        </is>
      </c>
      <c r="B38" s="81">
        <f>'Input sheet'!B23</f>
        <v/>
      </c>
      <c r="G38" s="55" t="n"/>
      <c r="H38" s="839" t="n"/>
      <c r="I38" s="840">
        <f>IF(G38=0,,VLOOKUP(G38,'Industry Averages(US)'!$A$2:$S$95,15))</f>
        <v/>
      </c>
      <c r="J38" s="841">
        <f>H38*I38</f>
        <v/>
      </c>
      <c r="K38" s="842">
        <f>IF(I38=0,0,VLOOKUP(G38,'Industry Averages(US)'!$A$2:$S$95,7))</f>
        <v/>
      </c>
      <c r="L38" s="163">
        <f>IF(I38=0,0,VLOOKUP(G38,'Industry Averages(US)'!$A$2:$S$95,13))</f>
        <v/>
      </c>
    </row>
    <row r="39" ht="15" customFormat="1" customHeight="1" s="7">
      <c r="G39" s="55" t="n"/>
      <c r="H39" s="839" t="n"/>
      <c r="I39" s="840">
        <f>IF(G39=0,,VLOOKUP(G39,'Industry Averages(US)'!$A$2:$S$95,15))</f>
        <v/>
      </c>
      <c r="J39" s="841">
        <f>H39*I39</f>
        <v/>
      </c>
      <c r="K39" s="842">
        <f>IF(I39=0,0,VLOOKUP(G39,'Industry Averages(US)'!$A$2:$S$95,7))</f>
        <v/>
      </c>
      <c r="L39" s="163">
        <f>IF(I39=0,0,VLOOKUP(G39,'Industry Averages(US)'!$A$2:$S$95,13))</f>
        <v/>
      </c>
      <c r="T39" s="36" t="n"/>
    </row>
    <row r="40" ht="15" customFormat="1" customHeight="1" s="36">
      <c r="A40" s="7" t="inlineStr">
        <is>
          <t>Book Value of Convertible Debt =</t>
        </is>
      </c>
      <c r="B40" s="35" t="n">
        <v>0</v>
      </c>
      <c r="C40" s="7" t="n"/>
      <c r="D40" s="7" t="n"/>
      <c r="E40" s="7" t="n"/>
      <c r="F40" s="7" t="n"/>
      <c r="G40" s="55" t="n"/>
      <c r="H40" s="839" t="n"/>
      <c r="I40" s="840">
        <f>IF(G40=0,,VLOOKUP(G40,'Industry Averages(US)'!$A$2:$S$95,15))</f>
        <v/>
      </c>
      <c r="J40" s="841">
        <f>H40*I40</f>
        <v/>
      </c>
      <c r="K40" s="842">
        <f>IF(I40=0,0,VLOOKUP(G40,'Industry Averages(US)'!$A$2:$S$95,7))</f>
        <v/>
      </c>
      <c r="L40" s="163">
        <f>IF(I40=0,0,VLOOKUP(G40,'Industry Averages(US)'!$A$2:$S$95,13))</f>
        <v/>
      </c>
      <c r="T40" s="7" t="n"/>
    </row>
    <row r="41" ht="15" customFormat="1" customHeight="1" s="7">
      <c r="A41" s="7" t="inlineStr">
        <is>
          <t>Interest Expense on Convertible =</t>
        </is>
      </c>
      <c r="B41" s="35" t="n">
        <v>0</v>
      </c>
      <c r="G41" s="55" t="n"/>
      <c r="H41" s="839" t="n"/>
      <c r="I41" s="840">
        <f>IF(G41=0,,VLOOKUP(G41,'Industry Averages(US)'!$A$2:$S$95,15))</f>
        <v/>
      </c>
      <c r="J41" s="841">
        <f>H41*I41</f>
        <v/>
      </c>
      <c r="K41" s="842">
        <f>IF(I41=0,0,VLOOKUP(G41,'Industry Averages(US)'!$A$2:$S$95,7))</f>
        <v/>
      </c>
      <c r="L41" s="163">
        <f>IF(I41=0,0,VLOOKUP(G41,'Industry Averages(US)'!$A$2:$S$95,13))</f>
        <v/>
      </c>
    </row>
    <row r="42" ht="15" customFormat="1" customHeight="1" s="7">
      <c r="A42" s="7" t="inlineStr">
        <is>
          <t>Maturity of Convertible Bond =</t>
        </is>
      </c>
      <c r="B42" s="35" t="n">
        <v>0</v>
      </c>
      <c r="G42" s="55" t="n"/>
      <c r="H42" s="839" t="n"/>
      <c r="I42" s="840">
        <f>IF(G42=0,,VLOOKUP(G42,'Industry Averages(US)'!$A$2:$S$95,15))</f>
        <v/>
      </c>
      <c r="J42" s="841">
        <f>H42*I42</f>
        <v/>
      </c>
      <c r="K42" s="842">
        <f>IF(I42=0,0,VLOOKUP(G42,'Industry Averages(US)'!$A$2:$S$95,7))</f>
        <v/>
      </c>
      <c r="L42" s="163">
        <f>IF(I42=0,0,VLOOKUP(G42,'Industry Averages(US)'!$A$2:$S$95,13))</f>
        <v/>
      </c>
    </row>
    <row r="43" ht="15" customFormat="1" customHeight="1" s="7">
      <c r="A43" s="7" t="inlineStr">
        <is>
          <t>Market Value of Convertible =</t>
        </is>
      </c>
      <c r="B43" s="35" t="n">
        <v>0</v>
      </c>
      <c r="G43" s="55" t="n"/>
      <c r="H43" s="839" t="n"/>
      <c r="I43" s="840">
        <f>IF(G43=0,,VLOOKUP(G43,'Industry Averages(US)'!$A$2:$S$95,15))</f>
        <v/>
      </c>
      <c r="J43" s="841">
        <f>H43*I43</f>
        <v/>
      </c>
      <c r="K43" s="842">
        <f>IF(I43=0,0,VLOOKUP(G43,'Industry Averages(US)'!$A$2:$S$95,7))</f>
        <v/>
      </c>
      <c r="L43" s="163">
        <f>IF(I43=0,0,VLOOKUP(G43,'Industry Averages(US)'!$A$2:$S$95,13))</f>
        <v/>
      </c>
    </row>
    <row r="44" ht="14" customHeight="1">
      <c r="A44" s="7" t="n"/>
      <c r="B44" s="7" t="n"/>
      <c r="C44" s="7" t="n"/>
      <c r="D44" s="7" t="n"/>
      <c r="E44" s="7" t="n"/>
      <c r="F44" s="7" t="n"/>
      <c r="G44" s="55" t="n"/>
      <c r="H44" s="839" t="n"/>
      <c r="I44" s="840">
        <f>IF(G44=0,,VLOOKUP(G44,'Industry Averages(US)'!$A$2:$S$95,15))</f>
        <v/>
      </c>
      <c r="J44" s="841">
        <f>H44*I44</f>
        <v/>
      </c>
      <c r="K44" s="842">
        <f>IF(I44=0,0,VLOOKUP(G44,'Industry Averages(US)'!$A$2:$S$95,7))</f>
        <v/>
      </c>
      <c r="L44" s="163">
        <f>IF(I44=0,0,VLOOKUP(G44,'Industry Averages(US)'!$A$2:$S$95,13))</f>
        <v/>
      </c>
      <c r="M44" s="843" t="inlineStr">
        <is>
          <t>The cost of capital  is in US dollars, using the riskfree rate at the start of the year. It will be adjusted for the difference in riskfree rates to make it more current and to change currencies.</t>
        </is>
      </c>
      <c r="N44" s="743" t="n"/>
      <c r="O44" s="744" t="n"/>
    </row>
    <row r="45" ht="14" customHeight="1">
      <c r="A45" s="7" t="inlineStr">
        <is>
          <t>Debt value of operating leases =</t>
        </is>
      </c>
      <c r="B45" s="835">
        <f>IF('Input sheet'!B16="Yes",'Operating lease converter'!F33,0)</f>
        <v/>
      </c>
      <c r="C45" s="7" t="n"/>
      <c r="D45" s="7" t="n"/>
      <c r="E45" s="7" t="n"/>
      <c r="F45" s="7" t="n"/>
      <c r="G45" s="55" t="n"/>
      <c r="H45" s="839" t="n"/>
      <c r="I45" s="840">
        <f>IF(G45=0,,VLOOKUP(G45,'Industry Averages(US)'!$A$2:$S$95,15))</f>
        <v/>
      </c>
      <c r="J45" s="841">
        <f>H45*I45</f>
        <v/>
      </c>
      <c r="K45" s="842">
        <f>IF(I45=0,0,VLOOKUP(G45,'Industry Averages(US)'!$A$2:$S$95,7))</f>
        <v/>
      </c>
      <c r="L45" s="163">
        <f>IF(I45=0,0,VLOOKUP(G45,'Industry Averages(US)'!$A$2:$S$95,13))</f>
        <v/>
      </c>
      <c r="M45" s="746" t="n"/>
      <c r="O45" s="747" t="n"/>
    </row>
    <row r="46" ht="14" customHeight="1">
      <c r="A46" s="7" t="n"/>
      <c r="B46" s="7" t="n"/>
      <c r="C46" s="7" t="n"/>
      <c r="D46" s="7" t="n"/>
      <c r="E46" s="7" t="n"/>
      <c r="F46" s="7" t="n"/>
      <c r="G46" s="55" t="n"/>
      <c r="H46" s="839" t="n"/>
      <c r="I46" s="840">
        <f>IF(G46=0,,VLOOKUP(G46,'Industry Averages(US)'!$A$2:$S$95,15))</f>
        <v/>
      </c>
      <c r="J46" s="841">
        <f>H46*I46</f>
        <v/>
      </c>
      <c r="K46" s="842">
        <f>IF(I46=0,0,VLOOKUP(G46,'Industry Averages(US)'!$A$2:$S$95,7))</f>
        <v/>
      </c>
      <c r="L46" s="163">
        <f>IF(I46=0,0,VLOOKUP(G46,'Industry Averages(US)'!$A$2:$S$95,13))</f>
        <v/>
      </c>
      <c r="M46" s="746" t="n"/>
      <c r="O46" s="747" t="n"/>
    </row>
    <row r="47" ht="14" customHeight="1">
      <c r="A47" s="12" t="inlineStr">
        <is>
          <t>Preferred Stock</t>
        </is>
      </c>
      <c r="B47" s="7" t="n"/>
      <c r="C47" s="7" t="n"/>
      <c r="D47" s="7" t="n"/>
      <c r="E47" s="7" t="n"/>
      <c r="F47" s="7" t="n"/>
      <c r="G47" s="55" t="n"/>
      <c r="H47" s="839" t="n"/>
      <c r="I47" s="840">
        <f>IF(G47=0,,VLOOKUP(G47,'Industry Averages(US)'!$A$2:$S$95,15))</f>
        <v/>
      </c>
      <c r="J47" s="841">
        <f>H47*I47</f>
        <v/>
      </c>
      <c r="K47" s="842">
        <f>IF(I47=0,0,VLOOKUP(G47,'Industry Averages(US)'!$A$2:$S$95,7))</f>
        <v/>
      </c>
      <c r="L47" s="163">
        <f>IF(I47=0,0,VLOOKUP(G47,'Industry Averages(US)'!$A$2:$S$95,13))</f>
        <v/>
      </c>
      <c r="M47" s="746" t="n"/>
      <c r="O47" s="747" t="n"/>
    </row>
    <row r="48" ht="14" customHeight="1">
      <c r="A48" s="7" t="inlineStr">
        <is>
          <t>Number of Preferred Shares =</t>
        </is>
      </c>
      <c r="B48" s="35" t="n">
        <v>0</v>
      </c>
      <c r="C48" s="7" t="n"/>
      <c r="D48" s="7" t="n"/>
      <c r="E48" s="7" t="n"/>
      <c r="F48" s="7" t="n"/>
      <c r="G48" s="64" t="inlineStr">
        <is>
          <t>Company</t>
        </is>
      </c>
      <c r="H48" s="844">
        <f>SUM(H36:H47)</f>
        <v/>
      </c>
      <c r="I48" s="845" t="n"/>
      <c r="J48" s="841">
        <f>SUM(J36:J47)</f>
        <v/>
      </c>
      <c r="K48" s="846">
        <f>K36*(J36/J48)+K37*J37/J48+K38*J38/J48+K39*J39/J48+K40*J40/J48+K41*J41/J48+K42*J42/J48+K43*J43/J48+K44*J44/J48+K45*J45/J48+K46*J46/J48+K47*J47/J48</f>
        <v/>
      </c>
      <c r="L48" s="164">
        <f>L36*(J36/J48)+L37*J37/J48+L38*J38/J48+L39*J39/J48+L40*J40/J48+L41*J41/J48+L42*J42/J48+L43*J43/J48+L44*J44/J48+L45*J45/J48+L46*J46/J48+L47*J47/J48</f>
        <v/>
      </c>
      <c r="M48" s="748" t="n"/>
      <c r="N48" s="749" t="n"/>
      <c r="O48" s="750" t="n"/>
    </row>
    <row r="49" ht="14" customHeight="1">
      <c r="A49" s="7" t="inlineStr">
        <is>
          <t>Current Market Price per Share=</t>
        </is>
      </c>
      <c r="B49" s="35" t="n">
        <v>70</v>
      </c>
      <c r="C49" s="7" t="n"/>
      <c r="D49" s="7" t="n"/>
      <c r="E49" s="7" t="n"/>
      <c r="F49" s="7" t="n"/>
    </row>
    <row r="50" ht="18" customHeight="1">
      <c r="A50" s="7" t="inlineStr">
        <is>
          <t>Annual Dividend per Share =</t>
        </is>
      </c>
      <c r="B50" s="35" t="n">
        <v>5</v>
      </c>
      <c r="C50" s="7" t="n"/>
      <c r="D50" s="7" t="n"/>
      <c r="E50" s="7" t="n"/>
      <c r="F50" s="7" t="n"/>
      <c r="G50" s="84" t="inlineStr">
        <is>
          <t>Multi Business (Global Industry Averages)</t>
        </is>
      </c>
    </row>
    <row r="51" ht="14" customHeight="1">
      <c r="A51" s="7" t="n"/>
      <c r="B51" s="7" t="n"/>
      <c r="C51" s="7" t="n"/>
      <c r="D51" s="7" t="n"/>
      <c r="E51" s="7" t="n"/>
      <c r="F51" s="7" t="n"/>
      <c r="G51" s="13" t="inlineStr">
        <is>
          <t>Business</t>
        </is>
      </c>
      <c r="H51" s="13" t="inlineStr">
        <is>
          <t>Revenues</t>
        </is>
      </c>
      <c r="I51" s="13" t="inlineStr">
        <is>
          <t>EV/Sales</t>
        </is>
      </c>
      <c r="J51" s="13" t="inlineStr">
        <is>
          <t>Estimated Value</t>
        </is>
      </c>
      <c r="K51" s="13" t="inlineStr">
        <is>
          <t>Unlevered Beta</t>
        </is>
      </c>
      <c r="L51" s="13" t="inlineStr">
        <is>
          <t>Cost of capital</t>
        </is>
      </c>
    </row>
    <row r="52" ht="14" customHeight="1">
      <c r="A52" s="9" t="inlineStr">
        <is>
          <t>Output</t>
        </is>
      </c>
      <c r="B52" s="7" t="n"/>
      <c r="C52" s="7" t="n"/>
      <c r="D52" s="7" t="n"/>
      <c r="E52" s="7" t="n"/>
      <c r="F52" s="7" t="n"/>
      <c r="G52" s="55" t="inlineStr">
        <is>
          <t>Semiconductor</t>
        </is>
      </c>
      <c r="H52" s="839" t="n">
        <v>25878</v>
      </c>
      <c r="I52" s="840">
        <f>IF(G52=0,,VLOOKUP(G52,'Industry Average Beta (Global)'!$A$2:$O$95,15))</f>
        <v/>
      </c>
      <c r="J52" s="841">
        <f>H52*I52</f>
        <v/>
      </c>
      <c r="K52" s="840">
        <f>IF(G52=0,,VLOOKUP(G52,'Industry Average Beta (Global)'!$A$2:$O$95,7))</f>
        <v/>
      </c>
      <c r="L52" s="163">
        <f>IF(I52=0,0,VLOOKUP(G52,'Industry Average Beta (Global)'!$A$2:$M$95,13))</f>
        <v/>
      </c>
    </row>
    <row r="53" ht="14" customHeight="1">
      <c r="A53" s="13" t="inlineStr">
        <is>
          <t>Estimating Market Value of Straight Debt =</t>
        </is>
      </c>
      <c r="B53" s="13" t="n"/>
      <c r="C53" s="847">
        <f>B31*(1-(1+B37)^(-B32))/B37+B30/(1+B37)^B32</f>
        <v/>
      </c>
      <c r="D53" s="7" t="n"/>
      <c r="E53" s="7" t="n"/>
      <c r="F53" s="7" t="n"/>
      <c r="G53" s="55" t="n"/>
      <c r="H53" s="839" t="n"/>
      <c r="I53" s="840">
        <f>IF(G53=0,,VLOOKUP(G53,'Industry Average Beta (Global)'!$A$2:$O$95,15))</f>
        <v/>
      </c>
      <c r="J53" s="841">
        <f>H53*I53</f>
        <v/>
      </c>
      <c r="K53" s="840">
        <f>IF(G53=0,,VLOOKUP(G53,'Industry Average Beta (Global)'!$A$2:$O$95,7))</f>
        <v/>
      </c>
      <c r="L53" s="163">
        <f>IF(I53=0,0,VLOOKUP(G53,'Industry Average Beta (Global)'!$A$2:$M$95,13))</f>
        <v/>
      </c>
    </row>
    <row r="54" ht="14" customHeight="1">
      <c r="A54" s="13" t="inlineStr">
        <is>
          <t>Estimated Value of Straight Debt in Convertible =</t>
        </is>
      </c>
      <c r="B54" s="13" t="n"/>
      <c r="C54" s="847">
        <f>B41*(1-(1+B37)^(-B42))/B37+B40/(1+B37)^B42</f>
        <v/>
      </c>
      <c r="D54" s="7" t="n"/>
      <c r="E54" s="7" t="n"/>
      <c r="F54" s="7" t="n"/>
      <c r="G54" s="55" t="n"/>
      <c r="H54" s="839" t="n"/>
      <c r="I54" s="840">
        <f>IF(G54=0,,VLOOKUP(G54,'Industry Average Beta (Global)'!$A$2:$O$95,15))</f>
        <v/>
      </c>
      <c r="J54" s="841">
        <f>H54*I54</f>
        <v/>
      </c>
      <c r="K54" s="840">
        <f>IF(G54=0,,VLOOKUP(G54,'Industry Average Beta (Global)'!$A$2:$O$95,7))</f>
        <v/>
      </c>
      <c r="L54" s="163">
        <f>IF(I54=0,0,VLOOKUP(G54,'Industry Average Beta (Global)'!$A$2:$M$95,13))</f>
        <v/>
      </c>
    </row>
    <row r="55" ht="14" customHeight="1">
      <c r="A55" s="13" t="inlineStr">
        <is>
          <t>Value of Debt in Operating leases =</t>
        </is>
      </c>
      <c r="B55" s="13" t="n"/>
      <c r="C55" s="847">
        <f>B45</f>
        <v/>
      </c>
      <c r="D55" s="7" t="n"/>
      <c r="E55" s="7" t="n"/>
      <c r="F55" s="7" t="n"/>
      <c r="G55" s="55" t="n"/>
      <c r="H55" s="839" t="n"/>
      <c r="I55" s="840">
        <f>IF(G55=0,,VLOOKUP(G55,'Industry Average Beta (Global)'!$A$2:$O$95,15))</f>
        <v/>
      </c>
      <c r="J55" s="841">
        <f>H55*I55</f>
        <v/>
      </c>
      <c r="K55" s="840">
        <f>IF(G55=0,,VLOOKUP(G55,'Industry Average Beta (Global)'!$A$2:$O$95,7))</f>
        <v/>
      </c>
      <c r="L55" s="163">
        <f>IF(I55=0,0,VLOOKUP(G55,'Industry Average Beta (Global)'!$A$2:$M$95,13))</f>
        <v/>
      </c>
    </row>
    <row r="56" ht="14" customHeight="1">
      <c r="A56" s="13" t="inlineStr">
        <is>
          <t>Estimated Value of Equity in Convertible =</t>
        </is>
      </c>
      <c r="B56" s="13" t="n"/>
      <c r="C56" s="847">
        <f>B43-C54</f>
        <v/>
      </c>
      <c r="D56" s="7" t="n"/>
      <c r="E56" s="7" t="n"/>
      <c r="F56" s="7" t="n"/>
      <c r="G56" s="55" t="n"/>
      <c r="H56" s="839" t="n"/>
      <c r="I56" s="840">
        <f>IF(G56=0,,VLOOKUP(G56,'Industry Average Beta (Global)'!$A$2:$O$95,15))</f>
        <v/>
      </c>
      <c r="J56" s="841">
        <f>H56*I56</f>
        <v/>
      </c>
      <c r="K56" s="840">
        <f>IF(G56=0,,VLOOKUP(G56,'Industry Average Beta (Global)'!$A$2:$O$95,7))</f>
        <v/>
      </c>
      <c r="L56" s="163">
        <f>IF(I56=0,0,VLOOKUP(G56,'Industry Average Beta (Global)'!$A$2:$M$95,13))</f>
        <v/>
      </c>
    </row>
    <row r="57" ht="14" customHeight="1">
      <c r="A57" s="13" t="inlineStr">
        <is>
          <t>Levered Beta for equity =</t>
        </is>
      </c>
      <c r="B57" s="13" t="n"/>
      <c r="C57" s="46">
        <f>IF(B21="Direct Input",B22,B23*(1+(1-B38)*(C60/B60)))</f>
        <v/>
      </c>
      <c r="D57" s="7" t="n"/>
      <c r="E57" s="7" t="n"/>
      <c r="F57" s="7" t="n"/>
      <c r="G57" s="55" t="n"/>
      <c r="H57" s="839" t="n"/>
      <c r="I57" s="840">
        <f>IF(G57=0,,VLOOKUP(G57,'Industry Average Beta (Global)'!$A$2:$O$95,15))</f>
        <v/>
      </c>
      <c r="J57" s="841">
        <f>H57*I57</f>
        <v/>
      </c>
      <c r="K57" s="840">
        <f>IF(G57=0,,VLOOKUP(G57,'Industry Average Beta (Global)'!$A$2:$O$95,7))</f>
        <v/>
      </c>
      <c r="L57" s="163">
        <f>IF(I57=0,0,VLOOKUP(G57,'Industry Average Beta (Global)'!$A$2:$M$95,13))</f>
        <v/>
      </c>
    </row>
    <row r="58" ht="14" customHeight="1">
      <c r="A58" s="7" t="n"/>
      <c r="B58" s="7" t="n"/>
      <c r="C58" s="46" t="n"/>
      <c r="D58" s="7" t="n"/>
      <c r="E58" s="7" t="n"/>
      <c r="F58" s="7" t="n"/>
      <c r="G58" s="55" t="n"/>
      <c r="H58" s="839" t="n"/>
      <c r="I58" s="840">
        <f>IF(G58=0,,VLOOKUP(G58,'Industry Average Beta (Global)'!$A$2:$O$95,15))</f>
        <v/>
      </c>
      <c r="J58" s="841">
        <f>H58*I58</f>
        <v/>
      </c>
      <c r="K58" s="840">
        <f>IF(G58=0,,VLOOKUP(G58,'Industry Average Beta (Global)'!$A$2:$O$95,7))</f>
        <v/>
      </c>
      <c r="L58" s="163">
        <f>IF(I58=0,0,VLOOKUP(G58,'Industry Average Beta (Global)'!$A$2:$M$95,13))</f>
        <v/>
      </c>
    </row>
    <row r="59" ht="14" customHeight="1">
      <c r="A59" s="36" t="n"/>
      <c r="B59" s="37" t="inlineStr">
        <is>
          <t>Equity</t>
        </is>
      </c>
      <c r="C59" s="37" t="inlineStr">
        <is>
          <t xml:space="preserve">Debt </t>
        </is>
      </c>
      <c r="D59" s="37" t="inlineStr">
        <is>
          <t>Preferred Stock</t>
        </is>
      </c>
      <c r="E59" s="37" t="inlineStr">
        <is>
          <t>Capital</t>
        </is>
      </c>
      <c r="F59" s="36" t="n"/>
      <c r="G59" s="160" t="n"/>
      <c r="H59" s="839" t="n"/>
      <c r="I59" s="840">
        <f>IF(G59=0,,VLOOKUP(G59,'Industry Average Beta (Global)'!$A$2:$O$95,15))</f>
        <v/>
      </c>
      <c r="J59" s="841">
        <f>H59*I59</f>
        <v/>
      </c>
      <c r="K59" s="840">
        <f>IF(G59=0,,VLOOKUP(G59,'Industry Average Beta (Global)'!$A$2:$O$95,7))</f>
        <v/>
      </c>
      <c r="L59" s="163">
        <f>IF(I59=0,0,VLOOKUP(G59,'Industry Average Beta (Global)'!$A$2:$M$95,13))</f>
        <v/>
      </c>
    </row>
    <row r="60" ht="14" customHeight="1">
      <c r="A60" s="13" t="inlineStr">
        <is>
          <t>Market Value</t>
        </is>
      </c>
      <c r="B60" s="847">
        <f>B18*B19</f>
        <v/>
      </c>
      <c r="C60" s="848">
        <f>C53+C54+C55</f>
        <v/>
      </c>
      <c r="D60" s="847">
        <f>B48*B49</f>
        <v/>
      </c>
      <c r="E60" s="848">
        <f>SUM(B60:D60)</f>
        <v/>
      </c>
      <c r="F60" s="7" t="n"/>
      <c r="G60" s="55" t="n"/>
      <c r="H60" s="839" t="n"/>
      <c r="I60" s="840">
        <f>IF(G60=0,,VLOOKUP(G60,'Industry Average Beta (Global)'!$A$2:$O$95,15))</f>
        <v/>
      </c>
      <c r="J60" s="841">
        <f>H60*I60</f>
        <v/>
      </c>
      <c r="K60" s="840">
        <f>IF(G60=0,,VLOOKUP(G60,'Industry Average Beta (Global)'!$A$2:$O$95,7))</f>
        <v/>
      </c>
      <c r="L60" s="163">
        <f>IF(I60=0,0,VLOOKUP(G60,'Industry Average Beta (Global)'!$A$2:$M$95,13))</f>
        <v/>
      </c>
      <c r="M60" s="843" t="inlineStr">
        <is>
          <t>The cost of capital  is in US dollars, using the riskfree rate at the start of the year. It will be adjusted for the difference in riskfree rates to make it more current and to change currencies.</t>
        </is>
      </c>
      <c r="N60" s="743" t="n"/>
      <c r="O60" s="744" t="n"/>
    </row>
    <row r="61" ht="15" customHeight="1" thickBot="1">
      <c r="A61" s="13" t="inlineStr">
        <is>
          <t>Weight in Cost of Capital</t>
        </is>
      </c>
      <c r="B61" s="41">
        <f>B60/$E$60</f>
        <v/>
      </c>
      <c r="C61" s="41">
        <f>C60/$E$60</f>
        <v/>
      </c>
      <c r="D61" s="41">
        <f>D60/$E$60</f>
        <v/>
      </c>
      <c r="E61" s="42">
        <f>SUM(B61:D61)</f>
        <v/>
      </c>
      <c r="F61" s="7" t="n"/>
      <c r="G61" s="55" t="n"/>
      <c r="H61" s="839" t="n"/>
      <c r="I61" s="840">
        <f>IF(G61=0,,VLOOKUP(G61,'Industry Average Beta (Global)'!$A$2:$O$95,15))</f>
        <v/>
      </c>
      <c r="J61" s="841">
        <f>H61*I61</f>
        <v/>
      </c>
      <c r="K61" s="840">
        <f>IF(G61=0,,VLOOKUP(G61,'Industry Average Beta (Global)'!$A$2:$O$95,7))</f>
        <v/>
      </c>
      <c r="L61" s="163">
        <f>IF(I61=0,0,VLOOKUP(G61,'Industry Average Beta (Global)'!$A$2:$M$95,13))</f>
        <v/>
      </c>
      <c r="M61" s="746" t="n"/>
      <c r="O61" s="747" t="n"/>
    </row>
    <row r="62" ht="15" customHeight="1" thickBot="1">
      <c r="A62" s="13" t="inlineStr">
        <is>
          <t>Cost of Component</t>
        </is>
      </c>
      <c r="B62" s="43">
        <f>B24+C57*B27</f>
        <v/>
      </c>
      <c r="C62" s="41">
        <f>B37*(1-B38)</f>
        <v/>
      </c>
      <c r="D62" s="44">
        <f>B50/B49</f>
        <v/>
      </c>
      <c r="E62" s="45">
        <f>B61*B62+C61*C62+D61*D62</f>
        <v/>
      </c>
      <c r="F62" s="7" t="n"/>
      <c r="G62" s="55" t="n"/>
      <c r="H62" s="839" t="n"/>
      <c r="I62" s="840">
        <f>IF(G62=0,,VLOOKUP(G62,'Industry Average Beta (Global)'!$A$2:$O$95,15))</f>
        <v/>
      </c>
      <c r="J62" s="841">
        <f>H62*I62</f>
        <v/>
      </c>
      <c r="K62" s="840">
        <f>IF(G62=0,,VLOOKUP(G62,'Industry Average Beta (Global)'!$A$2:$O$95,7))</f>
        <v/>
      </c>
      <c r="L62" s="163">
        <f>IF(I62=0,0,VLOOKUP(G62,'Industry Average Beta (Global)'!$A$2:$M$95,13))</f>
        <v/>
      </c>
      <c r="M62" s="746" t="n"/>
      <c r="O62" s="747" t="n"/>
    </row>
    <row r="63" ht="14" customHeight="1">
      <c r="G63" s="55" t="n"/>
      <c r="H63" s="839" t="n"/>
      <c r="I63" s="840">
        <f>IF(G63=0,,VLOOKUP(G63,'Industry Average Beta (Global)'!$A$2:$O$95,15))</f>
        <v/>
      </c>
      <c r="J63" s="841">
        <f>H63*I63</f>
        <v/>
      </c>
      <c r="K63" s="840">
        <f>IF(G63=0,,VLOOKUP(G63,'Industry Average Beta (Global)'!$A$2:$O$95,7))</f>
        <v/>
      </c>
      <c r="L63" s="163">
        <f>IF(I63=0,0,VLOOKUP(G63,'Industry Average Beta (Global)'!$A$2:$M$95,13))</f>
        <v/>
      </c>
      <c r="M63" s="746" t="n"/>
      <c r="O63" s="747" t="n"/>
    </row>
    <row r="64" ht="15" customHeight="1" thickBot="1">
      <c r="G64" s="64" t="inlineStr">
        <is>
          <t>Company</t>
        </is>
      </c>
      <c r="H64" s="844">
        <f>SUM(H52:H63)</f>
        <v/>
      </c>
      <c r="I64" s="845" t="n"/>
      <c r="J64" s="841">
        <f>SUM(J52:J63)</f>
        <v/>
      </c>
      <c r="K64" s="845">
        <f>K52*(J52/J64)+K53*J53/J64+K54*J54/J64+K55*J55/J64+K56*J56/J64+K57*J57/J64+K58*J58/J64+K59*J59/J64+K60*J60/J64+K61*J61/J64+K62*J62/J64+K63*J63/J64</f>
        <v/>
      </c>
      <c r="L64" s="164">
        <f>L52*(J52/J64)+L53*J53/J64+L54*J54/J64+L55*J55/J64+L56*J56/J64+L57*J57/J64+L58*J58/J64+L59*J59/J64+L60*J60/J64+L61*J61/J64+L62*J62/J64+L63*J63/J64</f>
        <v/>
      </c>
      <c r="M64" s="748" t="n"/>
      <c r="N64" s="749" t="n"/>
      <c r="O64" s="750" t="n"/>
    </row>
    <row r="65" ht="17" customHeight="1" thickBot="1">
      <c r="A65" s="849" t="inlineStr">
        <is>
          <t>Approach 2: industry average cost of capital, adjusted for riskfre rate differences</t>
        </is>
      </c>
      <c r="B65" s="700" t="n"/>
      <c r="C65" s="700" t="n"/>
      <c r="D65" s="700" t="n"/>
      <c r="E65" s="700" t="n"/>
      <c r="F65" s="701" t="n"/>
    </row>
    <row r="66" ht="15" customHeight="1" thickBot="1">
      <c r="A66" s="7" t="inlineStr">
        <is>
          <t xml:space="preserve">Industry </t>
        </is>
      </c>
      <c r="B66" s="165" t="inlineStr">
        <is>
          <t>Multibusiness(US)</t>
        </is>
      </c>
    </row>
    <row r="67" ht="14" customHeight="1" thickBot="1">
      <c r="A67" t="inlineStr">
        <is>
          <t>Cost of capital, adjusted for riskfree rate difference</t>
        </is>
      </c>
      <c r="B67" s="166">
        <f>IF(B66="Single Business(US)",(VLOOKUP('Input sheet'!B8,'Industry Averages(US)'!A2:M95,13)+('Input sheet'!B33-3.88%)),IF(B66="Multibusiness(US)",L48+('Input sheet'!B33-3.88%),IF(B66="Single Business(Global)",(VLOOKUP('Input sheet'!B8,'Industry Average Beta (Global)'!A2:M95,13)+('Input sheet'!B33-3.88%)),L64+('Input sheet'!B33-3.88%))))</f>
        <v/>
      </c>
    </row>
    <row r="68" ht="14" customHeight="1" thickBot="1"/>
    <row r="69" ht="16" customHeight="1">
      <c r="A69" s="850" t="inlineStr">
        <is>
          <t>Approach 3: Uae histogram of costs of capital of all publicly traded firms</t>
        </is>
      </c>
      <c r="B69" s="710" t="n"/>
      <c r="C69" s="710" t="n"/>
      <c r="D69" s="710" t="n"/>
      <c r="E69" s="710" t="n"/>
      <c r="F69" s="711" t="n"/>
    </row>
    <row r="70">
      <c r="A70" t="inlineStr">
        <is>
          <t>Which grouping (US, Emerging Markets, Global)</t>
        </is>
      </c>
      <c r="B70" s="171" t="inlineStr">
        <is>
          <t>Global</t>
        </is>
      </c>
    </row>
    <row r="71">
      <c r="A71" t="inlineStr">
        <is>
          <t>Which risk grouping does your company fall in?</t>
        </is>
      </c>
      <c r="B71" s="171" t="inlineStr">
        <is>
          <t>Third Quartile</t>
        </is>
      </c>
    </row>
    <row r="72">
      <c r="A72" t="inlineStr">
        <is>
          <t>Cost of capital based upon decile/group chosen</t>
        </is>
      </c>
      <c r="B72" s="164">
        <f>VLOOKUP(B70,A75:F79,IF(B71="First Decile",2,IF(B71="First Quartile",3,IF(B71="Median",4,IF(B71="Third Quartile",5,6)))))</f>
        <v/>
      </c>
    </row>
    <row r="74" ht="14" customHeight="1">
      <c r="A74" s="502" t="inlineStr">
        <is>
          <t>Region</t>
        </is>
      </c>
      <c r="B74" s="503" t="inlineStr">
        <is>
          <t>First Decile</t>
        </is>
      </c>
      <c r="C74" s="504" t="inlineStr">
        <is>
          <t>First Quartile</t>
        </is>
      </c>
      <c r="D74" s="504" t="inlineStr">
        <is>
          <t>Median</t>
        </is>
      </c>
      <c r="E74" s="504" t="inlineStr">
        <is>
          <t>Third Quartile</t>
        </is>
      </c>
      <c r="F74" s="504" t="inlineStr">
        <is>
          <t>Ninth Decile</t>
        </is>
      </c>
    </row>
    <row r="75">
      <c r="A75" s="502" t="inlineStr">
        <is>
          <t>Emerging</t>
        </is>
      </c>
      <c r="B75" s="851" t="n">
        <v>0.0741</v>
      </c>
      <c r="C75" s="851" t="n">
        <v>0.0844</v>
      </c>
      <c r="D75" s="851" t="n">
        <v>0.0961</v>
      </c>
      <c r="E75" s="851" t="n">
        <v>0.1099</v>
      </c>
      <c r="F75" s="851" t="n">
        <v>0.1281</v>
      </c>
    </row>
    <row r="76">
      <c r="A76" s="502" t="inlineStr">
        <is>
          <t>Europe</t>
        </is>
      </c>
      <c r="B76" s="851" t="n">
        <v>0.0678</v>
      </c>
      <c r="C76" s="851" t="n">
        <v>0.0765</v>
      </c>
      <c r="D76" s="851" t="n">
        <v>0.0897</v>
      </c>
      <c r="E76" s="851" t="n">
        <v>0.1011</v>
      </c>
      <c r="F76" s="851" t="n">
        <v>0.1152</v>
      </c>
    </row>
    <row r="77">
      <c r="A77" s="502" t="inlineStr">
        <is>
          <t>Global</t>
        </is>
      </c>
      <c r="B77" s="851" t="n">
        <v>0.0689</v>
      </c>
      <c r="C77" s="851" t="n">
        <v>0.08030000000000001</v>
      </c>
      <c r="D77" s="851" t="n">
        <v>0.09060000000000001</v>
      </c>
      <c r="E77" s="851" t="n">
        <v>0.1031</v>
      </c>
      <c r="F77" s="851" t="n">
        <v>0.1175</v>
      </c>
    </row>
    <row r="78">
      <c r="A78" s="502" t="inlineStr">
        <is>
          <t>Japan</t>
        </is>
      </c>
      <c r="B78" s="851" t="n">
        <v>0.06859999999999999</v>
      </c>
      <c r="C78" s="851" t="n">
        <v>0.07830000000000001</v>
      </c>
      <c r="D78" s="851" t="n">
        <v>0.0891</v>
      </c>
      <c r="E78" s="851" t="n">
        <v>0.09770000000000001</v>
      </c>
      <c r="F78" s="851" t="n">
        <v>0.1091</v>
      </c>
    </row>
    <row r="79">
      <c r="A79" s="502" t="inlineStr">
        <is>
          <t>US</t>
        </is>
      </c>
      <c r="B79" s="851" t="n">
        <v>0.0578</v>
      </c>
      <c r="C79" s="851" t="n">
        <v>0.0687</v>
      </c>
      <c r="D79" s="851" t="n">
        <v>0.08349999999999999</v>
      </c>
      <c r="E79" s="851" t="n">
        <v>0.0931</v>
      </c>
      <c r="F79" s="851" t="n">
        <v>0.1005</v>
      </c>
    </row>
    <row r="80" ht="13" customHeight="1">
      <c r="A80" s="652" t="inlineStr">
        <is>
          <t xml:space="preserve">These costs of capital are all in US dollars and reflect the US dollar  riskfree rate at the start of the year. Once you make your choice, though, I will adjust the rate by the difference in riskfree rates, effectively converting currency and bringing it up to date. </t>
        </is>
      </c>
      <c r="B80" s="743" t="n"/>
      <c r="C80" s="743" t="n"/>
      <c r="D80" s="743" t="n"/>
      <c r="E80" s="743" t="n"/>
      <c r="F80" s="743" t="n"/>
    </row>
    <row r="81"/>
  </sheetData>
  <mergeCells count="10">
    <mergeCell ref="M5:Q19"/>
    <mergeCell ref="A4:E9"/>
    <mergeCell ref="M44:O48"/>
    <mergeCell ref="A80:F81"/>
    <mergeCell ref="M60:O64"/>
    <mergeCell ref="A69:F69"/>
    <mergeCell ref="A15:F15"/>
    <mergeCell ref="A1:K2"/>
    <mergeCell ref="A65:F65"/>
    <mergeCell ref="A3:E3"/>
  </mergeCells>
  <dataValidations count="1">
    <dataValidation sqref="B70" showDropDown="0" showInputMessage="1" showErrorMessage="1" allowBlank="1" type="list">
      <formula1>$A$75:$A$79</formula1>
    </dataValidation>
  </dataValidations>
  <pageMargins left="0.75" right="0.75" top="1" bottom="1" header="0.5" footer="0.5"/>
  <pageSetup orientation="portrait" horizontalDpi="4294967292" verticalDpi="4294967292"/>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X37"/>
  <sheetViews>
    <sheetView workbookViewId="0">
      <selection activeCell="A34" sqref="A34:A37"/>
    </sheetView>
  </sheetViews>
  <sheetFormatPr baseColWidth="10" defaultRowHeight="13"/>
  <sheetData>
    <row r="1" ht="23" customFormat="1" customHeight="1" s="238">
      <c r="A1" s="238" t="inlineStr">
        <is>
          <t>Estimating the likelihood of failure</t>
        </is>
      </c>
    </row>
    <row r="2" ht="18" customFormat="1" customHeight="1" s="236">
      <c r="A2" s="236" t="inlineStr">
        <is>
          <t>Approach 1: Using a corporate bond rating</t>
        </is>
      </c>
    </row>
    <row r="3" ht="14" customHeight="1" thickBot="1"/>
    <row r="4" ht="15" customHeight="1" thickBot="1">
      <c r="A4" s="852" t="inlineStr">
        <is>
          <t>Default Probabilities over time (1 - 10 year time horizons)</t>
        </is>
      </c>
      <c r="B4" s="700" t="n"/>
      <c r="C4" s="700" t="n"/>
      <c r="D4" s="700" t="n"/>
      <c r="E4" s="700" t="n"/>
      <c r="F4" s="700" t="n"/>
      <c r="G4" s="700" t="n"/>
      <c r="H4" s="700" t="n"/>
      <c r="I4" s="700" t="n"/>
      <c r="J4" s="700" t="n"/>
      <c r="K4" s="701" t="n"/>
    </row>
    <row r="5" ht="16" customHeight="1">
      <c r="A5" s="134" t="inlineStr">
        <is>
          <t>Rating</t>
        </is>
      </c>
      <c r="B5" s="135" t="n">
        <v>1</v>
      </c>
      <c r="C5" s="135" t="n">
        <v>2</v>
      </c>
      <c r="D5" s="135" t="n">
        <v>3</v>
      </c>
      <c r="E5" s="135" t="n">
        <v>4</v>
      </c>
      <c r="F5" s="135" t="n">
        <v>5</v>
      </c>
      <c r="G5" s="135" t="n">
        <v>6</v>
      </c>
      <c r="H5" s="135" t="n">
        <v>7</v>
      </c>
      <c r="I5" s="135" t="n">
        <v>8</v>
      </c>
      <c r="J5" s="135" t="n">
        <v>9</v>
      </c>
      <c r="K5" s="135" t="n">
        <v>10</v>
      </c>
    </row>
    <row r="6" ht="16" customHeight="1">
      <c r="A6" s="136" t="inlineStr">
        <is>
          <t>AAA</t>
        </is>
      </c>
      <c r="B6" s="137" t="n">
        <v>0</v>
      </c>
      <c r="C6" s="137" t="n">
        <v>0.0003</v>
      </c>
      <c r="D6" s="137" t="n">
        <v>0.0013</v>
      </c>
      <c r="E6" s="137" t="n">
        <v>0.0024</v>
      </c>
      <c r="F6" s="137" t="n">
        <v>0.0035</v>
      </c>
      <c r="G6" s="137" t="n">
        <v>0.004500000000000001</v>
      </c>
      <c r="H6" s="137" t="n">
        <v>0.0051</v>
      </c>
      <c r="I6" s="137" t="n">
        <v>0.0059</v>
      </c>
      <c r="J6" s="137" t="n">
        <v>0.0064</v>
      </c>
      <c r="K6" s="137" t="n">
        <v>0.006999999999999999</v>
      </c>
    </row>
    <row r="7" ht="16" customHeight="1">
      <c r="A7" s="136" t="inlineStr">
        <is>
          <t>AA</t>
        </is>
      </c>
      <c r="B7" s="137" t="n">
        <v>0.0002</v>
      </c>
      <c r="C7" s="137" t="n">
        <v>0.0005999999999999999</v>
      </c>
      <c r="D7" s="137" t="n">
        <v>0.0012</v>
      </c>
      <c r="E7" s="137" t="n">
        <v>0.0021</v>
      </c>
      <c r="F7" s="137" t="n">
        <v>0.0031</v>
      </c>
      <c r="G7" s="137" t="n">
        <v>0.0042</v>
      </c>
      <c r="H7" s="137" t="n">
        <v>0.005</v>
      </c>
      <c r="I7" s="137" t="n">
        <v>0.0058</v>
      </c>
      <c r="J7" s="137" t="n">
        <v>0.006500000000000001</v>
      </c>
      <c r="K7" s="137" t="n">
        <v>0.0072</v>
      </c>
    </row>
    <row r="8" ht="16" customHeight="1">
      <c r="A8" s="136" t="inlineStr">
        <is>
          <t>A</t>
        </is>
      </c>
      <c r="B8" s="137" t="n">
        <v>0.0005</v>
      </c>
      <c r="C8" s="137" t="n">
        <v>0.0014</v>
      </c>
      <c r="D8" s="137" t="n">
        <v>0.0023</v>
      </c>
      <c r="E8" s="137" t="n">
        <v>0.0035</v>
      </c>
      <c r="F8" s="137" t="n">
        <v>0.004699999999999999</v>
      </c>
      <c r="G8" s="137" t="n">
        <v>0.0062</v>
      </c>
      <c r="H8" s="137" t="n">
        <v>0.007900000000000001</v>
      </c>
      <c r="I8" s="137" t="n">
        <v>0.009300000000000001</v>
      </c>
      <c r="J8" s="137" t="n">
        <v>0.0108</v>
      </c>
      <c r="K8" s="137" t="n">
        <v>0.0124</v>
      </c>
    </row>
    <row r="9" ht="16" customHeight="1">
      <c r="A9" s="136" t="inlineStr">
        <is>
          <t>BBB</t>
        </is>
      </c>
      <c r="B9" s="137" t="n">
        <v>0.0016</v>
      </c>
      <c r="C9" s="137" t="n">
        <v>0.004500000000000001</v>
      </c>
      <c r="D9" s="137" t="n">
        <v>0.007800000000000001</v>
      </c>
      <c r="E9" s="137" t="n">
        <v>0.0117</v>
      </c>
      <c r="F9" s="137" t="n">
        <v>0.0158</v>
      </c>
      <c r="G9" s="137" t="n">
        <v>0.0198</v>
      </c>
      <c r="H9" s="137" t="n">
        <v>0.0233</v>
      </c>
      <c r="I9" s="137" t="n">
        <v>0.0267</v>
      </c>
      <c r="J9" s="137" t="n">
        <v>0.03</v>
      </c>
      <c r="K9" s="137" t="n">
        <v>0.0332</v>
      </c>
    </row>
    <row r="10" ht="16" customHeight="1">
      <c r="A10" s="136" t="inlineStr">
        <is>
          <t>BB</t>
        </is>
      </c>
      <c r="B10" s="137" t="n">
        <v>0.0061</v>
      </c>
      <c r="C10" s="137" t="n">
        <v>0.0192</v>
      </c>
      <c r="D10" s="137" t="n">
        <v>0.0348</v>
      </c>
      <c r="E10" s="137" t="n">
        <v>0.0505</v>
      </c>
      <c r="F10" s="137" t="n">
        <v>0.06519999999999999</v>
      </c>
      <c r="G10" s="137" t="n">
        <v>0.0785</v>
      </c>
      <c r="H10" s="137" t="n">
        <v>0.0901</v>
      </c>
      <c r="I10" s="137" t="n">
        <v>0.1004</v>
      </c>
      <c r="J10" s="137" t="n">
        <v>0.1097</v>
      </c>
      <c r="K10" s="137" t="n">
        <v>0.1178</v>
      </c>
    </row>
    <row r="11" ht="16" customHeight="1">
      <c r="A11" s="136" t="inlineStr">
        <is>
          <t>B</t>
        </is>
      </c>
      <c r="B11" s="137" t="n">
        <v>0.0333</v>
      </c>
      <c r="C11" s="137" t="n">
        <v>0.0771</v>
      </c>
      <c r="D11" s="137" t="n">
        <v>0.1155</v>
      </c>
      <c r="E11" s="137" t="n">
        <v>0.1458</v>
      </c>
      <c r="F11" s="137" t="n">
        <v>0.1693</v>
      </c>
      <c r="G11" s="137" t="n">
        <v>0.1883</v>
      </c>
      <c r="H11" s="137" t="n">
        <v>0.2036</v>
      </c>
      <c r="I11" s="137" t="n">
        <v>0.216</v>
      </c>
      <c r="J11" s="137" t="n">
        <v>0.227</v>
      </c>
      <c r="K11" s="137" t="n">
        <v>0.2374</v>
      </c>
    </row>
    <row r="12" ht="16" customHeight="1">
      <c r="A12" s="136" t="inlineStr">
        <is>
          <t>CCC/C</t>
        </is>
      </c>
      <c r="B12" s="137" t="n">
        <v>0.2708</v>
      </c>
      <c r="C12" s="137" t="n">
        <v>0.3664</v>
      </c>
      <c r="D12" s="137" t="n">
        <v>0.4141</v>
      </c>
      <c r="E12" s="137" t="n">
        <v>0.441</v>
      </c>
      <c r="F12" s="137" t="n">
        <v>0.4619</v>
      </c>
      <c r="G12" s="137" t="n">
        <v>0.4709</v>
      </c>
      <c r="H12" s="137" t="n">
        <v>0.4826</v>
      </c>
      <c r="I12" s="137" t="n">
        <v>0.4905</v>
      </c>
      <c r="J12" s="137" t="n">
        <v>0.4976</v>
      </c>
      <c r="K12" s="137" t="n">
        <v>0.5038</v>
      </c>
    </row>
    <row r="14" ht="16" customHeight="1">
      <c r="A14" s="237" t="inlineStr">
        <is>
          <t>Thus, if you use the 10-year likelihood of failure, the chance of failure for a BB rated firm is 11.78%.</t>
        </is>
      </c>
    </row>
    <row r="16" ht="18" customFormat="1" customHeight="1" s="236">
      <c r="A16" s="236" t="inlineStr">
        <is>
          <t>Approach 2: Using corporate age (for young companies)</t>
        </is>
      </c>
    </row>
    <row r="17">
      <c r="O17" s="695" t="inlineStr">
        <is>
          <t>Survial Rate Data from Bureau of Labor Statistics (2022)</t>
        </is>
      </c>
    </row>
    <row r="18" ht="16" customHeight="1">
      <c r="A18" s="239" t="n"/>
      <c r="B18" s="240" t="n"/>
      <c r="C18" s="241" t="inlineStr">
        <is>
          <t>Agriculture</t>
        </is>
      </c>
      <c r="D18" s="241" t="inlineStr">
        <is>
          <t>Mining</t>
        </is>
      </c>
      <c r="E18" s="241" t="inlineStr">
        <is>
          <t>Utilities</t>
        </is>
      </c>
      <c r="F18" s="241" t="inlineStr">
        <is>
          <t>Construction</t>
        </is>
      </c>
      <c r="G18" s="241" t="inlineStr">
        <is>
          <t>Manufacturing</t>
        </is>
      </c>
      <c r="H18" s="241" t="inlineStr">
        <is>
          <t>Retail</t>
        </is>
      </c>
      <c r="I18" s="241" t="inlineStr">
        <is>
          <t>Transportation</t>
        </is>
      </c>
      <c r="J18" s="241" t="inlineStr">
        <is>
          <t>Information</t>
        </is>
      </c>
      <c r="K18" s="241" t="inlineStr">
        <is>
          <t>Health Care</t>
        </is>
      </c>
      <c r="L18" s="241" t="inlineStr">
        <is>
          <t>All Sectors</t>
        </is>
      </c>
      <c r="O18" s="241" t="inlineStr">
        <is>
          <t>Agriculture</t>
        </is>
      </c>
      <c r="P18" s="241" t="inlineStr">
        <is>
          <t>Mining</t>
        </is>
      </c>
      <c r="Q18" s="241" t="inlineStr">
        <is>
          <t>Utilities</t>
        </is>
      </c>
      <c r="R18" s="241" t="inlineStr">
        <is>
          <t>Construction</t>
        </is>
      </c>
      <c r="S18" s="241" t="inlineStr">
        <is>
          <t>Manufacturing</t>
        </is>
      </c>
      <c r="T18" s="241" t="inlineStr">
        <is>
          <t>Retail</t>
        </is>
      </c>
      <c r="U18" s="241" t="inlineStr">
        <is>
          <t>Transportation</t>
        </is>
      </c>
      <c r="V18" s="241" t="inlineStr">
        <is>
          <t>Information</t>
        </is>
      </c>
      <c r="W18" s="241" t="inlineStr">
        <is>
          <t>Health Care</t>
        </is>
      </c>
      <c r="X18" s="241" t="inlineStr">
        <is>
          <t>All Sectors</t>
        </is>
      </c>
    </row>
    <row r="19" ht="16" customHeight="1">
      <c r="A19" s="853" t="inlineStr">
        <is>
          <t>Failure Rate given age</t>
        </is>
      </c>
      <c r="B19" s="244" t="n">
        <v>0</v>
      </c>
      <c r="C19" s="242">
        <f>1-O28</f>
        <v/>
      </c>
      <c r="D19" s="242">
        <f>1-P28</f>
        <v/>
      </c>
      <c r="E19" s="242">
        <f>1-Q28</f>
        <v/>
      </c>
      <c r="F19" s="242">
        <f>1-R28</f>
        <v/>
      </c>
      <c r="G19" s="242">
        <f>1-S28</f>
        <v/>
      </c>
      <c r="H19" s="242">
        <f>1-T28</f>
        <v/>
      </c>
      <c r="I19" s="242">
        <f>1-U28</f>
        <v/>
      </c>
      <c r="J19" s="242">
        <f>1-V28</f>
        <v/>
      </c>
      <c r="K19" s="242">
        <f>1-W28</f>
        <v/>
      </c>
      <c r="L19" s="242">
        <f>1-X28</f>
        <v/>
      </c>
      <c r="N19" t="n">
        <v>1</v>
      </c>
      <c r="O19" s="243" t="n">
        <v>0.823</v>
      </c>
      <c r="P19" s="243" t="n">
        <v>0.8179999999999999</v>
      </c>
      <c r="Q19" s="243" t="n">
        <v>0.84</v>
      </c>
      <c r="R19" s="243" t="n">
        <v>0.743</v>
      </c>
      <c r="S19" s="243" t="n">
        <v>0.828</v>
      </c>
      <c r="T19" s="243" t="n">
        <v>0.831</v>
      </c>
      <c r="U19" s="243" t="n">
        <v>0.769</v>
      </c>
      <c r="V19" s="243" t="n">
        <v>0.752</v>
      </c>
      <c r="W19" s="243" t="n">
        <v>0.8140000000000001</v>
      </c>
      <c r="X19" s="243" t="n">
        <v>0.7829999999999999</v>
      </c>
    </row>
    <row r="20" ht="16" customHeight="1">
      <c r="A20" s="854" t="n"/>
      <c r="B20" s="244" t="n">
        <v>1</v>
      </c>
      <c r="C20" s="242">
        <f>O19-O$28</f>
        <v/>
      </c>
      <c r="D20" s="242">
        <f>P19-P$28</f>
        <v/>
      </c>
      <c r="E20" s="242">
        <f>Q19-Q$28</f>
        <v/>
      </c>
      <c r="F20" s="242">
        <f>R19-R$28</f>
        <v/>
      </c>
      <c r="G20" s="242">
        <f>S19-S$28</f>
        <v/>
      </c>
      <c r="H20" s="242">
        <f>T19-T$28</f>
        <v/>
      </c>
      <c r="I20" s="242">
        <f>U19-U$28</f>
        <v/>
      </c>
      <c r="J20" s="242">
        <f>V19-V$28</f>
        <v/>
      </c>
      <c r="K20" s="242">
        <f>W19-W$28</f>
        <v/>
      </c>
      <c r="L20" s="242">
        <f>X19-X$28</f>
        <v/>
      </c>
      <c r="N20" t="n">
        <v>2</v>
      </c>
      <c r="O20" s="243" t="n">
        <v>0.748</v>
      </c>
      <c r="P20" s="243" t="n">
        <v>0.7120000000000001</v>
      </c>
      <c r="Q20" s="243" t="n">
        <v>0.735</v>
      </c>
      <c r="R20" s="243" t="n">
        <v>0.598</v>
      </c>
      <c r="S20" s="243" t="n">
        <v>0.7240000000000001</v>
      </c>
      <c r="T20" s="243" t="n">
        <v>0.7240000000000001</v>
      </c>
      <c r="U20" s="243" t="n">
        <v>0.636</v>
      </c>
      <c r="V20" s="243" t="n">
        <v>0.627</v>
      </c>
      <c r="W20" s="243" t="n">
        <v>0.722</v>
      </c>
      <c r="X20" s="243" t="n">
        <v>0.662</v>
      </c>
    </row>
    <row r="21" ht="16" customHeight="1">
      <c r="A21" s="854" t="n"/>
      <c r="B21" s="244" t="n">
        <v>2</v>
      </c>
      <c r="C21" s="242">
        <f>O20-O$28</f>
        <v/>
      </c>
      <c r="D21" s="242">
        <f>P20-P$28</f>
        <v/>
      </c>
      <c r="E21" s="242">
        <f>Q20-Q$28</f>
        <v/>
      </c>
      <c r="F21" s="242">
        <f>R20-R$28</f>
        <v/>
      </c>
      <c r="G21" s="242">
        <f>S20-S$28</f>
        <v/>
      </c>
      <c r="H21" s="242">
        <f>T20-T$28</f>
        <v/>
      </c>
      <c r="I21" s="242">
        <f>U20-U$28</f>
        <v/>
      </c>
      <c r="J21" s="242">
        <f>V20-V$28</f>
        <v/>
      </c>
      <c r="K21" s="242">
        <f>W20-W$28</f>
        <v/>
      </c>
      <c r="L21" s="242">
        <f>X20-X$28</f>
        <v/>
      </c>
      <c r="N21" t="n">
        <v>3</v>
      </c>
      <c r="O21" s="243" t="n">
        <v>0.6609999999999999</v>
      </c>
      <c r="P21" s="243" t="n">
        <v>0.629</v>
      </c>
      <c r="Q21" s="243" t="n">
        <v>0.67</v>
      </c>
      <c r="R21" s="243" t="n">
        <v>0.456</v>
      </c>
      <c r="S21" s="243" t="n">
        <v>0.622</v>
      </c>
      <c r="T21" s="243" t="n">
        <v>0.631</v>
      </c>
      <c r="U21" s="243" t="n">
        <v>0.523</v>
      </c>
      <c r="V21" s="243" t="n">
        <v>0.5329999999999999</v>
      </c>
      <c r="W21" s="243" t="n">
        <v>0.674</v>
      </c>
      <c r="X21" s="243" t="n">
        <v>0.5660000000000001</v>
      </c>
    </row>
    <row r="22" ht="16" customHeight="1">
      <c r="A22" s="854" t="n"/>
      <c r="B22" s="244" t="n">
        <v>3</v>
      </c>
      <c r="C22" s="242">
        <f>O21-O$28</f>
        <v/>
      </c>
      <c r="D22" s="242">
        <f>P21-P$28</f>
        <v/>
      </c>
      <c r="E22" s="242">
        <f>Q21-Q$28</f>
        <v/>
      </c>
      <c r="F22" s="242">
        <f>R21-R$28</f>
        <v/>
      </c>
      <c r="G22" s="242">
        <f>S21-S$28</f>
        <v/>
      </c>
      <c r="H22" s="242">
        <f>T21-T$28</f>
        <v/>
      </c>
      <c r="I22" s="242">
        <f>U21-U$28</f>
        <v/>
      </c>
      <c r="J22" s="242">
        <f>V21-V$28</f>
        <v/>
      </c>
      <c r="K22" s="242">
        <f>W21-W$28</f>
        <v/>
      </c>
      <c r="L22" s="242">
        <f>X21-X$28</f>
        <v/>
      </c>
      <c r="N22" t="n">
        <v>4</v>
      </c>
      <c r="O22" s="243" t="n">
        <v>0.612</v>
      </c>
      <c r="P22" s="243" t="n">
        <v>0.5379999999999999</v>
      </c>
      <c r="Q22" s="243" t="n">
        <v>0.629</v>
      </c>
      <c r="R22" s="243" t="n">
        <v>0.371</v>
      </c>
      <c r="S22" s="243" t="n">
        <v>0.541</v>
      </c>
      <c r="T22" s="243" t="n">
        <v>0.5649999999999999</v>
      </c>
      <c r="U22" s="243" t="n">
        <v>0.45</v>
      </c>
      <c r="V22" s="243" t="n">
        <v>0.464</v>
      </c>
      <c r="W22" s="243" t="n">
        <v>0.613</v>
      </c>
      <c r="X22" s="243" t="n">
        <v>0.498</v>
      </c>
    </row>
    <row r="23" ht="16" customHeight="1">
      <c r="A23" s="854" t="n"/>
      <c r="B23" s="244" t="n">
        <v>4</v>
      </c>
      <c r="C23" s="242">
        <f>O22-O$28</f>
        <v/>
      </c>
      <c r="D23" s="242">
        <f>P22-P$28</f>
        <v/>
      </c>
      <c r="E23" s="242">
        <f>Q22-Q$28</f>
        <v/>
      </c>
      <c r="F23" s="242">
        <f>R22-R$28</f>
        <v/>
      </c>
      <c r="G23" s="242">
        <f>S22-S$28</f>
        <v/>
      </c>
      <c r="H23" s="242">
        <f>T22-T$28</f>
        <v/>
      </c>
      <c r="I23" s="242">
        <f>U22-U$28</f>
        <v/>
      </c>
      <c r="J23" s="242">
        <f>V22-V$28</f>
        <v/>
      </c>
      <c r="K23" s="242">
        <f>W22-W$28</f>
        <v/>
      </c>
      <c r="L23" s="242">
        <f>X22-X$28</f>
        <v/>
      </c>
      <c r="N23" t="n">
        <v>5</v>
      </c>
      <c r="O23" s="243" t="n">
        <v>0.574</v>
      </c>
      <c r="P23" s="243" t="n">
        <v>0.512</v>
      </c>
      <c r="Q23" s="243" t="n">
        <v>0.5649999999999999</v>
      </c>
      <c r="R23" s="243" t="n">
        <v>0.332</v>
      </c>
      <c r="S23" s="243" t="n">
        <v>0.494</v>
      </c>
      <c r="T23" s="243" t="n">
        <v>0.521</v>
      </c>
      <c r="U23" s="243" t="n">
        <v>0.411</v>
      </c>
      <c r="V23" s="243" t="n">
        <v>0.419</v>
      </c>
      <c r="W23" s="243" t="n">
        <v>0.5589999999999999</v>
      </c>
      <c r="X23" s="243" t="n">
        <v>0.454</v>
      </c>
    </row>
    <row r="24" ht="16" customHeight="1">
      <c r="A24" s="854" t="n"/>
      <c r="B24" s="244" t="n">
        <v>5</v>
      </c>
      <c r="C24" s="242">
        <f>O23-O$28</f>
        <v/>
      </c>
      <c r="D24" s="242">
        <f>P23-P$28</f>
        <v/>
      </c>
      <c r="E24" s="242">
        <f>Q23-Q$28</f>
        <v/>
      </c>
      <c r="F24" s="242">
        <f>R23-R$28</f>
        <v/>
      </c>
      <c r="G24" s="242">
        <f>S23-S$28</f>
        <v/>
      </c>
      <c r="H24" s="242">
        <f>T23-T$28</f>
        <v/>
      </c>
      <c r="I24" s="242">
        <f>U23-U$28</f>
        <v/>
      </c>
      <c r="J24" s="242">
        <f>V23-V$28</f>
        <v/>
      </c>
      <c r="K24" s="242">
        <f>W23-W$28</f>
        <v/>
      </c>
      <c r="L24" s="242">
        <f>X23-X$28</f>
        <v/>
      </c>
      <c r="N24" t="n">
        <v>6</v>
      </c>
      <c r="O24" s="243" t="n">
        <v>0.541</v>
      </c>
      <c r="P24" s="243" t="n">
        <v>0.472</v>
      </c>
      <c r="Q24" s="243" t="n">
        <v>0.556</v>
      </c>
      <c r="R24" s="243" t="n">
        <v>0.306</v>
      </c>
      <c r="S24" s="243" t="n">
        <v>0.463</v>
      </c>
      <c r="T24" s="243" t="n">
        <v>0.485</v>
      </c>
      <c r="U24" s="243" t="n">
        <v>0.377</v>
      </c>
      <c r="V24" s="243" t="n">
        <v>0.3720000000000001</v>
      </c>
      <c r="W24" s="243" t="n">
        <v>0.5479999999999999</v>
      </c>
      <c r="X24" s="243" t="n">
        <v>0.423</v>
      </c>
    </row>
    <row r="25" ht="16" customHeight="1">
      <c r="A25" s="854" t="n"/>
      <c r="B25" s="244" t="n">
        <v>6</v>
      </c>
      <c r="C25" s="242">
        <f>O24-O$28</f>
        <v/>
      </c>
      <c r="D25" s="242">
        <f>P24-P$28</f>
        <v/>
      </c>
      <c r="E25" s="242">
        <f>Q24-Q$28</f>
        <v/>
      </c>
      <c r="F25" s="242">
        <f>R24-R$28</f>
        <v/>
      </c>
      <c r="G25" s="242">
        <f>S24-S$28</f>
        <v/>
      </c>
      <c r="H25" s="242">
        <f>T24-T$28</f>
        <v/>
      </c>
      <c r="I25" s="242">
        <f>U24-U$28</f>
        <v/>
      </c>
      <c r="J25" s="242">
        <f>V24-V$28</f>
        <v/>
      </c>
      <c r="K25" s="242">
        <f>W24-W$28</f>
        <v/>
      </c>
      <c r="L25" s="242">
        <f>X24-X$28</f>
        <v/>
      </c>
      <c r="N25" t="n">
        <v>7</v>
      </c>
      <c r="O25" s="243" t="n">
        <v>0.516</v>
      </c>
      <c r="P25" s="243" t="n">
        <v>0.429</v>
      </c>
      <c r="Q25" s="243" t="n">
        <v>0.516</v>
      </c>
      <c r="R25" s="243" t="n">
        <v>0.284</v>
      </c>
      <c r="S25" s="243" t="n">
        <v>0.4379999999999999</v>
      </c>
      <c r="T25" s="243" t="n">
        <v>0.457</v>
      </c>
      <c r="U25" s="243" t="n">
        <v>0.349</v>
      </c>
      <c r="V25" s="243" t="n">
        <v>0.34</v>
      </c>
      <c r="W25" s="243" t="n">
        <v>0.529</v>
      </c>
      <c r="X25" s="243" t="n">
        <v>0.396</v>
      </c>
    </row>
    <row r="26" ht="16" customHeight="1">
      <c r="A26" s="854" t="n"/>
      <c r="B26" s="244" t="n">
        <v>7</v>
      </c>
      <c r="C26" s="242">
        <f>O25-O$28</f>
        <v/>
      </c>
      <c r="D26" s="242">
        <f>P25-P$28</f>
        <v/>
      </c>
      <c r="E26" s="242">
        <f>Q25-Q$28</f>
        <v/>
      </c>
      <c r="F26" s="242">
        <f>R25-R$28</f>
        <v/>
      </c>
      <c r="G26" s="242">
        <f>S25-S$28</f>
        <v/>
      </c>
      <c r="H26" s="242">
        <f>T25-T$28</f>
        <v/>
      </c>
      <c r="I26" s="242">
        <f>U25-U$28</f>
        <v/>
      </c>
      <c r="J26" s="242">
        <f>V25-V$28</f>
        <v/>
      </c>
      <c r="K26" s="242">
        <f>W25-W$28</f>
        <v/>
      </c>
      <c r="L26" s="242">
        <f>X25-X$28</f>
        <v/>
      </c>
      <c r="N26" t="n">
        <v>8</v>
      </c>
      <c r="O26" s="243" t="n">
        <v>0.495</v>
      </c>
      <c r="P26" s="243" t="n">
        <v>0.405</v>
      </c>
      <c r="Q26" s="243" t="n">
        <v>0.503</v>
      </c>
      <c r="R26" s="243" t="n">
        <v>0.271</v>
      </c>
      <c r="S26" s="243" t="n">
        <v>0.415</v>
      </c>
      <c r="T26" s="243" t="n">
        <v>0.433</v>
      </c>
      <c r="U26" s="243" t="n">
        <v>0.324</v>
      </c>
      <c r="V26" s="243" t="n">
        <v>0.314</v>
      </c>
      <c r="W26" s="243" t="n">
        <v>0.484</v>
      </c>
      <c r="X26" s="243" t="n">
        <v>0.371</v>
      </c>
    </row>
    <row r="27" ht="16" customHeight="1">
      <c r="A27" s="854" t="n"/>
      <c r="B27" s="244" t="n">
        <v>8</v>
      </c>
      <c r="C27" s="242">
        <f>O26-O$28</f>
        <v/>
      </c>
      <c r="D27" s="242">
        <f>P26-P$28</f>
        <v/>
      </c>
      <c r="E27" s="242">
        <f>Q26-Q$28</f>
        <v/>
      </c>
      <c r="F27" s="242">
        <f>R26-R$28</f>
        <v/>
      </c>
      <c r="G27" s="242">
        <f>S26-S$28</f>
        <v/>
      </c>
      <c r="H27" s="242">
        <f>T26-T$28</f>
        <v/>
      </c>
      <c r="I27" s="242">
        <f>U26-U$28</f>
        <v/>
      </c>
      <c r="J27" s="242">
        <f>V26-V$28</f>
        <v/>
      </c>
      <c r="K27" s="242">
        <f>W26-W$28</f>
        <v/>
      </c>
      <c r="L27" s="242">
        <f>X26-X$28</f>
        <v/>
      </c>
      <c r="N27" t="n">
        <v>9</v>
      </c>
      <c r="O27" s="243" t="n">
        <v>0.465</v>
      </c>
      <c r="P27" s="243" t="n">
        <v>0.371</v>
      </c>
      <c r="Q27" s="243" t="n">
        <v>0.476</v>
      </c>
      <c r="R27" s="243" t="n">
        <v>0.258</v>
      </c>
      <c r="S27" s="243" t="n">
        <v>0.4</v>
      </c>
      <c r="T27" s="243" t="n">
        <v>0.41</v>
      </c>
      <c r="U27" s="243" t="n">
        <v>0.305</v>
      </c>
      <c r="V27" s="243" t="n">
        <v>0.274</v>
      </c>
      <c r="W27" s="243" t="n">
        <v>0.455</v>
      </c>
      <c r="X27" s="243" t="n">
        <v>0.348</v>
      </c>
    </row>
    <row r="28" ht="16" customHeight="1">
      <c r="A28" s="855" t="n"/>
      <c r="B28" s="244" t="n">
        <v>9</v>
      </c>
      <c r="C28" s="242">
        <f>O27-O$28</f>
        <v/>
      </c>
      <c r="D28" s="242">
        <f>P27-P$28</f>
        <v/>
      </c>
      <c r="E28" s="242">
        <f>Q27-Q$28</f>
        <v/>
      </c>
      <c r="F28" s="242">
        <f>R27-R$28</f>
        <v/>
      </c>
      <c r="G28" s="242">
        <f>S27-S$28</f>
        <v/>
      </c>
      <c r="H28" s="242">
        <f>T27-T$28</f>
        <v/>
      </c>
      <c r="I28" s="242">
        <f>U27-U$28</f>
        <v/>
      </c>
      <c r="J28" s="242">
        <f>V27-V$28</f>
        <v/>
      </c>
      <c r="K28" s="242">
        <f>W27-W$28</f>
        <v/>
      </c>
      <c r="L28" s="242">
        <f>X27-X$28</f>
        <v/>
      </c>
      <c r="N28" t="n">
        <v>10</v>
      </c>
      <c r="O28" s="243" t="n">
        <v>0.449</v>
      </c>
      <c r="P28" s="243" t="n">
        <v>0.323</v>
      </c>
      <c r="Q28" s="243" t="n">
        <v>0.449</v>
      </c>
      <c r="R28" s="243" t="n">
        <v>0.247</v>
      </c>
      <c r="S28" s="243" t="n">
        <v>0.381</v>
      </c>
      <c r="T28" s="243" t="n">
        <v>0.39</v>
      </c>
      <c r="U28" s="243" t="n">
        <v>0.284</v>
      </c>
      <c r="V28" s="243" t="n">
        <v>0.255</v>
      </c>
      <c r="W28" s="243" t="n">
        <v>0.425</v>
      </c>
      <c r="X28" s="243" t="n">
        <v>0.328</v>
      </c>
    </row>
    <row r="29" ht="16" customHeight="1">
      <c r="B29" s="244" t="n">
        <v>10</v>
      </c>
      <c r="C29" s="242">
        <f>O28-O$28</f>
        <v/>
      </c>
      <c r="D29" s="242">
        <f>P28-P$28</f>
        <v/>
      </c>
      <c r="E29" s="242">
        <f>Q28-Q$28</f>
        <v/>
      </c>
      <c r="F29" s="242">
        <f>R28-R$28</f>
        <v/>
      </c>
      <c r="G29" s="242">
        <f>S28-S$28</f>
        <v/>
      </c>
      <c r="H29" s="242">
        <f>T28-T$28</f>
        <v/>
      </c>
      <c r="I29" s="242">
        <f>U28-U$28</f>
        <v/>
      </c>
      <c r="J29" s="242">
        <f>V28-V$28</f>
        <v/>
      </c>
      <c r="K29" s="242">
        <f>W28-W$28</f>
        <v/>
      </c>
      <c r="L29" s="242">
        <f>X28-X$28</f>
        <v/>
      </c>
    </row>
    <row r="30" ht="16" customHeight="1">
      <c r="A30" t="inlineStr">
        <is>
          <t>Source; Bureau of Labor Statistics</t>
        </is>
      </c>
      <c r="B30" s="246" t="n"/>
      <c r="C30" s="247" t="n"/>
      <c r="D30" s="247" t="n"/>
      <c r="E30" s="247" t="n"/>
      <c r="F30" s="247" t="n"/>
      <c r="G30" s="247" t="n"/>
      <c r="H30" s="247" t="n"/>
      <c r="I30" s="247" t="n"/>
      <c r="J30" s="247" t="n"/>
      <c r="K30" s="247" t="n"/>
      <c r="L30" s="247" t="n"/>
    </row>
    <row r="31" ht="16" customFormat="1" customHeight="1" s="187">
      <c r="A31" s="187" t="inlineStr">
        <is>
          <t>Thus, if you are valuing a technology firm that is 6 years old, the chance of failure is 11.70%.</t>
        </is>
      </c>
    </row>
    <row r="32" ht="16" customHeight="1">
      <c r="B32" s="187" t="n"/>
      <c r="C32" s="187" t="n"/>
      <c r="D32" s="187" t="n"/>
      <c r="E32" s="187" t="n"/>
      <c r="F32" s="187" t="n"/>
      <c r="G32" s="187" t="n"/>
      <c r="H32" s="187" t="n"/>
      <c r="I32" s="187" t="n"/>
      <c r="J32" s="187" t="n"/>
      <c r="K32" s="187" t="n"/>
      <c r="L32" s="187" t="n"/>
    </row>
    <row r="33" ht="16" customHeight="1">
      <c r="A33" s="245" t="inlineStr">
        <is>
          <t>Factors to consider</t>
        </is>
      </c>
    </row>
    <row r="34" ht="16" customHeight="1">
      <c r="A34" s="187" t="inlineStr">
        <is>
          <t xml:space="preserve">1. The likelihood of failure decreases for larger firms. </t>
        </is>
      </c>
    </row>
    <row r="35" ht="16" customHeight="1">
      <c r="A35" s="187" t="inlineStr">
        <is>
          <t>2. The likelihood of failure decreases with access to capital, and is thus lower for publicly traded firms or firms with multiple high profile VCs</t>
        </is>
      </c>
    </row>
    <row r="36" ht="16" customHeight="1">
      <c r="A36" s="187" t="inlineStr">
        <is>
          <t>3. The likelihood of failure decreases as revenue growth increases, since hope for future growth will sustain the firm.</t>
        </is>
      </c>
    </row>
    <row r="37" ht="16" customHeight="1">
      <c r="A37" s="187" t="inlineStr">
        <is>
          <t>4. The likelihood of failure decreases with better unit economics, higher gross margins on the additional units sold</t>
        </is>
      </c>
    </row>
  </sheetData>
  <mergeCells count="3">
    <mergeCell ref="A19:A28"/>
    <mergeCell ref="A4:K4"/>
    <mergeCell ref="O17:X17"/>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H50"/>
  <sheetViews>
    <sheetView topLeftCell="A14" workbookViewId="0">
      <selection activeCell="F50" sqref="F50"/>
    </sheetView>
  </sheetViews>
  <sheetFormatPr baseColWidth="10" defaultRowHeight="16"/>
  <cols>
    <col width="28.5" bestFit="1" customWidth="1" style="176" min="1" max="1"/>
    <col width="14" bestFit="1" customWidth="1" style="176" min="2" max="2"/>
    <col width="12.5" bestFit="1" customWidth="1" style="176" min="3" max="3"/>
    <col width="16.33203125" bestFit="1" customWidth="1" style="176" min="4" max="4"/>
    <col width="18.33203125" bestFit="1" customWidth="1" style="176" min="5" max="5"/>
    <col width="16.33203125" bestFit="1" customWidth="1" style="176" min="6" max="6"/>
    <col width="12.5" bestFit="1" customWidth="1" style="176" min="7" max="8"/>
  </cols>
  <sheetData>
    <row r="1" ht="52" customFormat="1" customHeight="1" s="118" thickBot="1">
      <c r="A1" s="172" t="inlineStr">
        <is>
          <t>Year</t>
        </is>
      </c>
      <c r="B1" s="172" t="inlineStr">
        <is>
          <t>Revenues</t>
        </is>
      </c>
      <c r="C1" s="172" t="inlineStr">
        <is>
          <t>Revenue Growth Rate</t>
        </is>
      </c>
      <c r="D1" s="172" t="inlineStr">
        <is>
          <t>Pre-Tax Operating Margin</t>
        </is>
      </c>
      <c r="E1" s="172" t="inlineStr">
        <is>
          <t>Pre-Tax Operating Income</t>
        </is>
      </c>
      <c r="F1" s="172" t="inlineStr">
        <is>
          <t>NOL</t>
        </is>
      </c>
      <c r="G1" s="172" t="inlineStr">
        <is>
          <t>Taxes</t>
        </is>
      </c>
      <c r="H1" s="172" t="inlineStr">
        <is>
          <t>After-Tax Operating Income</t>
        </is>
      </c>
    </row>
    <row r="2" customFormat="1" s="118">
      <c r="A2" s="103" t="inlineStr">
        <is>
          <t>Traling 12 month</t>
        </is>
      </c>
      <c r="B2" s="856">
        <f>'Valuation output'!B3</f>
        <v/>
      </c>
      <c r="C2" s="103" t="n"/>
      <c r="D2" s="174">
        <f>'Valuation output'!B4</f>
        <v/>
      </c>
      <c r="E2" s="856">
        <f>B2*D2</f>
        <v/>
      </c>
      <c r="F2" s="856">
        <f>'Valuation output'!B10</f>
        <v/>
      </c>
      <c r="G2" s="856">
        <f>E2-H2</f>
        <v/>
      </c>
      <c r="H2" s="856">
        <f>'Valuation output'!B7</f>
        <v/>
      </c>
    </row>
    <row r="3" customFormat="1" s="118">
      <c r="A3" s="103" t="n">
        <v>1</v>
      </c>
      <c r="B3" s="856">
        <f>'Valuation output'!C3</f>
        <v/>
      </c>
      <c r="C3" s="174">
        <f>'Valuation output'!C2</f>
        <v/>
      </c>
      <c r="D3" s="174">
        <f>'Valuation output'!C4</f>
        <v/>
      </c>
      <c r="E3" s="856">
        <f>B3*D3</f>
        <v/>
      </c>
      <c r="F3" s="856">
        <f>'Valuation output'!C10</f>
        <v/>
      </c>
      <c r="G3" s="856">
        <f>E3-H3</f>
        <v/>
      </c>
      <c r="H3" s="856">
        <f>'Valuation output'!C7</f>
        <v/>
      </c>
    </row>
    <row r="4" customFormat="1" s="118">
      <c r="A4" s="103" t="n">
        <v>2</v>
      </c>
      <c r="B4" s="857">
        <f>'Valuation output'!D3</f>
        <v/>
      </c>
      <c r="C4" s="174">
        <f>B4/B3-1</f>
        <v/>
      </c>
      <c r="D4" s="174">
        <f>'Valuation output'!D4</f>
        <v/>
      </c>
      <c r="E4" s="856">
        <f>B4*D4</f>
        <v/>
      </c>
      <c r="F4" s="856">
        <f>'Valuation output'!D10</f>
        <v/>
      </c>
      <c r="G4" s="856">
        <f>E4-H4</f>
        <v/>
      </c>
      <c r="H4" s="856">
        <f>'Valuation output'!D7</f>
        <v/>
      </c>
    </row>
    <row r="5" customFormat="1" s="118">
      <c r="A5" s="103" t="n">
        <v>3</v>
      </c>
      <c r="B5" s="856">
        <f>'Valuation output'!E3</f>
        <v/>
      </c>
      <c r="C5" s="174">
        <f>B5/B4-1</f>
        <v/>
      </c>
      <c r="D5" s="174">
        <f>'Valuation output'!E4</f>
        <v/>
      </c>
      <c r="E5" s="856">
        <f>B5*D5</f>
        <v/>
      </c>
      <c r="F5" s="856">
        <f>'Valuation output'!E10</f>
        <v/>
      </c>
      <c r="G5" s="856">
        <f>E5-H5</f>
        <v/>
      </c>
      <c r="H5" s="856">
        <f>'Valuation output'!E7</f>
        <v/>
      </c>
    </row>
    <row r="6" customFormat="1" s="118">
      <c r="A6" s="103" t="n">
        <v>4</v>
      </c>
      <c r="B6" s="856">
        <f>'Valuation output'!F3</f>
        <v/>
      </c>
      <c r="C6" s="174">
        <f>B6/B5-1</f>
        <v/>
      </c>
      <c r="D6" s="174">
        <f>'Valuation output'!F4</f>
        <v/>
      </c>
      <c r="E6" s="856">
        <f>B6*D6</f>
        <v/>
      </c>
      <c r="F6" s="856">
        <f>'Valuation output'!F10</f>
        <v/>
      </c>
      <c r="G6" s="856">
        <f>E6-H6</f>
        <v/>
      </c>
      <c r="H6" s="856">
        <f>'Valuation output'!F7</f>
        <v/>
      </c>
    </row>
    <row r="7" customFormat="1" s="118">
      <c r="A7" s="103" t="n">
        <v>5</v>
      </c>
      <c r="B7" s="856">
        <f>'Valuation output'!G3</f>
        <v/>
      </c>
      <c r="C7" s="174">
        <f>B7/B6-1</f>
        <v/>
      </c>
      <c r="D7" s="174">
        <f>'Valuation output'!G4</f>
        <v/>
      </c>
      <c r="E7" s="856">
        <f>B7*D7</f>
        <v/>
      </c>
      <c r="F7" s="856">
        <f>'Valuation output'!G10</f>
        <v/>
      </c>
      <c r="G7" s="856">
        <f>E7-H7</f>
        <v/>
      </c>
      <c r="H7" s="856">
        <f>'Valuation output'!G7</f>
        <v/>
      </c>
    </row>
    <row r="8" customFormat="1" s="118">
      <c r="A8" s="103" t="n">
        <v>6</v>
      </c>
      <c r="B8" s="856">
        <f>'Valuation output'!H3</f>
        <v/>
      </c>
      <c r="C8" s="174">
        <f>B8/B7-1</f>
        <v/>
      </c>
      <c r="D8" s="174">
        <f>'Valuation output'!H4</f>
        <v/>
      </c>
      <c r="E8" s="856">
        <f>B8*D8</f>
        <v/>
      </c>
      <c r="F8" s="856">
        <f>'Valuation output'!H10</f>
        <v/>
      </c>
      <c r="G8" s="856">
        <f>E8-H8</f>
        <v/>
      </c>
      <c r="H8" s="856">
        <f>'Valuation output'!H7</f>
        <v/>
      </c>
    </row>
    <row r="9" customFormat="1" s="118">
      <c r="A9" s="103" t="n">
        <v>7</v>
      </c>
      <c r="B9" s="856">
        <f>'Valuation output'!I3</f>
        <v/>
      </c>
      <c r="C9" s="174">
        <f>B9/B8-1</f>
        <v/>
      </c>
      <c r="D9" s="174">
        <f>'Valuation output'!I4</f>
        <v/>
      </c>
      <c r="E9" s="856">
        <f>B9*D9</f>
        <v/>
      </c>
      <c r="F9" s="856">
        <f>'Valuation output'!I10</f>
        <v/>
      </c>
      <c r="G9" s="856">
        <f>E9-H9</f>
        <v/>
      </c>
      <c r="H9" s="856">
        <f>'Valuation output'!I7</f>
        <v/>
      </c>
    </row>
    <row r="10" customFormat="1" s="118">
      <c r="A10" s="103" t="n">
        <v>8</v>
      </c>
      <c r="B10" s="856">
        <f>'Valuation output'!J3</f>
        <v/>
      </c>
      <c r="C10" s="174">
        <f>B10/B9-1</f>
        <v/>
      </c>
      <c r="D10" s="174">
        <f>'Valuation output'!J4</f>
        <v/>
      </c>
      <c r="E10" s="856">
        <f>B10*D10</f>
        <v/>
      </c>
      <c r="F10" s="856">
        <f>'Valuation output'!J10</f>
        <v/>
      </c>
      <c r="G10" s="856">
        <f>E10-H10</f>
        <v/>
      </c>
      <c r="H10" s="856">
        <f>'Valuation output'!J7</f>
        <v/>
      </c>
    </row>
    <row r="11" customFormat="1" s="118">
      <c r="A11" s="103" t="n">
        <v>9</v>
      </c>
      <c r="B11" s="856">
        <f>'Valuation output'!K3</f>
        <v/>
      </c>
      <c r="C11" s="174">
        <f>B11/B10-1</f>
        <v/>
      </c>
      <c r="D11" s="174">
        <f>'Valuation output'!K4</f>
        <v/>
      </c>
      <c r="E11" s="856">
        <f>B11*D11</f>
        <v/>
      </c>
      <c r="F11" s="856">
        <f>'Valuation output'!K10</f>
        <v/>
      </c>
      <c r="G11" s="856">
        <f>E11-H11</f>
        <v/>
      </c>
      <c r="H11" s="856">
        <f>'Valuation output'!K7</f>
        <v/>
      </c>
    </row>
    <row r="12" customFormat="1" s="118">
      <c r="A12" s="103" t="n">
        <v>10</v>
      </c>
      <c r="B12" s="856">
        <f>'Valuation output'!L3</f>
        <v/>
      </c>
      <c r="C12" s="174">
        <f>B12/B11-1</f>
        <v/>
      </c>
      <c r="D12" s="174">
        <f>'Valuation output'!L4</f>
        <v/>
      </c>
      <c r="E12" s="856">
        <f>B12*D12</f>
        <v/>
      </c>
      <c r="F12" s="856">
        <f>'Valuation output'!L10</f>
        <v/>
      </c>
      <c r="G12" s="856">
        <f>E12-H12</f>
        <v/>
      </c>
      <c r="H12" s="856">
        <f>'Valuation output'!L7</f>
        <v/>
      </c>
    </row>
    <row r="13" customFormat="1" s="118">
      <c r="A13" s="103" t="n"/>
      <c r="B13" s="103" t="n"/>
      <c r="C13" s="103" t="n"/>
      <c r="D13" s="103" t="n"/>
      <c r="E13" s="103" t="n"/>
      <c r="F13" s="103" t="n"/>
      <c r="G13" s="103" t="n"/>
      <c r="H13" s="103" t="n"/>
    </row>
    <row r="14" ht="51" customFormat="1" customHeight="1" s="118">
      <c r="A14" s="178" t="inlineStr">
        <is>
          <t>Year</t>
        </is>
      </c>
      <c r="B14" s="178" t="inlineStr">
        <is>
          <t>After-Tax Operating Income</t>
        </is>
      </c>
      <c r="C14" s="178" t="inlineStr">
        <is>
          <t>Change in Revenues</t>
        </is>
      </c>
      <c r="D14" s="178" t="inlineStr">
        <is>
          <t>Sales to Capital</t>
        </is>
      </c>
      <c r="E14" s="178" t="inlineStr">
        <is>
          <t>Reinvestment</t>
        </is>
      </c>
      <c r="F14" s="178" t="inlineStr">
        <is>
          <t>FCFF</t>
        </is>
      </c>
      <c r="G14" s="178" t="inlineStr">
        <is>
          <t>Capital Invested</t>
        </is>
      </c>
      <c r="H14" s="178" t="inlineStr">
        <is>
          <t>Implied ROC</t>
        </is>
      </c>
    </row>
    <row r="15" customFormat="1" s="118">
      <c r="A15" s="94">
        <f>A2</f>
        <v/>
      </c>
      <c r="B15" s="858">
        <f>H2</f>
        <v/>
      </c>
      <c r="C15" s="94" t="n"/>
      <c r="D15" s="94" t="n"/>
      <c r="E15" s="94" t="n"/>
      <c r="F15" s="94" t="n"/>
      <c r="G15" s="859">
        <f>'Valuation output'!B58</f>
        <v/>
      </c>
      <c r="H15" s="99">
        <f>B15/G15</f>
        <v/>
      </c>
    </row>
    <row r="16" customFormat="1" s="118">
      <c r="A16" s="94">
        <f>A3</f>
        <v/>
      </c>
      <c r="B16" s="858">
        <f>H3</f>
        <v/>
      </c>
      <c r="C16" s="858">
        <f>B3-B2</f>
        <v/>
      </c>
      <c r="D16" s="182">
        <f>'Valuation output'!C57</f>
        <v/>
      </c>
      <c r="E16" s="858">
        <f>C16/D16</f>
        <v/>
      </c>
      <c r="F16" s="858">
        <f>B16-E16</f>
        <v/>
      </c>
      <c r="G16" s="858">
        <f>G15+E16</f>
        <v/>
      </c>
      <c r="H16" s="99">
        <f>B16/G16</f>
        <v/>
      </c>
    </row>
    <row r="17" customFormat="1" s="118">
      <c r="A17" s="94">
        <f>A4</f>
        <v/>
      </c>
      <c r="B17" s="858">
        <f>H4</f>
        <v/>
      </c>
      <c r="C17" s="858">
        <f>B4-B3</f>
        <v/>
      </c>
      <c r="D17" s="182">
        <f>'Valuation output'!D57</f>
        <v/>
      </c>
      <c r="E17" s="858">
        <f>C17/D17</f>
        <v/>
      </c>
      <c r="F17" s="858">
        <f>B17-E17</f>
        <v/>
      </c>
      <c r="G17" s="858">
        <f>G16+E17</f>
        <v/>
      </c>
      <c r="H17" s="99">
        <f>B17/G17</f>
        <v/>
      </c>
    </row>
    <row r="18" customFormat="1" s="118">
      <c r="A18" s="94">
        <f>A5</f>
        <v/>
      </c>
      <c r="B18" s="858">
        <f>H5</f>
        <v/>
      </c>
      <c r="C18" s="858">
        <f>B5-B4</f>
        <v/>
      </c>
      <c r="D18" s="182">
        <f>'Valuation output'!E57</f>
        <v/>
      </c>
      <c r="E18" s="858">
        <f>C18/D18</f>
        <v/>
      </c>
      <c r="F18" s="858">
        <f>B18-E18</f>
        <v/>
      </c>
      <c r="G18" s="858">
        <f>G17+E18</f>
        <v/>
      </c>
      <c r="H18" s="99">
        <f>B18/G18</f>
        <v/>
      </c>
    </row>
    <row r="19" customFormat="1" s="118">
      <c r="A19" s="94">
        <f>A6</f>
        <v/>
      </c>
      <c r="B19" s="858">
        <f>H6</f>
        <v/>
      </c>
      <c r="C19" s="858">
        <f>B6-B5</f>
        <v/>
      </c>
      <c r="D19" s="182">
        <f>'Valuation output'!F57</f>
        <v/>
      </c>
      <c r="E19" s="858">
        <f>C19/D19</f>
        <v/>
      </c>
      <c r="F19" s="858">
        <f>B19-E19</f>
        <v/>
      </c>
      <c r="G19" s="858">
        <f>G18+E19</f>
        <v/>
      </c>
      <c r="H19" s="99">
        <f>B19/G19</f>
        <v/>
      </c>
    </row>
    <row r="20" customFormat="1" s="118">
      <c r="A20" s="94">
        <f>A7</f>
        <v/>
      </c>
      <c r="B20" s="858">
        <f>H7</f>
        <v/>
      </c>
      <c r="C20" s="858">
        <f>B7-B6</f>
        <v/>
      </c>
      <c r="D20" s="182">
        <f>'Valuation output'!G57</f>
        <v/>
      </c>
      <c r="E20" s="858">
        <f>C20/D20</f>
        <v/>
      </c>
      <c r="F20" s="858">
        <f>B20-E20</f>
        <v/>
      </c>
      <c r="G20" s="858">
        <f>G19+E20</f>
        <v/>
      </c>
      <c r="H20" s="99">
        <f>B20/G20</f>
        <v/>
      </c>
    </row>
    <row r="21" customFormat="1" s="118">
      <c r="A21" s="94">
        <f>A8</f>
        <v/>
      </c>
      <c r="B21" s="858">
        <f>H8</f>
        <v/>
      </c>
      <c r="C21" s="858">
        <f>B8-B7</f>
        <v/>
      </c>
      <c r="D21" s="182">
        <f>'Valuation output'!H57</f>
        <v/>
      </c>
      <c r="E21" s="858">
        <f>C21/D21</f>
        <v/>
      </c>
      <c r="F21" s="858">
        <f>B21-E21</f>
        <v/>
      </c>
      <c r="G21" s="858">
        <f>G20+E21</f>
        <v/>
      </c>
      <c r="H21" s="99">
        <f>B21/G21</f>
        <v/>
      </c>
    </row>
    <row r="22" customFormat="1" s="118">
      <c r="A22" s="94">
        <f>A9</f>
        <v/>
      </c>
      <c r="B22" s="858">
        <f>H9</f>
        <v/>
      </c>
      <c r="C22" s="858">
        <f>B9-B8</f>
        <v/>
      </c>
      <c r="D22" s="182">
        <f>'Valuation output'!I57</f>
        <v/>
      </c>
      <c r="E22" s="858">
        <f>C22/D22</f>
        <v/>
      </c>
      <c r="F22" s="858">
        <f>B22-E22</f>
        <v/>
      </c>
      <c r="G22" s="858">
        <f>G21+E22</f>
        <v/>
      </c>
      <c r="H22" s="99">
        <f>B22/G22</f>
        <v/>
      </c>
    </row>
    <row r="23" customFormat="1" s="118">
      <c r="A23" s="94">
        <f>A10</f>
        <v/>
      </c>
      <c r="B23" s="858">
        <f>H10</f>
        <v/>
      </c>
      <c r="C23" s="858">
        <f>B10-B9</f>
        <v/>
      </c>
      <c r="D23" s="182">
        <f>'Valuation output'!J57</f>
        <v/>
      </c>
      <c r="E23" s="858">
        <f>C23/D23</f>
        <v/>
      </c>
      <c r="F23" s="858">
        <f>B23-E23</f>
        <v/>
      </c>
      <c r="G23" s="858">
        <f>G22+E23</f>
        <v/>
      </c>
      <c r="H23" s="99">
        <f>B23/G23</f>
        <v/>
      </c>
    </row>
    <row r="24" customFormat="1" s="118">
      <c r="A24" s="94">
        <f>A11</f>
        <v/>
      </c>
      <c r="B24" s="858">
        <f>H11</f>
        <v/>
      </c>
      <c r="C24" s="858">
        <f>B11-B10</f>
        <v/>
      </c>
      <c r="D24" s="182">
        <f>'Valuation output'!K57</f>
        <v/>
      </c>
      <c r="E24" s="858">
        <f>C24/D24</f>
        <v/>
      </c>
      <c r="F24" s="858">
        <f>B24-E24</f>
        <v/>
      </c>
      <c r="G24" s="858">
        <f>G23+E24</f>
        <v/>
      </c>
      <c r="H24" s="99">
        <f>B24/G24</f>
        <v/>
      </c>
    </row>
    <row r="25" customFormat="1" s="118">
      <c r="A25" s="94">
        <f>A12</f>
        <v/>
      </c>
      <c r="B25" s="858">
        <f>H12</f>
        <v/>
      </c>
      <c r="C25" s="858">
        <f>B12-B11</f>
        <v/>
      </c>
      <c r="D25" s="182">
        <f>'Valuation output'!L57</f>
        <v/>
      </c>
      <c r="E25" s="858">
        <f>C25/D25</f>
        <v/>
      </c>
      <c r="F25" s="858">
        <f>B25-E25</f>
        <v/>
      </c>
      <c r="G25" s="858">
        <f>G24+E25</f>
        <v/>
      </c>
      <c r="H25" s="99">
        <f>B25/G25</f>
        <v/>
      </c>
    </row>
    <row r="26" ht="17" customFormat="1" customHeight="1" s="118" thickBot="1">
      <c r="A26" s="103" t="n"/>
      <c r="B26" s="103" t="n"/>
      <c r="C26" s="103" t="n"/>
      <c r="D26" s="103" t="n"/>
      <c r="E26" s="103" t="n"/>
      <c r="F26" s="103" t="n"/>
      <c r="G26" s="103" t="n"/>
      <c r="H26" s="103" t="n"/>
    </row>
    <row r="27" ht="35" customFormat="1" customHeight="1" s="118" thickBot="1">
      <c r="A27" s="172" t="inlineStr">
        <is>
          <t>Year</t>
        </is>
      </c>
      <c r="B27" s="172" t="inlineStr">
        <is>
          <t>Beta</t>
        </is>
      </c>
      <c r="C27" s="172" t="inlineStr">
        <is>
          <t>Cost of Equity</t>
        </is>
      </c>
      <c r="D27" s="172" t="inlineStr">
        <is>
          <t>Pre-Tax Cost of Debt</t>
        </is>
      </c>
      <c r="E27" s="172" t="inlineStr">
        <is>
          <t>Tax Savings</t>
        </is>
      </c>
      <c r="F27" s="172" t="inlineStr">
        <is>
          <t>After-Tax Cost of Debt</t>
        </is>
      </c>
      <c r="G27" s="172" t="inlineStr">
        <is>
          <t>Debt Ratio</t>
        </is>
      </c>
      <c r="H27" s="172" t="inlineStr">
        <is>
          <t>Cost of Capital</t>
        </is>
      </c>
    </row>
    <row r="28">
      <c r="A28" s="176">
        <f>A16</f>
        <v/>
      </c>
      <c r="H28" s="177">
        <f>'Valuation output'!#REF!</f>
        <v/>
      </c>
    </row>
    <row r="29">
      <c r="A29" s="176">
        <f>A17</f>
        <v/>
      </c>
      <c r="H29" s="177">
        <f>'Valuation output'!#REF!</f>
        <v/>
      </c>
    </row>
    <row r="30">
      <c r="A30" s="176">
        <f>A18</f>
        <v/>
      </c>
      <c r="H30" s="177">
        <f>'Valuation output'!#REF!</f>
        <v/>
      </c>
    </row>
    <row r="31">
      <c r="A31" s="176">
        <f>A19</f>
        <v/>
      </c>
      <c r="H31" s="177">
        <f>'Valuation output'!#REF!</f>
        <v/>
      </c>
    </row>
    <row r="32">
      <c r="A32" s="176">
        <f>A20</f>
        <v/>
      </c>
      <c r="H32" s="177">
        <f>'Valuation output'!#REF!</f>
        <v/>
      </c>
    </row>
    <row r="33">
      <c r="A33" s="176">
        <f>A21</f>
        <v/>
      </c>
      <c r="H33" s="177">
        <f>'Valuation output'!#REF!</f>
        <v/>
      </c>
    </row>
    <row r="34">
      <c r="A34" s="176">
        <f>A22</f>
        <v/>
      </c>
      <c r="H34" s="177">
        <f>'Valuation output'!#REF!</f>
        <v/>
      </c>
    </row>
    <row r="35">
      <c r="A35" s="176">
        <f>A23</f>
        <v/>
      </c>
      <c r="H35" s="177">
        <f>'Valuation output'!#REF!</f>
        <v/>
      </c>
    </row>
    <row r="36">
      <c r="A36" s="176">
        <f>A24</f>
        <v/>
      </c>
      <c r="H36" s="177">
        <f>'Valuation output'!#REF!</f>
        <v/>
      </c>
    </row>
    <row r="37">
      <c r="A37" s="176">
        <f>A25</f>
        <v/>
      </c>
      <c r="H37" s="177">
        <f>'Valuation output'!#REF!</f>
        <v/>
      </c>
    </row>
    <row r="39" ht="51" customHeight="1">
      <c r="A39" s="179" t="inlineStr">
        <is>
          <t>Year</t>
        </is>
      </c>
      <c r="B39" s="179" t="inlineStr">
        <is>
          <t>Cost of Capital</t>
        </is>
      </c>
      <c r="C39" s="179" t="inlineStr">
        <is>
          <t>Cumulated Cost of Capital</t>
        </is>
      </c>
      <c r="D39" s="179" t="inlineStr">
        <is>
          <t>FCFF</t>
        </is>
      </c>
      <c r="E39" s="179" t="inlineStr">
        <is>
          <t>Terminal Value</t>
        </is>
      </c>
      <c r="F39" s="179" t="inlineStr">
        <is>
          <t>Present Value</t>
        </is>
      </c>
    </row>
    <row r="40">
      <c r="A40" s="183">
        <f>A28</f>
        <v/>
      </c>
      <c r="B40" s="184">
        <f>H28</f>
        <v/>
      </c>
      <c r="C40" s="860">
        <f>(1+'Summary Sheet'!B40)</f>
        <v/>
      </c>
      <c r="D40" s="861">
        <f>F16</f>
        <v/>
      </c>
      <c r="E40" s="183" t="n"/>
      <c r="F40" s="861">
        <f>D40/C40</f>
        <v/>
      </c>
    </row>
    <row r="41">
      <c r="A41" s="183">
        <f>A29</f>
        <v/>
      </c>
      <c r="B41" s="184">
        <f>H29</f>
        <v/>
      </c>
      <c r="C41" s="860">
        <f>C40*(1+B41)</f>
        <v/>
      </c>
      <c r="D41" s="861">
        <f>F17</f>
        <v/>
      </c>
      <c r="E41" s="183" t="n"/>
      <c r="F41" s="861">
        <f>D41/C41</f>
        <v/>
      </c>
    </row>
    <row r="42">
      <c r="A42" s="183">
        <f>A30</f>
        <v/>
      </c>
      <c r="B42" s="184">
        <f>H30</f>
        <v/>
      </c>
      <c r="C42" s="860">
        <f>C41*(1+B42)</f>
        <v/>
      </c>
      <c r="D42" s="861">
        <f>F18</f>
        <v/>
      </c>
      <c r="E42" s="183" t="n"/>
      <c r="F42" s="861">
        <f>D42/C42</f>
        <v/>
      </c>
    </row>
    <row r="43">
      <c r="A43" s="183">
        <f>A31</f>
        <v/>
      </c>
      <c r="B43" s="184">
        <f>H31</f>
        <v/>
      </c>
      <c r="C43" s="860">
        <f>C42*(1+B43)</f>
        <v/>
      </c>
      <c r="D43" s="861">
        <f>F19</f>
        <v/>
      </c>
      <c r="E43" s="183" t="n"/>
      <c r="F43" s="861">
        <f>D43/C43</f>
        <v/>
      </c>
    </row>
    <row r="44">
      <c r="A44" s="183">
        <f>A32</f>
        <v/>
      </c>
      <c r="B44" s="184">
        <f>H32</f>
        <v/>
      </c>
      <c r="C44" s="860">
        <f>C43*(1+B44)</f>
        <v/>
      </c>
      <c r="D44" s="861">
        <f>F20</f>
        <v/>
      </c>
      <c r="E44" s="183" t="n"/>
      <c r="F44" s="861">
        <f>D44/C44</f>
        <v/>
      </c>
    </row>
    <row r="45">
      <c r="A45" s="183">
        <f>A33</f>
        <v/>
      </c>
      <c r="B45" s="184">
        <f>H33</f>
        <v/>
      </c>
      <c r="C45" s="860">
        <f>C44*(1+B45)</f>
        <v/>
      </c>
      <c r="D45" s="861">
        <f>F21</f>
        <v/>
      </c>
      <c r="E45" s="183" t="n"/>
      <c r="F45" s="861">
        <f>D45/C45</f>
        <v/>
      </c>
    </row>
    <row r="46">
      <c r="A46" s="183">
        <f>A34</f>
        <v/>
      </c>
      <c r="B46" s="184">
        <f>H34</f>
        <v/>
      </c>
      <c r="C46" s="860">
        <f>C45*(1+B46)</f>
        <v/>
      </c>
      <c r="D46" s="861">
        <f>F22</f>
        <v/>
      </c>
      <c r="E46" s="183" t="n"/>
      <c r="F46" s="861">
        <f>D46/C46</f>
        <v/>
      </c>
    </row>
    <row r="47">
      <c r="A47" s="183">
        <f>A35</f>
        <v/>
      </c>
      <c r="B47" s="184">
        <f>H35</f>
        <v/>
      </c>
      <c r="C47" s="860">
        <f>C46*(1+B47)</f>
        <v/>
      </c>
      <c r="D47" s="861">
        <f>F23</f>
        <v/>
      </c>
      <c r="E47" s="183" t="n"/>
      <c r="F47" s="861">
        <f>D47/C47</f>
        <v/>
      </c>
    </row>
    <row r="48">
      <c r="A48" s="183">
        <f>A36</f>
        <v/>
      </c>
      <c r="B48" s="184">
        <f>H36</f>
        <v/>
      </c>
      <c r="C48" s="860">
        <f>C47*(1+B48)</f>
        <v/>
      </c>
      <c r="D48" s="861">
        <f>F24</f>
        <v/>
      </c>
      <c r="E48" s="183" t="n"/>
      <c r="F48" s="861">
        <f>D48/C48</f>
        <v/>
      </c>
    </row>
    <row r="49">
      <c r="A49" s="183">
        <f>A37</f>
        <v/>
      </c>
      <c r="B49" s="184">
        <f>H37</f>
        <v/>
      </c>
      <c r="C49" s="860">
        <f>C48*(1+B49)</f>
        <v/>
      </c>
      <c r="D49" s="861">
        <f>F25</f>
        <v/>
      </c>
      <c r="E49" s="861">
        <f>'Valuation output'!B39</f>
        <v/>
      </c>
      <c r="F49" s="861">
        <f>(D49+E49)/C49</f>
        <v/>
      </c>
    </row>
    <row r="50">
      <c r="A50" s="176" t="inlineStr">
        <is>
          <t>Value of operating assets =</t>
        </is>
      </c>
      <c r="F50" s="861">
        <f>SUM(F40:F49)</f>
        <v/>
      </c>
    </row>
  </sheetData>
  <pageMargins left="0.75" right="0.75" top="1" bottom="1" header="0.3" footer="0.3"/>
</worksheet>
</file>

<file path=xl/worksheets/sheet13.xml><?xml version="1.0" encoding="utf-8"?>
<worksheet xmlns="http://schemas.openxmlformats.org/spreadsheetml/2006/main">
  <sheetPr>
    <outlinePr summaryBelow="1" summaryRight="1"/>
    <pageSetUpPr/>
  </sheetPr>
  <dimension ref="A1:G210"/>
  <sheetViews>
    <sheetView topLeftCell="A5" workbookViewId="0">
      <selection activeCell="B202" sqref="B202:B210"/>
    </sheetView>
  </sheetViews>
  <sheetFormatPr baseColWidth="10" defaultRowHeight="16"/>
  <cols>
    <col width="27.5" bestFit="1" customWidth="1" min="1" max="1"/>
    <col width="15" bestFit="1" customWidth="1" min="2" max="2"/>
    <col width="18.5" bestFit="1" customWidth="1" min="3" max="3"/>
    <col width="21" bestFit="1" customWidth="1" style="695" min="4" max="4"/>
    <col width="20" bestFit="1" customWidth="1" min="5" max="5"/>
    <col width="17.6640625" bestFit="1" customWidth="1" min="6" max="6"/>
    <col width="13.6640625" bestFit="1" customWidth="1" style="488" min="7" max="7"/>
  </cols>
  <sheetData>
    <row r="1">
      <c r="A1" t="inlineStr">
        <is>
          <t>Mature Market ERP +</t>
        </is>
      </c>
      <c r="B1" s="120" t="n">
        <v>0.0433</v>
      </c>
      <c r="C1" t="inlineStr">
        <is>
          <t>Updated anuary 1, 2025</t>
        </is>
      </c>
    </row>
    <row r="2" customFormat="1" s="11">
      <c r="A2" s="145" t="inlineStr">
        <is>
          <t>Changing this number will update all your country equity risk premiums.</t>
        </is>
      </c>
      <c r="B2" s="145" t="n"/>
      <c r="C2" s="145" t="n"/>
      <c r="D2" s="489" t="n"/>
      <c r="E2" s="145" t="n"/>
      <c r="F2" s="145" t="n"/>
      <c r="G2" s="490" t="n"/>
    </row>
    <row r="4">
      <c r="A4" s="491" t="inlineStr">
        <is>
          <t>Country</t>
        </is>
      </c>
      <c r="B4" s="492" t="inlineStr">
        <is>
          <t>Moody's rating</t>
        </is>
      </c>
      <c r="C4" s="493" t="inlineStr">
        <is>
          <t>Adj. Default Spread</t>
        </is>
      </c>
      <c r="D4" s="494" t="inlineStr">
        <is>
          <t>Equity Risk Premium</t>
        </is>
      </c>
      <c r="E4" s="494" t="inlineStr">
        <is>
          <t>Country Risk Premium</t>
        </is>
      </c>
      <c r="F4" s="494" t="inlineStr">
        <is>
          <t>Corporate Tax Rate</t>
        </is>
      </c>
    </row>
    <row r="5">
      <c r="A5" s="495" t="inlineStr">
        <is>
          <t>Abu Dhabi</t>
        </is>
      </c>
      <c r="B5" s="94" t="inlineStr">
        <is>
          <t>Aa2</t>
        </is>
      </c>
      <c r="C5" s="93" t="n">
        <v>0.004888978427969252</v>
      </c>
      <c r="D5" s="93">
        <f>$B$1+E5</f>
        <v/>
      </c>
      <c r="E5" s="93" t="n">
        <v>0.006591087812100819</v>
      </c>
      <c r="F5" s="93" t="n">
        <v>0.15</v>
      </c>
    </row>
    <row r="6">
      <c r="A6" s="495" t="inlineStr">
        <is>
          <t>Albania</t>
        </is>
      </c>
      <c r="B6" s="94" t="inlineStr">
        <is>
          <t>Ba3</t>
        </is>
      </c>
      <c r="C6" s="93" t="n">
        <v>0.03561969997520455</v>
      </c>
      <c r="D6" s="93">
        <f>$B$1+E6</f>
        <v/>
      </c>
      <c r="E6" s="93" t="n">
        <v>0.04802078263102025</v>
      </c>
      <c r="F6" s="93" t="n">
        <v>0.15</v>
      </c>
    </row>
    <row r="7">
      <c r="A7" s="496" t="inlineStr">
        <is>
          <t>Algeria</t>
        </is>
      </c>
      <c r="B7" s="94" t="inlineStr">
        <is>
          <t>NR</t>
        </is>
      </c>
      <c r="C7" s="93" t="n">
        <v>0.02979948756095545</v>
      </c>
      <c r="D7" s="93">
        <f>$B$1+E7</f>
        <v/>
      </c>
      <c r="E7" s="93" t="n">
        <v>0.04017424952137643</v>
      </c>
      <c r="F7" s="93" t="n">
        <v>0.15</v>
      </c>
    </row>
    <row r="8">
      <c r="A8" s="495" t="inlineStr">
        <is>
          <t>Andorra (Principality of)</t>
        </is>
      </c>
      <c r="B8" s="94" t="inlineStr">
        <is>
          <t>Baa1</t>
        </is>
      </c>
      <c r="C8" s="93" t="n">
        <v>0.01583097776675758</v>
      </c>
      <c r="D8" s="93">
        <f>$B$1+E8</f>
        <v/>
      </c>
      <c r="E8" s="93" t="n">
        <v>0.02134257005823122</v>
      </c>
      <c r="F8" s="93" t="n">
        <v>0.1898</v>
      </c>
    </row>
    <row r="9">
      <c r="A9" s="495" t="inlineStr">
        <is>
          <t>Angola</t>
        </is>
      </c>
      <c r="B9" s="94" t="inlineStr">
        <is>
          <t>B3</t>
        </is>
      </c>
      <c r="C9" s="93" t="n">
        <v>0.06437154930159515</v>
      </c>
      <c r="D9" s="93">
        <f>$B$1+E9</f>
        <v/>
      </c>
      <c r="E9" s="93" t="n">
        <v>0.0867826561926608</v>
      </c>
      <c r="F9" s="93" t="n">
        <v>0.25</v>
      </c>
    </row>
    <row r="10">
      <c r="A10" s="495" t="inlineStr">
        <is>
          <t>Anguilla</t>
        </is>
      </c>
      <c r="B10" s="94" t="inlineStr">
        <is>
          <t>NR</t>
        </is>
      </c>
      <c r="C10" s="93" t="n">
        <v>0.06012263625836532</v>
      </c>
      <c r="D10" s="93">
        <f>$B$1+E10</f>
        <v/>
      </c>
      <c r="E10" s="142" t="n">
        <v>0.08105447404039451</v>
      </c>
      <c r="F10" s="142" t="n">
        <v>0.2522801868944358</v>
      </c>
    </row>
    <row r="11">
      <c r="A11" s="495" t="inlineStr">
        <is>
          <t>Antigua &amp; Barbuda</t>
        </is>
      </c>
      <c r="B11" s="94" t="inlineStr">
        <is>
          <t>NR</t>
        </is>
      </c>
      <c r="C11" s="93" t="n">
        <v>0.0601</v>
      </c>
      <c r="D11" s="93">
        <f>$B$1+E11</f>
        <v/>
      </c>
      <c r="E11" s="142" t="n">
        <v>0.08101224772802909</v>
      </c>
      <c r="F11" s="142" t="n">
        <v>0.2523</v>
      </c>
    </row>
    <row r="12">
      <c r="A12" s="495" t="inlineStr">
        <is>
          <t>Argentina</t>
        </is>
      </c>
      <c r="B12" s="94" t="inlineStr">
        <is>
          <t>Ca</t>
        </is>
      </c>
      <c r="C12" s="93" t="n">
        <v>0.1188487374989668</v>
      </c>
      <c r="D12" s="93">
        <f>$B$1+E12</f>
        <v/>
      </c>
      <c r="E12" s="93" t="n">
        <v>0.1602262060989271</v>
      </c>
      <c r="F12" s="93" t="n">
        <v>0.35</v>
      </c>
    </row>
    <row r="13">
      <c r="A13" s="495" t="inlineStr">
        <is>
          <t>Armenia</t>
        </is>
      </c>
      <c r="B13" s="94" t="inlineStr">
        <is>
          <t>Ba3</t>
        </is>
      </c>
      <c r="C13" s="93" t="n">
        <v>0.03561969997520455</v>
      </c>
      <c r="D13" s="93">
        <f>$B$1+E13</f>
        <v/>
      </c>
      <c r="E13" s="93" t="n">
        <v>0.04802078263102025</v>
      </c>
      <c r="F13" s="93" t="n">
        <v>0.18</v>
      </c>
    </row>
    <row r="14">
      <c r="A14" s="495" t="inlineStr">
        <is>
          <t>Aruba</t>
        </is>
      </c>
      <c r="B14" s="94" t="inlineStr">
        <is>
          <t>Baa3</t>
        </is>
      </c>
      <c r="C14" s="93" t="n">
        <v>0.02176759442929168</v>
      </c>
      <c r="D14" s="93">
        <f>$B$1+E14</f>
        <v/>
      </c>
      <c r="E14" s="93" t="n">
        <v>0.02934603383006794</v>
      </c>
      <c r="F14" s="93" t="n">
        <v>0.25</v>
      </c>
    </row>
    <row r="15">
      <c r="A15" s="495" t="inlineStr">
        <is>
          <t>Australia</t>
        </is>
      </c>
      <c r="B15" s="94" t="inlineStr">
        <is>
          <t>Aaa</t>
        </is>
      </c>
      <c r="C15" s="93" t="n">
        <v>0</v>
      </c>
      <c r="D15" s="93">
        <f>$B$1+E15</f>
        <v/>
      </c>
      <c r="E15" s="93" t="n">
        <v>0</v>
      </c>
      <c r="F15" s="93" t="n">
        <v>0.3</v>
      </c>
    </row>
    <row r="16">
      <c r="A16" s="495" t="inlineStr">
        <is>
          <t>Austria</t>
        </is>
      </c>
      <c r="B16" s="94" t="inlineStr">
        <is>
          <t>Aa1</t>
        </is>
      </c>
      <c r="C16" s="93" t="n">
        <v>0.003957744441689394</v>
      </c>
      <c r="D16" s="93">
        <f>$B$1+E16</f>
        <v/>
      </c>
      <c r="E16" s="93" t="n">
        <v>0.005335642514557805</v>
      </c>
      <c r="F16" s="93" t="n">
        <v>0.24</v>
      </c>
    </row>
    <row r="17">
      <c r="A17" s="495" t="inlineStr">
        <is>
          <t>Azerbaijan</t>
        </is>
      </c>
      <c r="B17" s="94" t="inlineStr">
        <is>
          <t>Ba1</t>
        </is>
      </c>
      <c r="C17" s="93" t="n">
        <v>0.02479410488470122</v>
      </c>
      <c r="D17" s="93">
        <f>$B$1+E17</f>
        <v/>
      </c>
      <c r="E17" s="93" t="n">
        <v>0.03342623104708274</v>
      </c>
      <c r="F17" s="93" t="n">
        <v>0.2</v>
      </c>
    </row>
    <row r="18">
      <c r="A18" s="495" t="inlineStr">
        <is>
          <t>Bahamas</t>
        </is>
      </c>
      <c r="B18" s="94" t="inlineStr">
        <is>
          <t>B1</t>
        </is>
      </c>
      <c r="C18" s="93" t="n">
        <v>0.04458282709314818</v>
      </c>
      <c r="D18" s="93">
        <f>$B$1+E18</f>
        <v/>
      </c>
      <c r="E18" s="93" t="n">
        <v>0.06010444361987177</v>
      </c>
      <c r="F18" s="93" t="n">
        <v>0</v>
      </c>
    </row>
    <row r="19">
      <c r="A19" s="495" t="inlineStr">
        <is>
          <t>Bahrain</t>
        </is>
      </c>
      <c r="B19" s="94" t="inlineStr">
        <is>
          <t>B2</t>
        </is>
      </c>
      <c r="C19" s="93" t="n">
        <v>0.05447718819737168</v>
      </c>
      <c r="D19" s="93">
        <f>$B$1+E19</f>
        <v/>
      </c>
      <c r="E19" s="93" t="n">
        <v>0.07344354990626628</v>
      </c>
      <c r="F19" s="93" t="n">
        <v>0</v>
      </c>
    </row>
    <row r="20">
      <c r="A20" s="495" t="inlineStr">
        <is>
          <t>Bangladesh</t>
        </is>
      </c>
      <c r="B20" s="94" t="inlineStr">
        <is>
          <t>B2</t>
        </is>
      </c>
      <c r="C20" s="93" t="n">
        <v>0.05447718819737168</v>
      </c>
      <c r="D20" s="93">
        <f>$B$1+E20</f>
        <v/>
      </c>
      <c r="E20" s="93" t="n">
        <v>0.07344354990626628</v>
      </c>
      <c r="F20" s="93" t="n">
        <v>0.3</v>
      </c>
    </row>
    <row r="21">
      <c r="A21" s="495" t="inlineStr">
        <is>
          <t>Barbados</t>
        </is>
      </c>
      <c r="B21" s="94" t="inlineStr">
        <is>
          <t>B3</t>
        </is>
      </c>
      <c r="C21" s="93" t="n">
        <v>0.06437154930159515</v>
      </c>
      <c r="D21" s="93">
        <f>$B$1+E21</f>
        <v/>
      </c>
      <c r="E21" s="93" t="n">
        <v>0.0867826561926608</v>
      </c>
      <c r="F21" s="93" t="n">
        <v>0.055</v>
      </c>
    </row>
    <row r="22">
      <c r="A22" s="495" t="inlineStr">
        <is>
          <t>Belarus</t>
        </is>
      </c>
      <c r="B22" s="94" t="inlineStr">
        <is>
          <t>C</t>
        </is>
      </c>
      <c r="C22" s="93" t="n">
        <v>0.175</v>
      </c>
      <c r="D22" s="93">
        <f>$B$1+E22</f>
        <v/>
      </c>
      <c r="E22" s="93" t="n">
        <v>0.2359266632306968</v>
      </c>
      <c r="F22" s="93" t="n">
        <v>0.18</v>
      </c>
    </row>
    <row r="23">
      <c r="A23" s="495" t="inlineStr">
        <is>
          <t>Belgium</t>
        </is>
      </c>
      <c r="B23" s="94" t="inlineStr">
        <is>
          <t>Aa3</t>
        </is>
      </c>
      <c r="C23" s="93" t="n">
        <v>0.005936616662534093</v>
      </c>
      <c r="D23" s="93">
        <f>$B$1+E23</f>
        <v/>
      </c>
      <c r="E23" s="93" t="n">
        <v>0.008003463771836711</v>
      </c>
      <c r="F23" s="93" t="n">
        <v>0.25</v>
      </c>
    </row>
    <row r="24">
      <c r="A24" s="495" t="inlineStr">
        <is>
          <t>Belize</t>
        </is>
      </c>
      <c r="B24" s="94" t="inlineStr">
        <is>
          <t>Caa1</t>
        </is>
      </c>
      <c r="C24" s="93" t="n">
        <v>0.07426591040581865</v>
      </c>
      <c r="D24" s="93">
        <f>$B$1+E24</f>
        <v/>
      </c>
      <c r="E24" s="93" t="n">
        <v>0.1001217624790553</v>
      </c>
      <c r="F24" s="93" t="n">
        <v>0.2853</v>
      </c>
    </row>
    <row r="25">
      <c r="A25" s="495" t="inlineStr">
        <is>
          <t>Benin</t>
        </is>
      </c>
      <c r="B25" s="94" t="inlineStr">
        <is>
          <t>B1</t>
        </is>
      </c>
      <c r="C25" s="93" t="n">
        <v>0.04458282709314818</v>
      </c>
      <c r="D25" s="93">
        <f>$B$1+E25</f>
        <v/>
      </c>
      <c r="E25" s="93" t="n">
        <v>0.06010444361987177</v>
      </c>
      <c r="F25" s="93" t="n">
        <v>0.3</v>
      </c>
    </row>
    <row r="26">
      <c r="A26" s="495" t="inlineStr">
        <is>
          <t>Bermuda</t>
        </is>
      </c>
      <c r="B26" s="94" t="inlineStr">
        <is>
          <t>A2</t>
        </is>
      </c>
      <c r="C26" s="93" t="n">
        <v>0.00838110587651872</v>
      </c>
      <c r="D26" s="93">
        <f>$B$1+E26</f>
        <v/>
      </c>
      <c r="E26" s="93" t="n">
        <v>0.01129900767788712</v>
      </c>
      <c r="F26" s="93" t="n">
        <v>0</v>
      </c>
    </row>
    <row r="27">
      <c r="A27" s="495" t="inlineStr">
        <is>
          <t>Bolivia</t>
        </is>
      </c>
      <c r="B27" s="94" t="inlineStr">
        <is>
          <t>Caa3</t>
        </is>
      </c>
      <c r="C27" s="93" t="n">
        <v>0.09906001529051987</v>
      </c>
      <c r="D27" s="93">
        <f>$B$1+E27</f>
        <v/>
      </c>
      <c r="E27" s="93" t="n">
        <v>0.1335479935261381</v>
      </c>
      <c r="F27" s="93" t="n">
        <v>0.25</v>
      </c>
    </row>
    <row r="28">
      <c r="A28" s="495" t="inlineStr">
        <is>
          <t>Bosnia and Herzegovina</t>
        </is>
      </c>
      <c r="B28" s="94" t="inlineStr">
        <is>
          <t>B3</t>
        </is>
      </c>
      <c r="C28" s="93" t="n">
        <v>0.06437154930159515</v>
      </c>
      <c r="D28" s="93">
        <f>$B$1+E28</f>
        <v/>
      </c>
      <c r="E28" s="93" t="n">
        <v>0.0867826561926608</v>
      </c>
      <c r="F28" s="93" t="n">
        <v>0.1</v>
      </c>
    </row>
    <row r="29">
      <c r="A29" s="495" t="inlineStr">
        <is>
          <t>Botswana</t>
        </is>
      </c>
      <c r="B29" s="94" t="inlineStr">
        <is>
          <t>A3</t>
        </is>
      </c>
      <c r="C29" s="93" t="n">
        <v>0.01187323332506819</v>
      </c>
      <c r="D29" s="93">
        <f>$B$1+E29</f>
        <v/>
      </c>
      <c r="E29" s="93" t="n">
        <v>0.01600692754367342</v>
      </c>
      <c r="F29" s="93" t="n">
        <v>0.22</v>
      </c>
    </row>
    <row r="30">
      <c r="A30" s="495" t="inlineStr">
        <is>
          <t>Brazil</t>
        </is>
      </c>
      <c r="B30" s="94" t="inlineStr">
        <is>
          <t>Ba1</t>
        </is>
      </c>
      <c r="C30" s="93" t="n">
        <v>0.02479410488470122</v>
      </c>
      <c r="D30" s="93">
        <f>$B$1+E30</f>
        <v/>
      </c>
      <c r="E30" s="93" t="n">
        <v>0.03342623104708274</v>
      </c>
      <c r="F30" s="93" t="n">
        <v>0.34</v>
      </c>
    </row>
    <row r="31">
      <c r="A31" s="495" t="inlineStr">
        <is>
          <t>British Virgin Islands</t>
        </is>
      </c>
      <c r="B31" s="94" t="inlineStr">
        <is>
          <t>NR</t>
        </is>
      </c>
      <c r="C31" s="93" t="n">
        <v>0.06012263625836532</v>
      </c>
      <c r="D31" s="93">
        <f>$B$1+E31</f>
        <v/>
      </c>
      <c r="E31" s="142" t="n">
        <v>0.08105447404039451</v>
      </c>
      <c r="F31" s="142" t="n">
        <v>0.2522801868944358</v>
      </c>
    </row>
    <row r="32">
      <c r="A32" s="496" t="inlineStr">
        <is>
          <t>Brunei</t>
        </is>
      </c>
      <c r="B32" s="94" t="inlineStr">
        <is>
          <t>NR</t>
        </is>
      </c>
      <c r="C32" s="93" t="n">
        <v>0.005936616662534092</v>
      </c>
      <c r="D32" s="93">
        <f>$B$1+E32</f>
        <v/>
      </c>
      <c r="E32" s="93" t="n">
        <v>0.00800346377183671</v>
      </c>
      <c r="F32" s="93" t="n">
        <v>0.34</v>
      </c>
    </row>
    <row r="33">
      <c r="A33" s="495" t="inlineStr">
        <is>
          <t>Bulgaria</t>
        </is>
      </c>
      <c r="B33" s="94" t="inlineStr">
        <is>
          <t>Baa1</t>
        </is>
      </c>
      <c r="C33" s="93" t="n">
        <v>0.01583097776675758</v>
      </c>
      <c r="D33" s="93">
        <f>$B$1+E33</f>
        <v/>
      </c>
      <c r="E33" s="93" t="n">
        <v>0.02134257005823122</v>
      </c>
      <c r="F33" s="93" t="n">
        <v>0.1</v>
      </c>
    </row>
    <row r="34">
      <c r="A34" s="495" t="inlineStr">
        <is>
          <t>Burkina Faso</t>
        </is>
      </c>
      <c r="B34" s="94" t="inlineStr">
        <is>
          <t>Caa1</t>
        </is>
      </c>
      <c r="C34" s="93" t="n">
        <v>0.07426591040581865</v>
      </c>
      <c r="D34" s="93">
        <f>$B$1+E34</f>
        <v/>
      </c>
      <c r="E34" s="93" t="n">
        <v>0.1001217624790553</v>
      </c>
      <c r="F34" s="93" t="n">
        <v>0.28</v>
      </c>
    </row>
    <row r="35">
      <c r="A35" s="495" t="inlineStr">
        <is>
          <t>Cambodia</t>
        </is>
      </c>
      <c r="B35" s="94" t="inlineStr">
        <is>
          <t>B2</t>
        </is>
      </c>
      <c r="C35" s="93" t="n">
        <v>0.05447718819737168</v>
      </c>
      <c r="D35" s="93">
        <f>$B$1+E35</f>
        <v/>
      </c>
      <c r="E35" s="93" t="n">
        <v>0.07344354990626628</v>
      </c>
      <c r="F35" s="93" t="n">
        <v>0.2</v>
      </c>
    </row>
    <row r="36">
      <c r="A36" s="495" t="inlineStr">
        <is>
          <t>Cameroon</t>
        </is>
      </c>
      <c r="B36" s="94" t="inlineStr">
        <is>
          <t>Caa1</t>
        </is>
      </c>
      <c r="C36" s="93" t="n">
        <v>0.07426591040581865</v>
      </c>
      <c r="D36" s="93">
        <f>$B$1+E36</f>
        <v/>
      </c>
      <c r="E36" s="93" t="n">
        <v>0.1001217624790553</v>
      </c>
      <c r="F36" s="93" t="n">
        <v>0.33</v>
      </c>
    </row>
    <row r="37">
      <c r="A37" s="495" t="inlineStr">
        <is>
          <t>Canada</t>
        </is>
      </c>
      <c r="B37" s="94" t="inlineStr">
        <is>
          <t>Aaa</t>
        </is>
      </c>
      <c r="C37" s="93" t="n">
        <v>0</v>
      </c>
      <c r="D37" s="93">
        <f>$B$1+E37</f>
        <v/>
      </c>
      <c r="E37" s="93" t="n">
        <v>0</v>
      </c>
      <c r="F37" s="93" t="n">
        <v>0.265</v>
      </c>
    </row>
    <row r="38">
      <c r="A38" s="495" t="inlineStr">
        <is>
          <t>Cape Verde</t>
        </is>
      </c>
      <c r="B38" s="94" t="inlineStr">
        <is>
          <t>B2</t>
        </is>
      </c>
      <c r="C38" s="93" t="n">
        <v>0.05447718819737168</v>
      </c>
      <c r="D38" s="93">
        <f>$B$1+E38</f>
        <v/>
      </c>
      <c r="E38" s="93" t="n">
        <v>0.07344354990626628</v>
      </c>
      <c r="F38" s="93" t="n">
        <v>0</v>
      </c>
    </row>
    <row r="39">
      <c r="A39" s="495" t="inlineStr">
        <is>
          <t>Cayman Islands</t>
        </is>
      </c>
      <c r="B39" s="94" t="inlineStr">
        <is>
          <t>Aa3</t>
        </is>
      </c>
      <c r="C39" s="93" t="n">
        <v>0.005936616662534093</v>
      </c>
      <c r="D39" s="93">
        <f>$B$1+E39</f>
        <v/>
      </c>
      <c r="E39" s="93" t="n">
        <v>0.008003463771836711</v>
      </c>
      <c r="F39" s="93" t="n">
        <v>0</v>
      </c>
    </row>
    <row r="40">
      <c r="A40" s="495" t="inlineStr">
        <is>
          <t>Channel Islands</t>
        </is>
      </c>
      <c r="B40" s="94" t="inlineStr">
        <is>
          <t>NR</t>
        </is>
      </c>
      <c r="C40" s="93" t="n">
        <v>0.008274105096747005</v>
      </c>
      <c r="D40" s="93">
        <f>$B$1+E40</f>
        <v/>
      </c>
      <c r="E40" s="142" t="n">
        <v>0.01115475432397499</v>
      </c>
      <c r="F40" s="142" t="n">
        <v>0.2477521961491617</v>
      </c>
    </row>
    <row r="41">
      <c r="A41" s="495" t="inlineStr">
        <is>
          <t>Chile</t>
        </is>
      </c>
      <c r="B41" s="94" t="inlineStr">
        <is>
          <t>A2</t>
        </is>
      </c>
      <c r="C41" s="93" t="n">
        <v>0.00838110587651872</v>
      </c>
      <c r="D41" s="93">
        <f>$B$1+E41</f>
        <v/>
      </c>
      <c r="E41" s="93" t="n">
        <v>0.01129900767788712</v>
      </c>
      <c r="F41" s="93" t="n">
        <v>0.27</v>
      </c>
    </row>
    <row r="42">
      <c r="A42" s="495" t="inlineStr">
        <is>
          <t>China</t>
        </is>
      </c>
      <c r="B42" s="94" t="inlineStr">
        <is>
          <t>A1</t>
        </is>
      </c>
      <c r="C42" s="93" t="n">
        <v>0.006984254897098934</v>
      </c>
      <c r="D42" s="93">
        <f>$B$1+E42</f>
        <v/>
      </c>
      <c r="E42" s="93" t="n">
        <v>0.0094158397315726</v>
      </c>
      <c r="F42" s="93" t="n">
        <v>0.25</v>
      </c>
    </row>
    <row r="43">
      <c r="A43" s="495" t="inlineStr">
        <is>
          <t>Colombia</t>
        </is>
      </c>
      <c r="B43" s="94" t="inlineStr">
        <is>
          <t>Baa2</t>
        </is>
      </c>
      <c r="C43" s="93" t="n">
        <v>0.01885748822216712</v>
      </c>
      <c r="D43" s="93">
        <f>$B$1+E43</f>
        <v/>
      </c>
      <c r="E43" s="93" t="n">
        <v>0.02542276727524602</v>
      </c>
      <c r="F43" s="93" t="n">
        <v>0.35</v>
      </c>
    </row>
    <row r="44">
      <c r="A44" s="495" t="inlineStr">
        <is>
          <t>Congo (Democratic Republic of)</t>
        </is>
      </c>
      <c r="B44" s="94" t="inlineStr">
        <is>
          <t>B3</t>
        </is>
      </c>
      <c r="C44" s="93" t="n">
        <v>0.06437154930159515</v>
      </c>
      <c r="D44" s="93">
        <f>$B$1+E44</f>
        <v/>
      </c>
      <c r="E44" s="93" t="n">
        <v>0.0867826561926608</v>
      </c>
      <c r="F44" s="93" t="n">
        <v>0.3</v>
      </c>
    </row>
    <row r="45">
      <c r="A45" s="495" t="inlineStr">
        <is>
          <t>Congo (Republic of)</t>
        </is>
      </c>
      <c r="B45" s="94" t="inlineStr">
        <is>
          <t>Caa2</t>
        </is>
      </c>
      <c r="C45" s="93" t="n">
        <v>0.08916565418629636</v>
      </c>
      <c r="D45" s="93">
        <f>$B$1+E45</f>
        <v/>
      </c>
      <c r="E45" s="93" t="n">
        <v>0.1202088872397435</v>
      </c>
      <c r="F45" s="93" t="n">
        <v>0.28</v>
      </c>
    </row>
    <row r="46">
      <c r="A46" s="495" t="inlineStr">
        <is>
          <t>Cook Islands</t>
        </is>
      </c>
      <c r="B46" s="94" t="inlineStr">
        <is>
          <t>B1</t>
        </is>
      </c>
      <c r="C46" s="93" t="n">
        <v>0.04458282709314818</v>
      </c>
      <c r="D46" s="93">
        <f>$B$1+E46</f>
        <v/>
      </c>
      <c r="E46" s="93" t="n">
        <v>0.06010444361987177</v>
      </c>
      <c r="F46" s="93" t="n">
        <v>0.2974</v>
      </c>
    </row>
    <row r="47">
      <c r="A47" s="495" t="inlineStr">
        <is>
          <t>Costa Rica</t>
        </is>
      </c>
      <c r="B47" s="94" t="inlineStr">
        <is>
          <t>Ba3</t>
        </is>
      </c>
      <c r="C47" s="93" t="n">
        <v>0.03561969997520455</v>
      </c>
      <c r="D47" s="93">
        <f>$B$1+E47</f>
        <v/>
      </c>
      <c r="E47" s="93" t="n">
        <v>0.04802078263102025</v>
      </c>
      <c r="F47" s="93" t="n">
        <v>0.3</v>
      </c>
    </row>
    <row r="48">
      <c r="A48" s="495" t="inlineStr">
        <is>
          <t>Croatia</t>
        </is>
      </c>
      <c r="B48" s="94" t="inlineStr">
        <is>
          <t>A3</t>
        </is>
      </c>
      <c r="C48" s="93" t="n">
        <v>0.01187323332506819</v>
      </c>
      <c r="D48" s="93">
        <f>$B$1+E48</f>
        <v/>
      </c>
      <c r="E48" s="93" t="n">
        <v>0.01600692754367342</v>
      </c>
      <c r="F48" s="93" t="n">
        <v>0.18</v>
      </c>
    </row>
    <row r="49">
      <c r="A49" s="495" t="inlineStr">
        <is>
          <t>Cuba</t>
        </is>
      </c>
      <c r="B49" s="94" t="inlineStr">
        <is>
          <t>Ca</t>
        </is>
      </c>
      <c r="C49" s="93" t="n">
        <v>0.1188487374989668</v>
      </c>
      <c r="D49" s="93">
        <f>$B$1+E49</f>
        <v/>
      </c>
      <c r="E49" s="93" t="n">
        <v>0.1602262060989271</v>
      </c>
      <c r="F49" s="93" t="n">
        <v>0.2853</v>
      </c>
    </row>
    <row r="50">
      <c r="A50" s="497" t="inlineStr">
        <is>
          <t>Curaçao</t>
        </is>
      </c>
      <c r="B50" s="94" t="inlineStr">
        <is>
          <t>Baa3</t>
        </is>
      </c>
      <c r="C50" s="93" t="n">
        <v>0.02176759442929168</v>
      </c>
      <c r="D50" s="93">
        <f>$B$1+E50</f>
        <v/>
      </c>
      <c r="E50" s="142" t="n">
        <v>0.02934603383006794</v>
      </c>
      <c r="F50" s="142" t="n">
        <v>0.22</v>
      </c>
    </row>
    <row r="51">
      <c r="A51" s="495" t="inlineStr">
        <is>
          <t>Cyprus</t>
        </is>
      </c>
      <c r="B51" s="94" t="inlineStr">
        <is>
          <t>A3</t>
        </is>
      </c>
      <c r="C51" s="93" t="n">
        <v>0.01187323332506819</v>
      </c>
      <c r="D51" s="93">
        <f>$B$1+E51</f>
        <v/>
      </c>
      <c r="E51" s="93" t="n">
        <v>0.01600692754367342</v>
      </c>
      <c r="F51" s="93" t="n">
        <v>0.125</v>
      </c>
    </row>
    <row r="52">
      <c r="A52" s="495" t="inlineStr">
        <is>
          <t>Czech Republic</t>
        </is>
      </c>
      <c r="B52" s="94" t="inlineStr">
        <is>
          <t>Aa3</t>
        </is>
      </c>
      <c r="C52" s="93" t="n">
        <v>0.005936616662534093</v>
      </c>
      <c r="D52" s="93">
        <f>$B$1+E52</f>
        <v/>
      </c>
      <c r="E52" s="93" t="n">
        <v>0.008003463771836711</v>
      </c>
      <c r="F52" s="93" t="n">
        <v>0.19</v>
      </c>
    </row>
    <row r="53">
      <c r="A53" s="495" t="inlineStr">
        <is>
          <t>Denmark</t>
        </is>
      </c>
      <c r="B53" s="94" t="inlineStr">
        <is>
          <t>Aaa</t>
        </is>
      </c>
      <c r="C53" s="93" t="n">
        <v>0</v>
      </c>
      <c r="D53" s="93">
        <f>$B$1+E53</f>
        <v/>
      </c>
      <c r="E53" s="93" t="n">
        <v>0</v>
      </c>
      <c r="F53" s="93" t="n">
        <v>0.22</v>
      </c>
    </row>
    <row r="54">
      <c r="A54" s="495" t="inlineStr">
        <is>
          <t>Dominican Republic</t>
        </is>
      </c>
      <c r="B54" s="94" t="inlineStr">
        <is>
          <t>Ba3</t>
        </is>
      </c>
      <c r="C54" s="93" t="n">
        <v>0.03561969997520455</v>
      </c>
      <c r="D54" s="93">
        <f>$B$1+E54</f>
        <v/>
      </c>
      <c r="E54" s="93" t="n">
        <v>0.04802078263102025</v>
      </c>
      <c r="F54" s="93" t="n">
        <v>0.27</v>
      </c>
    </row>
    <row r="55">
      <c r="A55" s="495" t="inlineStr">
        <is>
          <t>Ecuador</t>
        </is>
      </c>
      <c r="B55" s="94" t="inlineStr">
        <is>
          <t>Caa3</t>
        </is>
      </c>
      <c r="C55" s="93" t="n">
        <v>0.09906001529051987</v>
      </c>
      <c r="D55" s="93">
        <f>$B$1+E55</f>
        <v/>
      </c>
      <c r="E55" s="93" t="n">
        <v>0.1335479935261381</v>
      </c>
      <c r="F55" s="93" t="n">
        <v>0.25</v>
      </c>
    </row>
    <row r="56">
      <c r="A56" s="495" t="inlineStr">
        <is>
          <t>Egypt</t>
        </is>
      </c>
      <c r="B56" s="94" t="inlineStr">
        <is>
          <t>Caa1</t>
        </is>
      </c>
      <c r="C56" s="93" t="n">
        <v>0.07426591040581865</v>
      </c>
      <c r="D56" s="93">
        <f>$B$1+E56</f>
        <v/>
      </c>
      <c r="E56" s="93" t="n">
        <v>0.1001217624790553</v>
      </c>
      <c r="F56" s="93" t="n">
        <v>0.225</v>
      </c>
    </row>
    <row r="57">
      <c r="A57" s="495" t="inlineStr">
        <is>
          <t>El Salvador</t>
        </is>
      </c>
      <c r="B57" s="94" t="inlineStr">
        <is>
          <t>B3</t>
        </is>
      </c>
      <c r="C57" s="93" t="n">
        <v>0.06437154930159515</v>
      </c>
      <c r="D57" s="93">
        <f>$B$1+E57</f>
        <v/>
      </c>
      <c r="E57" s="93" t="n">
        <v>0.0867826561926608</v>
      </c>
      <c r="F57" s="93" t="n">
        <v>0.3</v>
      </c>
    </row>
    <row r="58">
      <c r="A58" s="495" t="inlineStr">
        <is>
          <t>Estonia</t>
        </is>
      </c>
      <c r="B58" s="94" t="inlineStr">
        <is>
          <t>A1</t>
        </is>
      </c>
      <c r="C58" s="93" t="n">
        <v>0.006984254897098934</v>
      </c>
      <c r="D58" s="93">
        <f>$B$1+E58</f>
        <v/>
      </c>
      <c r="E58" s="93" t="n">
        <v>0.0094158397315726</v>
      </c>
      <c r="F58" s="93" t="n">
        <v>0.2</v>
      </c>
    </row>
    <row r="59">
      <c r="A59" s="495" t="inlineStr">
        <is>
          <t>Ethiopia</t>
        </is>
      </c>
      <c r="B59" s="94" t="inlineStr">
        <is>
          <t>Caa2</t>
        </is>
      </c>
      <c r="C59" s="93" t="n">
        <v>0.08916565418629636</v>
      </c>
      <c r="D59" s="93">
        <f>$B$1+E59</f>
        <v/>
      </c>
      <c r="E59" s="93" t="n">
        <v>0.1202088872397435</v>
      </c>
      <c r="F59" s="93" t="n">
        <v>0.3</v>
      </c>
    </row>
    <row r="60">
      <c r="A60" s="495" t="inlineStr">
        <is>
          <t>Falkland Islands</t>
        </is>
      </c>
      <c r="B60" s="498" t="inlineStr">
        <is>
          <t>NR</t>
        </is>
      </c>
      <c r="C60" s="499" t="n">
        <v>0.03576937686394985</v>
      </c>
      <c r="D60" s="93">
        <f>$B$1+E60</f>
        <v/>
      </c>
      <c r="E60" s="500" t="n">
        <v>0.04822256988201701</v>
      </c>
      <c r="F60" s="500" t="n">
        <v>0.3155395256169791</v>
      </c>
    </row>
    <row r="61">
      <c r="A61" s="495" t="inlineStr">
        <is>
          <t>Fiji</t>
        </is>
      </c>
      <c r="B61" s="94" t="inlineStr">
        <is>
          <t>B1</t>
        </is>
      </c>
      <c r="C61" s="93" t="n">
        <v>0.04458282709314818</v>
      </c>
      <c r="D61" s="93">
        <f>$B$1+E61</f>
        <v/>
      </c>
      <c r="E61" s="93" t="n">
        <v>0.06010444361987177</v>
      </c>
      <c r="F61" s="93" t="n">
        <v>0.2</v>
      </c>
    </row>
    <row r="62">
      <c r="A62" s="495" t="inlineStr">
        <is>
          <t>Finland</t>
        </is>
      </c>
      <c r="B62" s="94" t="inlineStr">
        <is>
          <t>Aa1</t>
        </is>
      </c>
      <c r="C62" s="93" t="n">
        <v>0.003957744441689394</v>
      </c>
      <c r="D62" s="93">
        <f>$B$1+E62</f>
        <v/>
      </c>
      <c r="E62" s="93" t="n">
        <v>0.005335642514557805</v>
      </c>
      <c r="F62" s="93" t="n">
        <v>0.2</v>
      </c>
    </row>
    <row r="63">
      <c r="A63" s="495" t="inlineStr">
        <is>
          <t>France</t>
        </is>
      </c>
      <c r="B63" s="94" t="inlineStr">
        <is>
          <t>Aa3</t>
        </is>
      </c>
      <c r="C63" s="93" t="n">
        <v>0.005936616662534093</v>
      </c>
      <c r="D63" s="93">
        <f>$B$1+E63</f>
        <v/>
      </c>
      <c r="E63" s="93" t="n">
        <v>0.008003463771836711</v>
      </c>
      <c r="F63" s="93" t="n">
        <v>0.25</v>
      </c>
    </row>
    <row r="64">
      <c r="A64" s="495" t="inlineStr">
        <is>
          <t>French Guiana</t>
        </is>
      </c>
      <c r="B64" s="498" t="inlineStr">
        <is>
          <t>NR</t>
        </is>
      </c>
      <c r="C64" s="499" t="n">
        <v>0.03576937686394985</v>
      </c>
      <c r="D64" s="93">
        <f>$B$1+E64</f>
        <v/>
      </c>
      <c r="E64" s="500" t="n">
        <v>0.04822256988201701</v>
      </c>
      <c r="F64" s="500" t="n">
        <v>0.3155395256169791</v>
      </c>
    </row>
    <row r="65">
      <c r="A65" s="495" t="inlineStr">
        <is>
          <t>Gabon</t>
        </is>
      </c>
      <c r="B65" s="94" t="inlineStr">
        <is>
          <t>Caa2</t>
        </is>
      </c>
      <c r="C65" s="93" t="n">
        <v>0.08916565418629636</v>
      </c>
      <c r="D65" s="93">
        <f>$B$1+E65</f>
        <v/>
      </c>
      <c r="E65" s="93" t="n">
        <v>0.1202088872397435</v>
      </c>
      <c r="F65" s="93" t="n">
        <v>0.3</v>
      </c>
    </row>
    <row r="66">
      <c r="A66" s="496" t="inlineStr">
        <is>
          <t>Gambia</t>
        </is>
      </c>
      <c r="B66" s="94" t="inlineStr">
        <is>
          <t>NR</t>
        </is>
      </c>
      <c r="C66" s="93" t="n">
        <v>0.04458282709314818</v>
      </c>
      <c r="D66" s="93">
        <f>$B$1+E66</f>
        <v/>
      </c>
      <c r="E66" s="93" t="n">
        <v>0.06010444361987177</v>
      </c>
      <c r="F66" s="93" t="n">
        <v>0.3</v>
      </c>
    </row>
    <row r="67">
      <c r="A67" s="495" t="inlineStr">
        <is>
          <t>Georgia</t>
        </is>
      </c>
      <c r="B67" s="94" t="inlineStr">
        <is>
          <t>Ba2</t>
        </is>
      </c>
      <c r="C67" s="93" t="n">
        <v>0.02979948756095545</v>
      </c>
      <c r="D67" s="93">
        <f>$B$1+E67</f>
        <v/>
      </c>
      <c r="E67" s="93" t="n">
        <v>0.04017424952137643</v>
      </c>
      <c r="F67" s="93" t="n">
        <v>0.15</v>
      </c>
    </row>
    <row r="68">
      <c r="A68" s="495" t="inlineStr">
        <is>
          <t>Germany</t>
        </is>
      </c>
      <c r="B68" s="94" t="inlineStr">
        <is>
          <t>Aaa</t>
        </is>
      </c>
      <c r="C68" s="93" t="n">
        <v>0</v>
      </c>
      <c r="D68" s="93">
        <f>$B$1+E68</f>
        <v/>
      </c>
      <c r="E68" s="93" t="n">
        <v>0</v>
      </c>
      <c r="F68" s="93" t="n">
        <v>0.3</v>
      </c>
    </row>
    <row r="69">
      <c r="A69" s="495" t="inlineStr">
        <is>
          <t>Ghana</t>
        </is>
      </c>
      <c r="B69" s="94" t="inlineStr">
        <is>
          <t>Caa2</t>
        </is>
      </c>
      <c r="C69" s="93" t="n">
        <v>0.08916565418629636</v>
      </c>
      <c r="D69" s="93">
        <f>$B$1+E69</f>
        <v/>
      </c>
      <c r="E69" s="93" t="n">
        <v>0.1202088872397435</v>
      </c>
      <c r="F69" s="93" t="n">
        <v>0.25</v>
      </c>
    </row>
    <row r="70">
      <c r="A70" s="495" t="inlineStr">
        <is>
          <t>Gibraltar</t>
        </is>
      </c>
      <c r="B70" s="94" t="inlineStr">
        <is>
          <t>NR</t>
        </is>
      </c>
      <c r="C70" s="93" t="n">
        <v>0.008274105096747005</v>
      </c>
      <c r="D70" s="93">
        <f>$B$1+E70</f>
        <v/>
      </c>
      <c r="E70" s="142" t="n">
        <v>0.01115475432397499</v>
      </c>
      <c r="F70" s="142" t="n">
        <v>0.2477521961491617</v>
      </c>
    </row>
    <row r="71">
      <c r="A71" s="495" t="inlineStr">
        <is>
          <t>Greece</t>
        </is>
      </c>
      <c r="B71" s="94" t="inlineStr">
        <is>
          <t>Ba1</t>
        </is>
      </c>
      <c r="C71" s="93" t="n">
        <v>0.02479410488470122</v>
      </c>
      <c r="D71" s="93">
        <f>$B$1+E71</f>
        <v/>
      </c>
      <c r="E71" s="93" t="n">
        <v>0.03342623104708274</v>
      </c>
      <c r="F71" s="93" t="n">
        <v>0.22</v>
      </c>
    </row>
    <row r="72">
      <c r="A72" s="495" t="inlineStr">
        <is>
          <t>Greenland</t>
        </is>
      </c>
      <c r="B72" s="94" t="inlineStr">
        <is>
          <t>NR</t>
        </is>
      </c>
      <c r="C72" s="93" t="n">
        <v>0.008274105096747005</v>
      </c>
      <c r="D72" s="93">
        <f>$B$1+E72</f>
        <v/>
      </c>
      <c r="E72" s="142" t="n">
        <v>0.01115475432397499</v>
      </c>
      <c r="F72" s="142" t="n">
        <v>0.2477521961491617</v>
      </c>
    </row>
    <row r="73">
      <c r="A73" s="495" t="inlineStr">
        <is>
          <t>Guatemala</t>
        </is>
      </c>
      <c r="B73" s="94" t="inlineStr">
        <is>
          <t>Ba1</t>
        </is>
      </c>
      <c r="C73" s="93" t="n">
        <v>0.02479410488470122</v>
      </c>
      <c r="D73" s="93">
        <f>$B$1+E73</f>
        <v/>
      </c>
      <c r="E73" s="93" t="n">
        <v>0.03342623104708274</v>
      </c>
      <c r="F73" s="93" t="n">
        <v>0.25</v>
      </c>
    </row>
    <row r="74">
      <c r="A74" s="495" t="inlineStr">
        <is>
          <t>Guernsey (States of)</t>
        </is>
      </c>
      <c r="B74" s="94" t="inlineStr">
        <is>
          <t>A1</t>
        </is>
      </c>
      <c r="C74" s="93" t="n">
        <v>0.006984254897098934</v>
      </c>
      <c r="D74" s="93">
        <f>$B$1+E74</f>
        <v/>
      </c>
      <c r="E74" s="93" t="n">
        <v>0.0094158397315726</v>
      </c>
      <c r="F74" s="93" t="n">
        <v>0</v>
      </c>
    </row>
    <row r="75">
      <c r="A75" s="496" t="inlineStr">
        <is>
          <t>Guinea</t>
        </is>
      </c>
      <c r="B75" s="94" t="inlineStr">
        <is>
          <t>NR</t>
        </is>
      </c>
      <c r="C75" s="93" t="n">
        <v>0.08916565418629635</v>
      </c>
      <c r="D75" s="93">
        <f>$B$1+E75</f>
        <v/>
      </c>
      <c r="E75" s="93" t="n">
        <v>0.1202088872397435</v>
      </c>
      <c r="F75" s="93" t="n">
        <v>0</v>
      </c>
    </row>
    <row r="76">
      <c r="A76" s="496" t="inlineStr">
        <is>
          <t>Guinea-Bissau</t>
        </is>
      </c>
      <c r="B76" s="94" t="inlineStr">
        <is>
          <t>NR</t>
        </is>
      </c>
      <c r="C76" s="93" t="n">
        <v>0.06437154930159514</v>
      </c>
      <c r="D76" s="93">
        <f>$B$1+E76</f>
        <v/>
      </c>
      <c r="E76" s="93" t="n">
        <v>0.08678265619266079</v>
      </c>
      <c r="F76" s="93" t="n">
        <v>0</v>
      </c>
    </row>
    <row r="77">
      <c r="A77" s="496" t="inlineStr">
        <is>
          <t>Guyana</t>
        </is>
      </c>
      <c r="B77" s="94" t="inlineStr">
        <is>
          <t>NR</t>
        </is>
      </c>
      <c r="C77" s="93" t="n">
        <v>0.01583097776675758</v>
      </c>
      <c r="D77" s="93">
        <f>$B$1+E77</f>
        <v/>
      </c>
      <c r="E77" s="93" t="n">
        <v>0.02134257005823122</v>
      </c>
      <c r="F77" s="93" t="n">
        <v>0</v>
      </c>
    </row>
    <row r="78">
      <c r="A78" s="496" t="inlineStr">
        <is>
          <t>Haiti</t>
        </is>
      </c>
      <c r="B78" s="94" t="inlineStr">
        <is>
          <t>NR</t>
        </is>
      </c>
      <c r="C78" s="93" t="n">
        <v>0.1188487374989668</v>
      </c>
      <c r="D78" s="93">
        <f>$B$1+E78</f>
        <v/>
      </c>
      <c r="E78" s="93" t="n">
        <v>0.1602262060989271</v>
      </c>
      <c r="F78" s="93" t="n">
        <v>0</v>
      </c>
    </row>
    <row r="79">
      <c r="A79" s="495" t="inlineStr">
        <is>
          <t>Honduras</t>
        </is>
      </c>
      <c r="B79" s="94" t="inlineStr">
        <is>
          <t>B1</t>
        </is>
      </c>
      <c r="C79" s="93" t="n">
        <v>0.04458282709314818</v>
      </c>
      <c r="D79" s="93">
        <f>$B$1+E79</f>
        <v/>
      </c>
      <c r="E79" s="93" t="n">
        <v>0.06010444361987177</v>
      </c>
      <c r="F79" s="93" t="n">
        <v>0.25</v>
      </c>
    </row>
    <row r="80">
      <c r="A80" s="495" t="inlineStr">
        <is>
          <t>Hong Kong</t>
        </is>
      </c>
      <c r="B80" s="94" t="inlineStr">
        <is>
          <t>Aa3</t>
        </is>
      </c>
      <c r="C80" s="93" t="n">
        <v>0.005936616662534093</v>
      </c>
      <c r="D80" s="93">
        <f>$B$1+E80</f>
        <v/>
      </c>
      <c r="E80" s="93" t="n">
        <v>0.008003463771836711</v>
      </c>
      <c r="F80" s="93" t="n">
        <v>0.165</v>
      </c>
    </row>
    <row r="81">
      <c r="A81" s="495" t="inlineStr">
        <is>
          <t>Hungary</t>
        </is>
      </c>
      <c r="B81" s="94" t="inlineStr">
        <is>
          <t>Baa2</t>
        </is>
      </c>
      <c r="C81" s="93" t="n">
        <v>0.01885748822216712</v>
      </c>
      <c r="D81" s="93">
        <f>$B$1+E81</f>
        <v/>
      </c>
      <c r="E81" s="93" t="n">
        <v>0.02542276727524602</v>
      </c>
      <c r="F81" s="93" t="n">
        <v>0.09</v>
      </c>
    </row>
    <row r="82">
      <c r="A82" s="495" t="inlineStr">
        <is>
          <t>Iceland</t>
        </is>
      </c>
      <c r="B82" s="94" t="inlineStr">
        <is>
          <t>A1</t>
        </is>
      </c>
      <c r="C82" s="93" t="n">
        <v>0.006984254897098934</v>
      </c>
      <c r="D82" s="93">
        <f>$B$1+E82</f>
        <v/>
      </c>
      <c r="E82" s="93" t="n">
        <v>0.0094158397315726</v>
      </c>
      <c r="F82" s="93" t="n">
        <v>0.2</v>
      </c>
    </row>
    <row r="83">
      <c r="A83" s="495" t="inlineStr">
        <is>
          <t>India</t>
        </is>
      </c>
      <c r="B83" s="94" t="inlineStr">
        <is>
          <t>Baa3</t>
        </is>
      </c>
      <c r="C83" s="93" t="n">
        <v>0.02176759442929168</v>
      </c>
      <c r="D83" s="93">
        <f>$B$1+E83</f>
        <v/>
      </c>
      <c r="E83" s="93" t="n">
        <v>0.02934603383006794</v>
      </c>
      <c r="F83" s="93" t="n">
        <v>0.3</v>
      </c>
    </row>
    <row r="84">
      <c r="A84" s="495" t="inlineStr">
        <is>
          <t>Indonesia</t>
        </is>
      </c>
      <c r="B84" s="94" t="inlineStr">
        <is>
          <t>Baa2</t>
        </is>
      </c>
      <c r="C84" s="93" t="n">
        <v>0.01885748822216712</v>
      </c>
      <c r="D84" s="93">
        <f>$B$1+E84</f>
        <v/>
      </c>
      <c r="E84" s="93" t="n">
        <v>0.02542276727524602</v>
      </c>
      <c r="F84" s="93" t="n">
        <v>0.22</v>
      </c>
    </row>
    <row r="85">
      <c r="A85" s="496" t="inlineStr">
        <is>
          <t>Iran</t>
        </is>
      </c>
      <c r="B85" s="94" t="inlineStr">
        <is>
          <t>NR</t>
        </is>
      </c>
      <c r="C85" s="93" t="n">
        <v>0.06437154930159514</v>
      </c>
      <c r="D85" s="93">
        <f>$B$1+E85</f>
        <v/>
      </c>
      <c r="E85" s="93" t="n">
        <v>0.08678265619266079</v>
      </c>
      <c r="F85" s="93" t="n">
        <v>0.22</v>
      </c>
    </row>
    <row r="86">
      <c r="A86" s="495" t="inlineStr">
        <is>
          <t>Iraq</t>
        </is>
      </c>
      <c r="B86" s="94" t="inlineStr">
        <is>
          <t>Caa1</t>
        </is>
      </c>
      <c r="C86" s="93" t="n">
        <v>0.07426591040581865</v>
      </c>
      <c r="D86" s="93">
        <f>$B$1+E86</f>
        <v/>
      </c>
      <c r="E86" s="93" t="n">
        <v>0.1001217624790553</v>
      </c>
      <c r="F86" s="93" t="n">
        <v>0.15</v>
      </c>
    </row>
    <row r="87">
      <c r="A87" s="495" t="inlineStr">
        <is>
          <t>Ireland</t>
        </is>
      </c>
      <c r="B87" s="94" t="inlineStr">
        <is>
          <t>Aa3</t>
        </is>
      </c>
      <c r="C87" s="93" t="n">
        <v>0.005936616662534093</v>
      </c>
      <c r="D87" s="93">
        <f>$B$1+E87</f>
        <v/>
      </c>
      <c r="E87" s="93" t="n">
        <v>0.008003463771836711</v>
      </c>
      <c r="F87" s="93" t="n">
        <v>0.125</v>
      </c>
    </row>
    <row r="88">
      <c r="A88" s="495" t="inlineStr">
        <is>
          <t>Isle of Man</t>
        </is>
      </c>
      <c r="B88" s="94" t="inlineStr">
        <is>
          <t>Aa3</t>
        </is>
      </c>
      <c r="C88" s="93" t="n">
        <v>0.005936616662534093</v>
      </c>
      <c r="D88" s="93">
        <f>$B$1+E88</f>
        <v/>
      </c>
      <c r="E88" s="93" t="n">
        <v>0.008003463771836711</v>
      </c>
      <c r="F88" s="93" t="n">
        <v>0</v>
      </c>
    </row>
    <row r="89">
      <c r="A89" s="495" t="inlineStr">
        <is>
          <t>Israel</t>
        </is>
      </c>
      <c r="B89" s="94" t="inlineStr">
        <is>
          <t>Baa1</t>
        </is>
      </c>
      <c r="C89" s="93" t="n">
        <v>0.01583097776675758</v>
      </c>
      <c r="D89" s="93">
        <f>$B$1+E89</f>
        <v/>
      </c>
      <c r="E89" s="93" t="n">
        <v>0.02134257005823122</v>
      </c>
      <c r="F89" s="93" t="n">
        <v>0.23</v>
      </c>
    </row>
    <row r="90">
      <c r="A90" s="495" t="inlineStr">
        <is>
          <t>Italy</t>
        </is>
      </c>
      <c r="B90" s="94" t="inlineStr">
        <is>
          <t>Baa3</t>
        </is>
      </c>
      <c r="C90" s="93" t="n">
        <v>0.02176759442929168</v>
      </c>
      <c r="D90" s="93">
        <f>$B$1+E90</f>
        <v/>
      </c>
      <c r="E90" s="93" t="n">
        <v>0.02934603383006794</v>
      </c>
      <c r="F90" s="93" t="n">
        <v>0.24</v>
      </c>
    </row>
    <row r="91">
      <c r="A91" s="495" t="inlineStr">
        <is>
          <t>Ivory Coast</t>
        </is>
      </c>
      <c r="B91" s="94" t="inlineStr">
        <is>
          <t>Ba2</t>
        </is>
      </c>
      <c r="C91" s="99" t="n">
        <v>0.02979948756095545</v>
      </c>
      <c r="D91" s="93">
        <f>$B$1+E91</f>
        <v/>
      </c>
      <c r="E91" s="128" t="n">
        <v>0.04017424952137643</v>
      </c>
      <c r="F91" s="128" t="n">
        <v>0.25</v>
      </c>
    </row>
    <row r="92">
      <c r="A92" s="495" t="inlineStr">
        <is>
          <t>Jamaica</t>
        </is>
      </c>
      <c r="B92" s="94" t="inlineStr">
        <is>
          <t>B1</t>
        </is>
      </c>
      <c r="C92" s="93" t="n">
        <v>0.04458282709314818</v>
      </c>
      <c r="D92" s="93">
        <f>$B$1+E92</f>
        <v/>
      </c>
      <c r="E92" s="93" t="n">
        <v>0.06010444361987177</v>
      </c>
      <c r="F92" s="93" t="n">
        <v>0.25</v>
      </c>
    </row>
    <row r="93">
      <c r="A93" s="495" t="inlineStr">
        <is>
          <t>Japan</t>
        </is>
      </c>
      <c r="B93" s="94" t="inlineStr">
        <is>
          <t>A1</t>
        </is>
      </c>
      <c r="C93" s="93" t="n">
        <v>0.006984254897098934</v>
      </c>
      <c r="D93" s="93">
        <f>$B$1+E93</f>
        <v/>
      </c>
      <c r="E93" s="93" t="n">
        <v>0.0094158397315726</v>
      </c>
      <c r="F93" s="93" t="n">
        <v>0.3062</v>
      </c>
    </row>
    <row r="94">
      <c r="A94" s="495" t="inlineStr">
        <is>
          <t>Jersey (States of)</t>
        </is>
      </c>
      <c r="B94" s="94" t="inlineStr">
        <is>
          <t>Aa2</t>
        </is>
      </c>
      <c r="C94" s="93" t="n">
        <v>0.004888978427969252</v>
      </c>
      <c r="D94" s="93">
        <f>$B$1+E94</f>
        <v/>
      </c>
      <c r="E94" s="93" t="n">
        <v>0.006591087812100819</v>
      </c>
      <c r="F94" s="93" t="n">
        <v>0</v>
      </c>
    </row>
    <row r="95">
      <c r="A95" s="495" t="inlineStr">
        <is>
          <t>Jordan</t>
        </is>
      </c>
      <c r="B95" s="94" t="inlineStr">
        <is>
          <t>Ba3</t>
        </is>
      </c>
      <c r="C95" s="93" t="n">
        <v>0.03561969997520455</v>
      </c>
      <c r="D95" s="93">
        <f>$B$1+E95</f>
        <v/>
      </c>
      <c r="E95" s="93" t="n">
        <v>0.04802078263102025</v>
      </c>
      <c r="F95" s="93" t="n">
        <v>0.2</v>
      </c>
    </row>
    <row r="96">
      <c r="A96" s="495" t="inlineStr">
        <is>
          <t>Kazakhstan</t>
        </is>
      </c>
      <c r="B96" s="94" t="inlineStr">
        <is>
          <t>Baa1</t>
        </is>
      </c>
      <c r="C96" s="93" t="n">
        <v>0.01583097776675758</v>
      </c>
      <c r="D96" s="93">
        <f>$B$1+E96</f>
        <v/>
      </c>
      <c r="E96" s="93" t="n">
        <v>0.02134257005823122</v>
      </c>
      <c r="F96" s="93" t="n">
        <v>0.2</v>
      </c>
    </row>
    <row r="97">
      <c r="A97" s="495" t="inlineStr">
        <is>
          <t>Kenya</t>
        </is>
      </c>
      <c r="B97" s="94" t="inlineStr">
        <is>
          <t>Caa1</t>
        </is>
      </c>
      <c r="C97" s="93" t="n">
        <v>0.07426591040581865</v>
      </c>
      <c r="D97" s="93">
        <f>$B$1+E97</f>
        <v/>
      </c>
      <c r="E97" s="93" t="n">
        <v>0.1001217624790553</v>
      </c>
      <c r="F97" s="93" t="n">
        <v>0.3</v>
      </c>
    </row>
    <row r="98">
      <c r="A98" s="496" t="inlineStr">
        <is>
          <t>Korea, D.P.R.</t>
        </is>
      </c>
      <c r="B98" s="94" t="inlineStr">
        <is>
          <t>NR</t>
        </is>
      </c>
      <c r="C98" s="93" t="n">
        <v>0.1188487374989668</v>
      </c>
      <c r="D98" s="93">
        <f>$B$1+E98</f>
        <v/>
      </c>
      <c r="E98" s="93" t="n">
        <v>0.1602262060989271</v>
      </c>
      <c r="F98" s="93" t="n">
        <v>0.25</v>
      </c>
    </row>
    <row r="99">
      <c r="A99" s="495" t="inlineStr">
        <is>
          <t>Kuwait</t>
        </is>
      </c>
      <c r="B99" s="94" t="inlineStr">
        <is>
          <t>A1</t>
        </is>
      </c>
      <c r="C99" s="93" t="n">
        <v>0.006984254897098934</v>
      </c>
      <c r="D99" s="93">
        <f>$B$1+E99</f>
        <v/>
      </c>
      <c r="E99" s="93" t="n">
        <v>0.0094158397315726</v>
      </c>
      <c r="F99" s="93" t="n">
        <v>0.15</v>
      </c>
    </row>
    <row r="100">
      <c r="A100" s="495" t="inlineStr">
        <is>
          <t>Kyrgyzstan</t>
        </is>
      </c>
      <c r="B100" s="94" t="inlineStr">
        <is>
          <t>B3</t>
        </is>
      </c>
      <c r="C100" s="93" t="n">
        <v>0.06437154930159515</v>
      </c>
      <c r="D100" s="93">
        <f>$B$1+E100</f>
        <v/>
      </c>
      <c r="E100" s="93" t="n">
        <v>0.0867826561926608</v>
      </c>
      <c r="F100" s="93" t="n">
        <v>0.1</v>
      </c>
    </row>
    <row r="101">
      <c r="A101" s="495" t="inlineStr">
        <is>
          <t>Laos</t>
        </is>
      </c>
      <c r="B101" s="94" t="inlineStr">
        <is>
          <t>Caa3</t>
        </is>
      </c>
      <c r="C101" s="93" t="n">
        <v>0.09906001529051987</v>
      </c>
      <c r="D101" s="93">
        <f>$B$1+E101</f>
        <v/>
      </c>
      <c r="E101" s="93" t="n">
        <v>0.1335479935261381</v>
      </c>
      <c r="F101" s="93" t="n">
        <v>0.2686</v>
      </c>
    </row>
    <row r="102">
      <c r="A102" s="495" t="inlineStr">
        <is>
          <t>Latvia</t>
        </is>
      </c>
      <c r="B102" s="94" t="inlineStr">
        <is>
          <t>A3</t>
        </is>
      </c>
      <c r="C102" s="93" t="n">
        <v>0.01187323332506819</v>
      </c>
      <c r="D102" s="93">
        <f>$B$1+E102</f>
        <v/>
      </c>
      <c r="E102" s="93" t="n">
        <v>0.01600692754367342</v>
      </c>
      <c r="F102" s="93" t="n">
        <v>0.2</v>
      </c>
    </row>
    <row r="103">
      <c r="A103" s="495" t="inlineStr">
        <is>
          <t>Lebanon</t>
        </is>
      </c>
      <c r="B103" s="94" t="inlineStr">
        <is>
          <t>C</t>
        </is>
      </c>
      <c r="C103" s="93" t="n">
        <v>0.175</v>
      </c>
      <c r="D103" s="93">
        <f>$B$1+E103</f>
        <v/>
      </c>
      <c r="E103" s="93" t="n">
        <v>0.2359266632306968</v>
      </c>
      <c r="F103" s="93" t="n">
        <v>0.17</v>
      </c>
    </row>
    <row r="104">
      <c r="A104" s="496" t="inlineStr">
        <is>
          <t>Liberia</t>
        </is>
      </c>
      <c r="B104" s="94" t="inlineStr">
        <is>
          <t>NR</t>
        </is>
      </c>
      <c r="C104" s="93" t="n">
        <v>0.08916565418629635</v>
      </c>
      <c r="D104" s="93">
        <f>$B$1+E104</f>
        <v/>
      </c>
      <c r="E104" s="93" t="n">
        <v>0.1202088872397435</v>
      </c>
      <c r="F104" s="93" t="n">
        <v>0.17</v>
      </c>
    </row>
    <row r="105">
      <c r="A105" s="496" t="inlineStr">
        <is>
          <t>Libya</t>
        </is>
      </c>
      <c r="B105" s="94" t="inlineStr">
        <is>
          <t>NR</t>
        </is>
      </c>
      <c r="C105" s="93" t="n">
        <v>0.01583097776675758</v>
      </c>
      <c r="D105" s="93">
        <f>$B$1+E105</f>
        <v/>
      </c>
      <c r="E105" s="93" t="n">
        <v>0.02134257005823122</v>
      </c>
      <c r="F105" s="93" t="n">
        <v>0.17</v>
      </c>
    </row>
    <row r="106">
      <c r="A106" s="495" t="inlineStr">
        <is>
          <t>Liechtenstein</t>
        </is>
      </c>
      <c r="B106" s="94" t="inlineStr">
        <is>
          <t>Aaa</t>
        </is>
      </c>
      <c r="C106" s="93" t="n">
        <v>0</v>
      </c>
      <c r="D106" s="93">
        <f>$B$1+E106</f>
        <v/>
      </c>
      <c r="E106" s="93" t="n">
        <v>0</v>
      </c>
      <c r="F106" s="93" t="n">
        <v>0.125</v>
      </c>
    </row>
    <row r="107">
      <c r="A107" s="495" t="inlineStr">
        <is>
          <t>Lithuania</t>
        </is>
      </c>
      <c r="B107" s="94" t="inlineStr">
        <is>
          <t>A2</t>
        </is>
      </c>
      <c r="C107" s="93" t="n">
        <v>0.00838110587651872</v>
      </c>
      <c r="D107" s="93">
        <f>$B$1+E107</f>
        <v/>
      </c>
      <c r="E107" s="93" t="n">
        <v>0.01129900767788712</v>
      </c>
      <c r="F107" s="93" t="n">
        <v>0.15</v>
      </c>
    </row>
    <row r="108">
      <c r="A108" s="495" t="inlineStr">
        <is>
          <t>Luxembourg</t>
        </is>
      </c>
      <c r="B108" s="94" t="inlineStr">
        <is>
          <t>Aaa</t>
        </is>
      </c>
      <c r="C108" s="93" t="n">
        <v>0</v>
      </c>
      <c r="D108" s="93">
        <f>$B$1+E108</f>
        <v/>
      </c>
      <c r="E108" s="93" t="n">
        <v>0</v>
      </c>
      <c r="F108" s="93" t="n">
        <v>0.2494</v>
      </c>
    </row>
    <row r="109">
      <c r="A109" s="495" t="inlineStr">
        <is>
          <t>Macau</t>
        </is>
      </c>
      <c r="B109" s="94" t="inlineStr">
        <is>
          <t>Aa3</t>
        </is>
      </c>
      <c r="C109" s="99" t="n">
        <v>0.005936616662534093</v>
      </c>
      <c r="D109" s="93">
        <f>$B$1+E109</f>
        <v/>
      </c>
      <c r="E109" s="128" t="n">
        <v>0.008003463771836711</v>
      </c>
      <c r="F109" s="128" t="n">
        <v>0.2686</v>
      </c>
    </row>
    <row r="110">
      <c r="A110" s="495" t="inlineStr">
        <is>
          <t>Macedonia</t>
        </is>
      </c>
      <c r="B110" s="94" t="inlineStr">
        <is>
          <t>Ba3</t>
        </is>
      </c>
      <c r="C110" s="93" t="n">
        <v>0.03561969997520455</v>
      </c>
      <c r="D110" s="93">
        <f>$B$1+E110</f>
        <v/>
      </c>
      <c r="E110" s="93" t="n">
        <v>0.04802078263102025</v>
      </c>
      <c r="F110" s="93" t="n">
        <v>0.1</v>
      </c>
    </row>
    <row r="111">
      <c r="A111" s="496" t="inlineStr">
        <is>
          <t>Madagascar</t>
        </is>
      </c>
      <c r="B111" s="94" t="inlineStr">
        <is>
          <t>NR</t>
        </is>
      </c>
      <c r="C111" s="93" t="n">
        <v>0.05447718819737166</v>
      </c>
      <c r="D111" s="93">
        <f>$B$1+E111</f>
        <v/>
      </c>
      <c r="E111" s="93" t="n">
        <v>0.07344354990626625</v>
      </c>
      <c r="F111" s="93" t="n">
        <v>0.1</v>
      </c>
    </row>
    <row r="112">
      <c r="A112" s="496" t="inlineStr">
        <is>
          <t>Malawi</t>
        </is>
      </c>
      <c r="B112" s="94" t="inlineStr">
        <is>
          <t>NR</t>
        </is>
      </c>
      <c r="C112" s="93" t="n">
        <v>0.08916565418629635</v>
      </c>
      <c r="D112" s="93">
        <f>$B$1+E112</f>
        <v/>
      </c>
      <c r="E112" s="93" t="n">
        <v>0.1202088872397435</v>
      </c>
      <c r="F112" s="93" t="n">
        <v>0.1</v>
      </c>
    </row>
    <row r="113">
      <c r="A113" s="495" t="inlineStr">
        <is>
          <t>Malaysia</t>
        </is>
      </c>
      <c r="B113" s="94" t="inlineStr">
        <is>
          <t>A3</t>
        </is>
      </c>
      <c r="C113" s="93" t="n">
        <v>0.01187323332506819</v>
      </c>
      <c r="D113" s="93">
        <f>$B$1+E113</f>
        <v/>
      </c>
      <c r="E113" s="93" t="n">
        <v>0.01600692754367342</v>
      </c>
      <c r="F113" s="93" t="n">
        <v>0.24</v>
      </c>
    </row>
    <row r="114">
      <c r="A114" s="495" t="inlineStr">
        <is>
          <t>Maldives</t>
        </is>
      </c>
      <c r="B114" s="94" t="inlineStr">
        <is>
          <t>Caa2</t>
        </is>
      </c>
      <c r="C114" s="93" t="n">
        <v>0.08916565418629636</v>
      </c>
      <c r="D114" s="93">
        <f>$B$1+E114</f>
        <v/>
      </c>
      <c r="E114" s="93" t="n">
        <v>0.1202088872397435</v>
      </c>
      <c r="F114" s="93" t="n">
        <v>0.2686</v>
      </c>
    </row>
    <row r="115">
      <c r="A115" s="495" t="inlineStr">
        <is>
          <t>Mali</t>
        </is>
      </c>
      <c r="B115" s="94" t="inlineStr">
        <is>
          <t>Caa2</t>
        </is>
      </c>
      <c r="C115" s="93" t="n">
        <v>0.08916565418629636</v>
      </c>
      <c r="D115" s="93">
        <f>$B$1+E115</f>
        <v/>
      </c>
      <c r="E115" s="93" t="n">
        <v>0.1202088872397435</v>
      </c>
      <c r="F115" s="93" t="n">
        <v>0.2686</v>
      </c>
    </row>
    <row r="116">
      <c r="A116" s="495" t="inlineStr">
        <is>
          <t>Malta</t>
        </is>
      </c>
      <c r="B116" s="94" t="inlineStr">
        <is>
          <t>A2</t>
        </is>
      </c>
      <c r="C116" s="93" t="n">
        <v>0.00838110587651872</v>
      </c>
      <c r="D116" s="93">
        <f>$B$1+E116</f>
        <v/>
      </c>
      <c r="E116" s="93" t="n">
        <v>0.01129900767788712</v>
      </c>
      <c r="F116" s="93" t="n">
        <v>0.35</v>
      </c>
    </row>
    <row r="117">
      <c r="A117" s="495" t="inlineStr">
        <is>
          <t>Martinique</t>
        </is>
      </c>
      <c r="B117" s="94" t="inlineStr">
        <is>
          <t>NR</t>
        </is>
      </c>
      <c r="C117" s="93" t="n">
        <v>0.06012263625836532</v>
      </c>
      <c r="D117" s="93">
        <f>$B$1+E117</f>
        <v/>
      </c>
      <c r="E117" s="142" t="n">
        <v>0.08105447404039451</v>
      </c>
      <c r="F117" s="142" t="n">
        <v>0.2522801868944358</v>
      </c>
    </row>
    <row r="118">
      <c r="A118" s="495" t="inlineStr">
        <is>
          <t>Mauritius</t>
        </is>
      </c>
      <c r="B118" s="94" t="inlineStr">
        <is>
          <t>Baa3</t>
        </is>
      </c>
      <c r="C118" s="93" t="n">
        <v>0.02176759442929168</v>
      </c>
      <c r="D118" s="93">
        <f>$B$1+E118</f>
        <v/>
      </c>
      <c r="E118" s="93" t="n">
        <v>0.02934603383006794</v>
      </c>
      <c r="F118" s="93" t="n">
        <v>0.15</v>
      </c>
    </row>
    <row r="119">
      <c r="A119" s="495" t="inlineStr">
        <is>
          <t>Mexico</t>
        </is>
      </c>
      <c r="B119" s="94" t="inlineStr">
        <is>
          <t>Baa2</t>
        </is>
      </c>
      <c r="C119" s="93" t="n">
        <v>0.01885748822216712</v>
      </c>
      <c r="D119" s="93">
        <f>$B$1+E119</f>
        <v/>
      </c>
      <c r="E119" s="93" t="n">
        <v>0.02542276727524602</v>
      </c>
      <c r="F119" s="93" t="n">
        <v>0.3</v>
      </c>
    </row>
    <row r="120">
      <c r="A120" s="495" t="inlineStr">
        <is>
          <t>Moldova</t>
        </is>
      </c>
      <c r="B120" s="94" t="inlineStr">
        <is>
          <t>B3</t>
        </is>
      </c>
      <c r="C120" s="93" t="n">
        <v>0.06437154930159515</v>
      </c>
      <c r="D120" s="93">
        <f>$B$1+E120</f>
        <v/>
      </c>
      <c r="E120" s="142" t="n">
        <v>0.0867826561926608</v>
      </c>
      <c r="F120" s="142" t="n">
        <v>0.12</v>
      </c>
    </row>
    <row r="121">
      <c r="A121" s="495" t="inlineStr">
        <is>
          <t>Monaco</t>
        </is>
      </c>
      <c r="B121" s="94" t="inlineStr">
        <is>
          <t>Aaa</t>
        </is>
      </c>
      <c r="C121" s="93" t="n">
        <v>0</v>
      </c>
      <c r="D121" s="93">
        <f>$B$1+E121</f>
        <v/>
      </c>
      <c r="E121" s="93" t="n">
        <v>0</v>
      </c>
      <c r="F121" s="93" t="n">
        <v>0.2477521961491617</v>
      </c>
    </row>
    <row r="122">
      <c r="A122" s="495" t="inlineStr">
        <is>
          <t>Mongolia</t>
        </is>
      </c>
      <c r="B122" s="94" t="inlineStr">
        <is>
          <t>B2</t>
        </is>
      </c>
      <c r="C122" s="93" t="n">
        <v>0.05447718819737168</v>
      </c>
      <c r="D122" s="93">
        <f>$B$1+E122</f>
        <v/>
      </c>
      <c r="E122" s="93" t="n">
        <v>0.07344354990626628</v>
      </c>
      <c r="F122" s="93" t="n">
        <v>0.25</v>
      </c>
    </row>
    <row r="123">
      <c r="A123" s="495" t="inlineStr">
        <is>
          <t>Montenegro</t>
        </is>
      </c>
      <c r="B123" s="94" t="inlineStr">
        <is>
          <t>B1</t>
        </is>
      </c>
      <c r="C123" s="93" t="n">
        <v>0.04458282709314818</v>
      </c>
      <c r="D123" s="93">
        <f>$B$1+E123</f>
        <v/>
      </c>
      <c r="E123" s="93" t="n">
        <v>0.06010444361987177</v>
      </c>
      <c r="F123" s="93" t="n">
        <v>0.15</v>
      </c>
    </row>
    <row r="124">
      <c r="A124" s="495" t="inlineStr">
        <is>
          <t>Montserrat</t>
        </is>
      </c>
      <c r="B124" s="94" t="inlineStr">
        <is>
          <t>Baa3</t>
        </is>
      </c>
      <c r="C124" s="93" t="n">
        <v>0.02176759442929168</v>
      </c>
      <c r="D124" s="93">
        <f>$B$1+E124</f>
        <v/>
      </c>
      <c r="E124" s="93" t="n">
        <v>0.02934603383006794</v>
      </c>
      <c r="F124" s="93" t="n">
        <v>0.2853</v>
      </c>
    </row>
    <row r="125">
      <c r="A125" s="495" t="inlineStr">
        <is>
          <t>Morocco</t>
        </is>
      </c>
      <c r="B125" s="94" t="inlineStr">
        <is>
          <t>Ba1</t>
        </is>
      </c>
      <c r="C125" s="93" t="n">
        <v>0.02479410488470122</v>
      </c>
      <c r="D125" s="93">
        <f>$B$1+E125</f>
        <v/>
      </c>
      <c r="E125" s="93" t="n">
        <v>0.03342623104708274</v>
      </c>
      <c r="F125" s="93" t="n">
        <v>0.32</v>
      </c>
    </row>
    <row r="126">
      <c r="A126" s="495" t="inlineStr">
        <is>
          <t>Mozambique</t>
        </is>
      </c>
      <c r="B126" s="94" t="inlineStr">
        <is>
          <t>Caa2</t>
        </is>
      </c>
      <c r="C126" s="93" t="n">
        <v>0.08916565418629636</v>
      </c>
      <c r="D126" s="93">
        <f>$B$1+E126</f>
        <v/>
      </c>
      <c r="E126" s="93" t="n">
        <v>0.1202088872397435</v>
      </c>
      <c r="F126" s="93" t="n">
        <v>0.32</v>
      </c>
    </row>
    <row r="127">
      <c r="A127" s="496" t="inlineStr">
        <is>
          <t>Myanmar</t>
        </is>
      </c>
      <c r="B127" s="94" t="inlineStr">
        <is>
          <t>NR</t>
        </is>
      </c>
      <c r="C127" s="93" t="n">
        <v>0.09906001529051986</v>
      </c>
      <c r="D127" s="93">
        <f>$B$1+E127</f>
        <v/>
      </c>
      <c r="E127" s="93" t="n">
        <v>0.1335479935261381</v>
      </c>
      <c r="F127" s="93" t="n">
        <v>0.32</v>
      </c>
    </row>
    <row r="128">
      <c r="A128" s="495" t="inlineStr">
        <is>
          <t>Namibia</t>
        </is>
      </c>
      <c r="B128" s="94" t="inlineStr">
        <is>
          <t>B1</t>
        </is>
      </c>
      <c r="C128" s="93" t="n">
        <v>0.04458282709314818</v>
      </c>
      <c r="D128" s="93">
        <f>$B$1+E128</f>
        <v/>
      </c>
      <c r="E128" s="93" t="n">
        <v>0.06010444361987177</v>
      </c>
      <c r="F128" s="93" t="n">
        <v>0.32</v>
      </c>
    </row>
    <row r="129">
      <c r="A129" s="495" t="inlineStr">
        <is>
          <t>Nepal</t>
        </is>
      </c>
      <c r="B129" s="94" t="inlineStr">
        <is>
          <t>Ba3</t>
        </is>
      </c>
      <c r="C129" s="93" t="n">
        <v>0.03561969997520455</v>
      </c>
      <c r="D129" s="93">
        <f>$B$1+E129</f>
        <v/>
      </c>
      <c r="E129" s="93" t="n">
        <v>0.04802078263102025</v>
      </c>
      <c r="F129" s="93" t="n">
        <v>0.25</v>
      </c>
    </row>
    <row r="130">
      <c r="A130" s="495" t="inlineStr">
        <is>
          <t>Netherlands</t>
        </is>
      </c>
      <c r="B130" s="94" t="inlineStr">
        <is>
          <t>Aaa</t>
        </is>
      </c>
      <c r="C130" s="93" t="n">
        <v>0</v>
      </c>
      <c r="D130" s="93">
        <f>$B$1+E130</f>
        <v/>
      </c>
      <c r="E130" s="93" t="n">
        <v>0</v>
      </c>
      <c r="F130" s="93" t="n">
        <v>0.258</v>
      </c>
    </row>
    <row r="131">
      <c r="A131" s="495" t="inlineStr">
        <is>
          <t>Netherlands Antilles</t>
        </is>
      </c>
      <c r="B131" s="94" t="inlineStr">
        <is>
          <t>NR</t>
        </is>
      </c>
      <c r="C131" s="93" t="n">
        <v>0.06012263625836532</v>
      </c>
      <c r="D131" s="93">
        <f>$B$1+E131</f>
        <v/>
      </c>
      <c r="E131" s="93" t="n">
        <v>0.08105447404039451</v>
      </c>
      <c r="F131" s="93" t="n">
        <v>0.2522801868944358</v>
      </c>
    </row>
    <row r="132">
      <c r="A132" s="495" t="inlineStr">
        <is>
          <t>New Zealand</t>
        </is>
      </c>
      <c r="B132" s="94" t="inlineStr">
        <is>
          <t>Aaa</t>
        </is>
      </c>
      <c r="C132" s="93" t="n">
        <v>0</v>
      </c>
      <c r="D132" s="93">
        <f>$B$1+E132</f>
        <v/>
      </c>
      <c r="E132" s="93" t="n">
        <v>0</v>
      </c>
      <c r="F132" s="93" t="n">
        <v>0.28</v>
      </c>
    </row>
    <row r="133">
      <c r="A133" s="495" t="inlineStr">
        <is>
          <t>Nicaragua</t>
        </is>
      </c>
      <c r="B133" s="94" t="inlineStr">
        <is>
          <t>B2</t>
        </is>
      </c>
      <c r="C133" s="93" t="n">
        <v>0.05447718819737168</v>
      </c>
      <c r="D133" s="93">
        <f>$B$1+E133</f>
        <v/>
      </c>
      <c r="E133" s="93" t="n">
        <v>0.07344354990626628</v>
      </c>
      <c r="F133" s="93" t="n">
        <v>0.3</v>
      </c>
    </row>
    <row r="134">
      <c r="A134" s="495" t="inlineStr">
        <is>
          <t>Niger</t>
        </is>
      </c>
      <c r="B134" s="94" t="inlineStr">
        <is>
          <t>Caa3</t>
        </is>
      </c>
      <c r="C134" s="93" t="n">
        <v>0.09906001529051987</v>
      </c>
      <c r="D134" s="93">
        <f>$B$1+E134</f>
        <v/>
      </c>
      <c r="E134" s="93" t="n">
        <v>0.1335479935261381</v>
      </c>
      <c r="F134" s="93" t="n">
        <v>0.2686</v>
      </c>
    </row>
    <row r="135">
      <c r="A135" s="495" t="inlineStr">
        <is>
          <t>Nigeria</t>
        </is>
      </c>
      <c r="B135" s="94" t="inlineStr">
        <is>
          <t>Caa1</t>
        </is>
      </c>
      <c r="C135" s="93" t="n">
        <v>0.07426591040581865</v>
      </c>
      <c r="D135" s="93">
        <f>$B$1+E135</f>
        <v/>
      </c>
      <c r="E135" s="93" t="n">
        <v>0.1001217624790553</v>
      </c>
      <c r="F135" s="93" t="n">
        <v>0.3</v>
      </c>
    </row>
    <row r="136">
      <c r="A136" s="495" t="inlineStr">
        <is>
          <t>Norway</t>
        </is>
      </c>
      <c r="B136" s="94" t="inlineStr">
        <is>
          <t>Aaa</t>
        </is>
      </c>
      <c r="C136" s="93" t="n">
        <v>0</v>
      </c>
      <c r="D136" s="93">
        <f>$B$1+E136</f>
        <v/>
      </c>
      <c r="E136" s="93" t="n">
        <v>0</v>
      </c>
      <c r="F136" s="93" t="n">
        <v>0.22</v>
      </c>
    </row>
    <row r="137">
      <c r="A137" s="495" t="inlineStr">
        <is>
          <t>Oman</t>
        </is>
      </c>
      <c r="B137" s="94" t="inlineStr">
        <is>
          <t>Ba1</t>
        </is>
      </c>
      <c r="C137" s="93" t="n">
        <v>0.02479410488470122</v>
      </c>
      <c r="D137" s="93">
        <f>$B$1+E137</f>
        <v/>
      </c>
      <c r="E137" s="93" t="n">
        <v>0.03342623104708274</v>
      </c>
      <c r="F137" s="93" t="n">
        <v>0.15</v>
      </c>
    </row>
    <row r="138">
      <c r="A138" s="495" t="inlineStr">
        <is>
          <t>Pakistan</t>
        </is>
      </c>
      <c r="B138" s="94" t="inlineStr">
        <is>
          <t>Caa2</t>
        </is>
      </c>
      <c r="C138" s="93" t="n">
        <v>0.08916565418629636</v>
      </c>
      <c r="D138" s="93">
        <f>$B$1+E138</f>
        <v/>
      </c>
      <c r="E138" s="142" t="n">
        <v>0.1202088872397435</v>
      </c>
      <c r="F138" s="142" t="n">
        <v>0.29</v>
      </c>
    </row>
    <row r="139">
      <c r="A139" s="495" t="inlineStr">
        <is>
          <t>Palestinian Authority</t>
        </is>
      </c>
      <c r="B139" s="94" t="inlineStr">
        <is>
          <t>NR</t>
        </is>
      </c>
      <c r="C139" s="93" t="n">
        <v>0.175</v>
      </c>
      <c r="D139" s="93">
        <f>$B$1+E139</f>
        <v/>
      </c>
      <c r="E139" s="93" t="n">
        <v>0.2359266632306968</v>
      </c>
      <c r="F139" s="93" t="n">
        <v>0.17</v>
      </c>
    </row>
    <row r="140">
      <c r="A140" s="495" t="inlineStr">
        <is>
          <t>Panama</t>
        </is>
      </c>
      <c r="B140" s="94" t="inlineStr">
        <is>
          <t>Baa3</t>
        </is>
      </c>
      <c r="C140" s="93" t="n">
        <v>0.02176759442929168</v>
      </c>
      <c r="D140" s="93">
        <f>$B$1+E140</f>
        <v/>
      </c>
      <c r="E140" s="93" t="n">
        <v>0.02934603383006794</v>
      </c>
      <c r="F140" s="93" t="n">
        <v>0.25</v>
      </c>
    </row>
    <row r="141">
      <c r="A141" s="495" t="inlineStr">
        <is>
          <t>Papua New Guinea</t>
        </is>
      </c>
      <c r="B141" s="94" t="inlineStr">
        <is>
          <t>B2</t>
        </is>
      </c>
      <c r="C141" s="93" t="n">
        <v>0.05447718819737168</v>
      </c>
      <c r="D141" s="93">
        <f>$B$1+E141</f>
        <v/>
      </c>
      <c r="E141" s="93" t="n">
        <v>0.07344354990626628</v>
      </c>
      <c r="F141" s="93" t="n">
        <v>0.3</v>
      </c>
    </row>
    <row r="142">
      <c r="A142" s="495" t="inlineStr">
        <is>
          <t>Paraguay</t>
        </is>
      </c>
      <c r="B142" s="94" t="inlineStr">
        <is>
          <t>Baa3</t>
        </is>
      </c>
      <c r="C142" s="93" t="n">
        <v>0.02176759442929168</v>
      </c>
      <c r="D142" s="93">
        <f>$B$1+E142</f>
        <v/>
      </c>
      <c r="E142" s="93" t="n">
        <v>0.02934603383006794</v>
      </c>
      <c r="F142" s="93" t="n">
        <v>0.1</v>
      </c>
    </row>
    <row r="143">
      <c r="A143" s="495" t="inlineStr">
        <is>
          <t>Peru</t>
        </is>
      </c>
      <c r="B143" s="94" t="inlineStr">
        <is>
          <t>Baa1</t>
        </is>
      </c>
      <c r="C143" s="93" t="n">
        <v>0.01583097776675758</v>
      </c>
      <c r="D143" s="93">
        <f>$B$1+E143</f>
        <v/>
      </c>
      <c r="E143" s="93" t="n">
        <v>0.02134257005823122</v>
      </c>
      <c r="F143" s="93" t="n">
        <v>0.295</v>
      </c>
    </row>
    <row r="144">
      <c r="A144" s="495" t="inlineStr">
        <is>
          <t>Philippines</t>
        </is>
      </c>
      <c r="B144" s="94" t="inlineStr">
        <is>
          <t>Baa2</t>
        </is>
      </c>
      <c r="C144" s="93" t="n">
        <v>0.01885748822216712</v>
      </c>
      <c r="D144" s="93">
        <f>$B$1+E144</f>
        <v/>
      </c>
      <c r="E144" s="93" t="n">
        <v>0.02542276727524602</v>
      </c>
      <c r="F144" s="93" t="n">
        <v>0.25</v>
      </c>
    </row>
    <row r="145">
      <c r="A145" s="495" t="inlineStr">
        <is>
          <t>Poland</t>
        </is>
      </c>
      <c r="B145" s="94" t="inlineStr">
        <is>
          <t>A2</t>
        </is>
      </c>
      <c r="C145" s="93" t="n">
        <v>0.00838110587651872</v>
      </c>
      <c r="D145" s="93">
        <f>$B$1+E145</f>
        <v/>
      </c>
      <c r="E145" s="93" t="n">
        <v>0.01129900767788712</v>
      </c>
      <c r="F145" s="93" t="n">
        <v>0.19</v>
      </c>
    </row>
    <row r="146">
      <c r="A146" s="495" t="inlineStr">
        <is>
          <t>Portugal</t>
        </is>
      </c>
      <c r="B146" s="94" t="inlineStr">
        <is>
          <t>A3</t>
        </is>
      </c>
      <c r="C146" s="93" t="n">
        <v>0.01187323332506819</v>
      </c>
      <c r="D146" s="93">
        <f>$B$1+E146</f>
        <v/>
      </c>
      <c r="E146" s="93" t="n">
        <v>0.01600692754367342</v>
      </c>
      <c r="F146" s="93" t="n">
        <v>0.21</v>
      </c>
    </row>
    <row r="147">
      <c r="A147" s="495" t="inlineStr">
        <is>
          <t>Qatar</t>
        </is>
      </c>
      <c r="B147" s="94" t="inlineStr">
        <is>
          <t>Aa2</t>
        </is>
      </c>
      <c r="C147" s="93" t="n">
        <v>0.004888978427969252</v>
      </c>
      <c r="D147" s="93">
        <f>$B$1+E147</f>
        <v/>
      </c>
      <c r="E147" s="93" t="n">
        <v>0.006591087812100819</v>
      </c>
      <c r="F147" s="93" t="n">
        <v>0.1</v>
      </c>
    </row>
    <row r="148">
      <c r="A148" s="495" t="inlineStr">
        <is>
          <t>Ras Al Khaimah (Emirate of)</t>
        </is>
      </c>
      <c r="B148" s="94" t="inlineStr">
        <is>
          <t>A3</t>
        </is>
      </c>
      <c r="C148" s="93" t="n">
        <v>0.01187323332506819</v>
      </c>
      <c r="D148" s="93">
        <f>$B$1+E148</f>
        <v/>
      </c>
      <c r="E148" s="142" t="n">
        <v>0.01600692754367342</v>
      </c>
      <c r="F148" s="142" t="n">
        <v>0</v>
      </c>
    </row>
    <row r="149">
      <c r="A149" s="495" t="inlineStr">
        <is>
          <t>Reunion</t>
        </is>
      </c>
      <c r="B149" s="94" t="inlineStr">
        <is>
          <t>NR</t>
        </is>
      </c>
      <c r="C149" s="93" t="n">
        <v>0.01070861605968213</v>
      </c>
      <c r="D149" s="93">
        <f>$B$1+E149</f>
        <v/>
      </c>
      <c r="E149" s="93" t="n">
        <v>0.01443684602731119</v>
      </c>
      <c r="F149" s="93" t="n">
        <v>0.2534417911673511</v>
      </c>
    </row>
    <row r="150">
      <c r="A150" s="495" t="inlineStr">
        <is>
          <t>Romania</t>
        </is>
      </c>
      <c r="B150" s="94" t="inlineStr">
        <is>
          <t>Baa3</t>
        </is>
      </c>
      <c r="C150" s="93" t="n">
        <v>0.02176759442929168</v>
      </c>
      <c r="D150" s="93">
        <f>$B$1+E150</f>
        <v/>
      </c>
      <c r="E150" s="93" t="n">
        <v>0.02934603383006794</v>
      </c>
      <c r="F150" s="93" t="n">
        <v>0.16</v>
      </c>
    </row>
    <row r="151">
      <c r="A151" s="495" t="inlineStr">
        <is>
          <t>Russia</t>
        </is>
      </c>
      <c r="B151" s="94" t="inlineStr">
        <is>
          <t>NR</t>
        </is>
      </c>
      <c r="C151" s="93" t="n">
        <v>0.02979948756095545</v>
      </c>
      <c r="D151" s="93">
        <f>$B$1+E151</f>
        <v/>
      </c>
      <c r="E151" s="93" t="n">
        <v>0.04017424952137643</v>
      </c>
      <c r="F151" s="93" t="n">
        <v>0.2</v>
      </c>
    </row>
    <row r="152">
      <c r="A152" s="495" t="inlineStr">
        <is>
          <t>Rwanda</t>
        </is>
      </c>
      <c r="B152" s="94" t="inlineStr">
        <is>
          <t>B2</t>
        </is>
      </c>
      <c r="C152" s="93" t="n">
        <v>0.05447718819737168</v>
      </c>
      <c r="D152" s="93">
        <f>$B$1+E152</f>
        <v/>
      </c>
      <c r="E152" s="142" t="n">
        <v>0.07344354990626628</v>
      </c>
      <c r="F152" s="142" t="n">
        <v>0.3</v>
      </c>
    </row>
    <row r="153">
      <c r="A153" s="495" t="inlineStr">
        <is>
          <t>Saint Lucia</t>
        </is>
      </c>
      <c r="B153" s="94" t="inlineStr">
        <is>
          <t>NR</t>
        </is>
      </c>
      <c r="C153" s="93" t="n">
        <v>0.06012263625836532</v>
      </c>
      <c r="D153" s="93">
        <f>$B$1+E153</f>
        <v/>
      </c>
      <c r="E153" s="93" t="n">
        <v>0.08105447404039451</v>
      </c>
      <c r="F153" s="93" t="n">
        <v>0.2522801868944358</v>
      </c>
    </row>
    <row r="154">
      <c r="A154" s="495" t="inlineStr">
        <is>
          <t>Saudi Arabia</t>
        </is>
      </c>
      <c r="B154" s="94" t="inlineStr">
        <is>
          <t>Aa3</t>
        </is>
      </c>
      <c r="C154" s="93" t="n">
        <v>0.005936616662534093</v>
      </c>
      <c r="D154" s="93">
        <f>$B$1+E154</f>
        <v/>
      </c>
      <c r="E154" s="93" t="n">
        <v>0.008003463771836711</v>
      </c>
      <c r="F154" s="93" t="n">
        <v>0.2</v>
      </c>
    </row>
    <row r="155">
      <c r="A155" s="495" t="inlineStr">
        <is>
          <t>Senegal</t>
        </is>
      </c>
      <c r="B155" s="94" t="inlineStr">
        <is>
          <t>B1</t>
        </is>
      </c>
      <c r="C155" s="93" t="n">
        <v>0.04458282709314818</v>
      </c>
      <c r="D155" s="93">
        <f>$B$1+E155</f>
        <v/>
      </c>
      <c r="E155" s="93" t="n">
        <v>0.06010444361987177</v>
      </c>
      <c r="F155" s="93" t="n">
        <v>0.3</v>
      </c>
    </row>
    <row r="156">
      <c r="A156" s="495" t="inlineStr">
        <is>
          <t>Serbia</t>
        </is>
      </c>
      <c r="B156" s="94" t="inlineStr">
        <is>
          <t>Ba2</t>
        </is>
      </c>
      <c r="C156" s="93" t="n">
        <v>0.02979948756095545</v>
      </c>
      <c r="D156" s="93">
        <f>$B$1+E156</f>
        <v/>
      </c>
      <c r="E156" s="93" t="n">
        <v>0.04017424952137643</v>
      </c>
      <c r="F156" s="93" t="n">
        <v>0.15</v>
      </c>
    </row>
    <row r="157">
      <c r="A157" s="496" t="inlineStr">
        <is>
          <t>Sharjah</t>
        </is>
      </c>
      <c r="B157" s="94" t="inlineStr">
        <is>
          <t>Ba1</t>
        </is>
      </c>
      <c r="C157" s="93" t="n">
        <v>0.02479410488470122</v>
      </c>
      <c r="D157" s="93">
        <f>$B$1+E157</f>
        <v/>
      </c>
      <c r="E157" s="93" t="n">
        <v>0.03342623104708274</v>
      </c>
      <c r="F157" s="93" t="n">
        <v>0</v>
      </c>
    </row>
    <row r="158">
      <c r="A158" s="495" t="inlineStr">
        <is>
          <t>Sierra Leone</t>
        </is>
      </c>
      <c r="B158" s="94" t="inlineStr">
        <is>
          <t>NR</t>
        </is>
      </c>
      <c r="C158" s="93" t="n">
        <v>0.08916565418629635</v>
      </c>
      <c r="D158" s="93">
        <f>$B$1+E158</f>
        <v/>
      </c>
      <c r="E158" s="93" t="n">
        <v>0.1202088872397435</v>
      </c>
      <c r="F158" s="93" t="n">
        <v>0</v>
      </c>
    </row>
    <row r="159">
      <c r="A159" s="495" t="inlineStr">
        <is>
          <t>Singapore</t>
        </is>
      </c>
      <c r="B159" s="94" t="inlineStr">
        <is>
          <t>Aaa</t>
        </is>
      </c>
      <c r="C159" s="93" t="n">
        <v>0</v>
      </c>
      <c r="D159" s="93">
        <f>$B$1+E159</f>
        <v/>
      </c>
      <c r="E159" s="93" t="n">
        <v>0</v>
      </c>
      <c r="F159" s="93" t="n">
        <v>0.17</v>
      </c>
    </row>
    <row r="160">
      <c r="A160" s="495" t="inlineStr">
        <is>
          <t>Slovakia</t>
        </is>
      </c>
      <c r="B160" s="94" t="inlineStr">
        <is>
          <t>A3</t>
        </is>
      </c>
      <c r="C160" s="93" t="n">
        <v>0.01187323332506819</v>
      </c>
      <c r="D160" s="93">
        <f>$B$1+E160</f>
        <v/>
      </c>
      <c r="E160" s="93" t="n">
        <v>0.01600692754367342</v>
      </c>
      <c r="F160" s="93" t="n">
        <v>0.21</v>
      </c>
    </row>
    <row r="161">
      <c r="A161" s="495" t="inlineStr">
        <is>
          <t>Slovenia</t>
        </is>
      </c>
      <c r="B161" s="94" t="inlineStr">
        <is>
          <t>A3</t>
        </is>
      </c>
      <c r="C161" s="93" t="n">
        <v>0.01187323332506819</v>
      </c>
      <c r="D161" s="93">
        <f>$B$1+E161</f>
        <v/>
      </c>
      <c r="E161" s="93" t="n">
        <v>0.01600692754367342</v>
      </c>
      <c r="F161" s="93" t="n">
        <v>0.19</v>
      </c>
    </row>
    <row r="162">
      <c r="A162" s="496" t="inlineStr">
        <is>
          <t>Solomon Islands</t>
        </is>
      </c>
      <c r="B162" s="94" t="inlineStr">
        <is>
          <t>Caa1</t>
        </is>
      </c>
      <c r="C162" s="93" t="n">
        <v>0.07426591040581865</v>
      </c>
      <c r="D162" s="93">
        <f>$B$1+E162</f>
        <v/>
      </c>
      <c r="E162" s="93" t="n">
        <v>0.1001217624790553</v>
      </c>
      <c r="F162" s="93" t="n">
        <v>0.3</v>
      </c>
    </row>
    <row r="163">
      <c r="A163" s="495" t="inlineStr">
        <is>
          <t>Somalia</t>
        </is>
      </c>
      <c r="B163" s="94" t="inlineStr">
        <is>
          <t>NR</t>
        </is>
      </c>
      <c r="C163" s="93" t="n">
        <v>0.09906001529051986</v>
      </c>
      <c r="D163" s="93">
        <f>$B$1+E163</f>
        <v/>
      </c>
      <c r="E163" s="93" t="n">
        <v>0.1335479935261381</v>
      </c>
      <c r="F163" s="93" t="n">
        <v>0.3</v>
      </c>
    </row>
    <row r="164">
      <c r="A164" s="495" t="inlineStr">
        <is>
          <t>South Africa</t>
        </is>
      </c>
      <c r="B164" s="94" t="inlineStr">
        <is>
          <t>Ba2</t>
        </is>
      </c>
      <c r="C164" s="99" t="n">
        <v>0.02979948756095545</v>
      </c>
      <c r="D164" s="93">
        <f>$B$1+E164</f>
        <v/>
      </c>
      <c r="E164" s="128" t="n">
        <v>0.04017424952137643</v>
      </c>
      <c r="F164" s="128" t="n">
        <v>0.27</v>
      </c>
    </row>
    <row r="165">
      <c r="A165" s="495" t="inlineStr">
        <is>
          <t>South Korea</t>
        </is>
      </c>
      <c r="B165" s="94" t="inlineStr">
        <is>
          <t>Aa2</t>
        </is>
      </c>
      <c r="C165" s="93" t="n">
        <v>0.004888978427969252</v>
      </c>
      <c r="D165" s="93">
        <f>$B$1+E165</f>
        <v/>
      </c>
      <c r="E165" s="93" t="n">
        <v>0.006591087812100819</v>
      </c>
      <c r="F165" s="93" t="n">
        <v>0.25</v>
      </c>
    </row>
    <row r="166">
      <c r="A166" s="495" t="inlineStr">
        <is>
          <t>Spain</t>
        </is>
      </c>
      <c r="B166" s="94" t="inlineStr">
        <is>
          <t>Baa1</t>
        </is>
      </c>
      <c r="C166" s="93" t="n">
        <v>0.01583097776675758</v>
      </c>
      <c r="D166" s="93">
        <f>$B$1+E166</f>
        <v/>
      </c>
      <c r="E166" s="93" t="n">
        <v>0.02134257005823122</v>
      </c>
      <c r="F166" s="93" t="n">
        <v>0.25</v>
      </c>
    </row>
    <row r="167">
      <c r="A167" s="495" t="inlineStr">
        <is>
          <t>Sri Lanka</t>
        </is>
      </c>
      <c r="B167" s="94" t="inlineStr">
        <is>
          <t>Ca</t>
        </is>
      </c>
      <c r="C167" s="93" t="n">
        <v>0.1188487374989668</v>
      </c>
      <c r="D167" s="93">
        <f>$B$1+E167</f>
        <v/>
      </c>
      <c r="E167" s="93" t="n">
        <v>0.1602262060989271</v>
      </c>
      <c r="F167" s="93" t="n">
        <v>0.24</v>
      </c>
    </row>
    <row r="168">
      <c r="A168" s="495" t="inlineStr">
        <is>
          <t>St. Maarten</t>
        </is>
      </c>
      <c r="B168" s="94" t="inlineStr">
        <is>
          <t>Ba2</t>
        </is>
      </c>
      <c r="C168" s="93" t="n">
        <v>0.02979948756095545</v>
      </c>
      <c r="D168" s="93">
        <f>$B$1+E168</f>
        <v/>
      </c>
      <c r="E168" s="93" t="n">
        <v>0.04017424952137643</v>
      </c>
      <c r="F168" s="93" t="n">
        <v>0.2853</v>
      </c>
    </row>
    <row r="169">
      <c r="A169" s="496" t="inlineStr">
        <is>
          <t>St. Vincent &amp; the Grenadines</t>
        </is>
      </c>
      <c r="B169" s="94" t="inlineStr">
        <is>
          <t>B3</t>
        </is>
      </c>
      <c r="C169" s="93" t="n">
        <v>0.06437154930159515</v>
      </c>
      <c r="D169" s="93">
        <f>$B$1+E169</f>
        <v/>
      </c>
      <c r="E169" s="93" t="n">
        <v>0.0867826561926608</v>
      </c>
      <c r="F169" s="93" t="n">
        <v>0.2853</v>
      </c>
    </row>
    <row r="170">
      <c r="A170" s="495" t="inlineStr">
        <is>
          <t>Sudan</t>
        </is>
      </c>
      <c r="B170" s="94" t="inlineStr">
        <is>
          <t>NR</t>
        </is>
      </c>
      <c r="C170" s="93" t="n">
        <v>0.175</v>
      </c>
      <c r="D170" s="93">
        <f>$B$1+E170</f>
        <v/>
      </c>
      <c r="E170" s="93" t="n">
        <v>0.2359266632306968</v>
      </c>
      <c r="F170" s="93" t="n">
        <v>0.2853</v>
      </c>
    </row>
    <row r="171">
      <c r="A171" s="495" t="inlineStr">
        <is>
          <t>Suriname</t>
        </is>
      </c>
      <c r="B171" s="94" t="inlineStr">
        <is>
          <t>Caa1</t>
        </is>
      </c>
      <c r="C171" s="93" t="n">
        <v>0.07426591040581865</v>
      </c>
      <c r="D171" s="93">
        <f>$B$1+E171</f>
        <v/>
      </c>
      <c r="E171" s="93" t="n">
        <v>0.1001217624790553</v>
      </c>
      <c r="F171" s="93" t="n">
        <v>0.36</v>
      </c>
    </row>
    <row r="172">
      <c r="A172" s="495" t="inlineStr">
        <is>
          <t>Swaziland</t>
        </is>
      </c>
      <c r="B172" s="94" t="inlineStr">
        <is>
          <t>B2</t>
        </is>
      </c>
      <c r="C172" s="93" t="n">
        <v>0.05447718819737168</v>
      </c>
      <c r="D172" s="93">
        <f>$B$1+E172</f>
        <v/>
      </c>
      <c r="E172" s="93" t="n">
        <v>0.07344354990626628</v>
      </c>
      <c r="F172" s="93" t="n">
        <v>0.275</v>
      </c>
    </row>
    <row r="173">
      <c r="A173" s="495" t="inlineStr">
        <is>
          <t>Sweden</t>
        </is>
      </c>
      <c r="B173" s="94" t="inlineStr">
        <is>
          <t>Aaa</t>
        </is>
      </c>
      <c r="C173" s="93" t="n">
        <v>0</v>
      </c>
      <c r="D173" s="93">
        <f>$B$1+E173</f>
        <v/>
      </c>
      <c r="E173" s="93" t="n">
        <v>0</v>
      </c>
      <c r="F173" s="93" t="n">
        <v>0.206</v>
      </c>
    </row>
    <row r="174">
      <c r="A174" s="496" t="inlineStr">
        <is>
          <t>Switzerland</t>
        </is>
      </c>
      <c r="B174" s="94" t="inlineStr">
        <is>
          <t>Aaa</t>
        </is>
      </c>
      <c r="C174" s="93" t="n">
        <v>0</v>
      </c>
      <c r="D174" s="93">
        <f>$B$1+E174</f>
        <v/>
      </c>
      <c r="E174" s="93" t="n">
        <v>0</v>
      </c>
      <c r="F174" s="93" t="n">
        <v>0.146</v>
      </c>
    </row>
    <row r="175">
      <c r="A175" s="495" t="inlineStr">
        <is>
          <t>Syria</t>
        </is>
      </c>
      <c r="B175" s="94" t="inlineStr">
        <is>
          <t>NR</t>
        </is>
      </c>
      <c r="C175" s="93" t="n">
        <v>0.175</v>
      </c>
      <c r="D175" s="93">
        <f>$B$1+E175</f>
        <v/>
      </c>
      <c r="E175" s="93" t="n">
        <v>0.2359266632306968</v>
      </c>
      <c r="F175" s="93" t="n">
        <v>0.146</v>
      </c>
    </row>
    <row r="176">
      <c r="A176" s="495" t="inlineStr">
        <is>
          <t>Taiwan</t>
        </is>
      </c>
      <c r="B176" s="94" t="inlineStr">
        <is>
          <t>Aa3</t>
        </is>
      </c>
      <c r="C176" s="93" t="n">
        <v>0.005936616662534093</v>
      </c>
      <c r="D176" s="93">
        <f>$B$1+E176</f>
        <v/>
      </c>
      <c r="E176" s="93" t="n">
        <v>0.008003463771836711</v>
      </c>
      <c r="F176" s="93" t="n">
        <v>0.2</v>
      </c>
    </row>
    <row r="177">
      <c r="A177" s="495" t="inlineStr">
        <is>
          <t>Tajikistan</t>
        </is>
      </c>
      <c r="B177" s="94" t="inlineStr">
        <is>
          <t>B3</t>
        </is>
      </c>
      <c r="C177" s="93" t="n">
        <v>0.06437154930159515</v>
      </c>
      <c r="D177" s="93">
        <f>$B$1+E177</f>
        <v/>
      </c>
      <c r="E177" s="93" t="n">
        <v>0.0867826561926608</v>
      </c>
      <c r="F177" s="93" t="n">
        <v>0.18</v>
      </c>
    </row>
    <row r="178">
      <c r="A178" s="495" t="inlineStr">
        <is>
          <t>Tanzania</t>
        </is>
      </c>
      <c r="B178" s="94" t="inlineStr">
        <is>
          <t>B1</t>
        </is>
      </c>
      <c r="C178" s="93" t="n">
        <v>0.04458282709314818</v>
      </c>
      <c r="D178" s="93">
        <f>$B$1+E178</f>
        <v/>
      </c>
      <c r="E178" s="93" t="n">
        <v>0.06010444361987177</v>
      </c>
      <c r="F178" s="93" t="n">
        <v>0.3</v>
      </c>
    </row>
    <row r="179">
      <c r="A179" s="495" t="inlineStr">
        <is>
          <t>Thailand</t>
        </is>
      </c>
      <c r="B179" s="94" t="inlineStr">
        <is>
          <t>Baa1</t>
        </is>
      </c>
      <c r="C179" s="93" t="n">
        <v>0.01583097776675758</v>
      </c>
      <c r="D179" s="93">
        <f>$B$1+E179</f>
        <v/>
      </c>
      <c r="E179" s="93" t="n">
        <v>0.02134257005823122</v>
      </c>
      <c r="F179" s="93" t="n">
        <v>0.2</v>
      </c>
    </row>
    <row r="180">
      <c r="A180" s="495" t="inlineStr">
        <is>
          <t>Togo</t>
        </is>
      </c>
      <c r="B180" s="94" t="inlineStr">
        <is>
          <t>B3</t>
        </is>
      </c>
      <c r="C180" s="93" t="n">
        <v>0.06437154930159515</v>
      </c>
      <c r="D180" s="93">
        <f>$B$1+E180</f>
        <v/>
      </c>
      <c r="E180" s="142" t="n">
        <v>0.0867826561926608</v>
      </c>
      <c r="F180" s="142" t="n">
        <v>0.2686</v>
      </c>
    </row>
    <row r="181">
      <c r="A181" s="495" t="inlineStr">
        <is>
          <t>Trinidad &amp;' Tobago</t>
        </is>
      </c>
      <c r="B181" s="94" t="inlineStr">
        <is>
          <t>Ba2</t>
        </is>
      </c>
      <c r="C181" s="93" t="n">
        <v>0.02979948756095545</v>
      </c>
      <c r="D181" s="93">
        <f>$B$1+E181</f>
        <v/>
      </c>
      <c r="E181" s="93" t="n">
        <v>0.04017424952137643</v>
      </c>
      <c r="F181" s="93" t="n">
        <v>0.3</v>
      </c>
    </row>
    <row r="182">
      <c r="A182" s="495" t="inlineStr">
        <is>
          <t>Tunisia</t>
        </is>
      </c>
      <c r="B182" s="94" t="inlineStr">
        <is>
          <t>Caa2</t>
        </is>
      </c>
      <c r="C182" s="93" t="n">
        <v>0.08916565418629636</v>
      </c>
      <c r="D182" s="93">
        <f>$B$1+E182</f>
        <v/>
      </c>
      <c r="E182" s="93" t="n">
        <v>0.1202088872397435</v>
      </c>
      <c r="F182" s="93" t="n">
        <v>0.15</v>
      </c>
    </row>
    <row r="183">
      <c r="A183" s="497" t="inlineStr">
        <is>
          <t>Turkey</t>
        </is>
      </c>
      <c r="B183" s="94" t="inlineStr">
        <is>
          <t>B1</t>
        </is>
      </c>
      <c r="C183" s="93" t="n">
        <v>0.04458282709314818</v>
      </c>
      <c r="D183" s="93">
        <f>$B$1+E183</f>
        <v/>
      </c>
      <c r="E183" s="142" t="n">
        <v>0.06010444361987177</v>
      </c>
      <c r="F183" s="142" t="n">
        <v>0.25</v>
      </c>
    </row>
    <row r="184">
      <c r="A184" s="495" t="inlineStr">
        <is>
          <t>Turks &amp; Caicos Islands</t>
        </is>
      </c>
      <c r="B184" s="94" t="inlineStr">
        <is>
          <t>Baa1</t>
        </is>
      </c>
      <c r="C184" s="93" t="n">
        <v>0.01583097776675758</v>
      </c>
      <c r="D184" s="93">
        <f>$B$1+E184</f>
        <v/>
      </c>
      <c r="E184" s="93" t="n">
        <v>0.02134257005823122</v>
      </c>
      <c r="F184" s="93" t="n">
        <v>0</v>
      </c>
    </row>
    <row r="185">
      <c r="A185" s="495" t="inlineStr">
        <is>
          <t>Uganda</t>
        </is>
      </c>
      <c r="B185" s="94" t="inlineStr">
        <is>
          <t>B3</t>
        </is>
      </c>
      <c r="C185" s="93" t="n">
        <v>0.06437154930159515</v>
      </c>
      <c r="D185" s="93">
        <f>$B$1+E185</f>
        <v/>
      </c>
      <c r="E185" s="93" t="n">
        <v>0.0867826561926608</v>
      </c>
      <c r="F185" s="93" t="n">
        <v>0.3</v>
      </c>
    </row>
    <row r="186">
      <c r="A186" s="495" t="inlineStr">
        <is>
          <t>Ukraine</t>
        </is>
      </c>
      <c r="B186" s="94" t="inlineStr">
        <is>
          <t>Ca</t>
        </is>
      </c>
      <c r="C186" s="93" t="n">
        <v>0.1188487374989668</v>
      </c>
      <c r="D186" s="93">
        <f>$B$1+E186</f>
        <v/>
      </c>
      <c r="E186" s="93" t="n">
        <v>0.1602262060989271</v>
      </c>
      <c r="F186" s="93" t="n">
        <v>0.18</v>
      </c>
    </row>
    <row r="187">
      <c r="A187" s="495" t="inlineStr">
        <is>
          <t>United Arab Emirates</t>
        </is>
      </c>
      <c r="B187" s="94" t="inlineStr">
        <is>
          <t>Aa2</t>
        </is>
      </c>
      <c r="C187" s="93" t="n">
        <v>0.004888978427969252</v>
      </c>
      <c r="D187" s="93">
        <f>$B$1+E187</f>
        <v/>
      </c>
      <c r="E187" s="93" t="n">
        <v>0.006591087812100819</v>
      </c>
      <c r="F187" s="93" t="n">
        <v>0.25</v>
      </c>
    </row>
    <row r="188">
      <c r="A188" s="495" t="inlineStr">
        <is>
          <t>United Kingdom</t>
        </is>
      </c>
      <c r="B188" s="94" t="inlineStr">
        <is>
          <t>Aa3</t>
        </is>
      </c>
      <c r="C188" s="93" t="n">
        <v>0.005936616662534093</v>
      </c>
      <c r="D188" s="93">
        <f>$B$1+E188</f>
        <v/>
      </c>
      <c r="E188" s="93" t="n">
        <v>0.008003463771836711</v>
      </c>
      <c r="F188" s="93" t="n">
        <v>0.25</v>
      </c>
    </row>
    <row r="189">
      <c r="A189" s="495" t="inlineStr">
        <is>
          <t>United States</t>
        </is>
      </c>
      <c r="B189" s="94" t="inlineStr">
        <is>
          <t>Aaa</t>
        </is>
      </c>
      <c r="C189" s="93" t="n">
        <v>0</v>
      </c>
      <c r="D189" s="93">
        <f>$B$1+E189</f>
        <v/>
      </c>
      <c r="E189" s="93" t="n">
        <v>0</v>
      </c>
      <c r="F189" s="93" t="n">
        <v>0.25</v>
      </c>
    </row>
    <row r="190">
      <c r="A190" s="495" t="inlineStr">
        <is>
          <t>Uruguay</t>
        </is>
      </c>
      <c r="B190" s="94" t="inlineStr">
        <is>
          <t>Baa1</t>
        </is>
      </c>
      <c r="C190" s="93" t="n">
        <v>0.01583097776675758</v>
      </c>
      <c r="D190" s="93">
        <f>$B$1+E190</f>
        <v/>
      </c>
      <c r="E190" s="93" t="n">
        <v>0.02134257005823122</v>
      </c>
      <c r="F190" s="93" t="n">
        <v>0.25</v>
      </c>
    </row>
    <row r="191">
      <c r="A191" s="495" t="inlineStr">
        <is>
          <t>Uzbekistan</t>
        </is>
      </c>
      <c r="B191" s="94" t="inlineStr">
        <is>
          <t>Ba3</t>
        </is>
      </c>
      <c r="C191" s="93" t="n">
        <v>0.03561969997520455</v>
      </c>
      <c r="D191" s="93">
        <f>$B$1+E191</f>
        <v/>
      </c>
      <c r="E191" s="93" t="n">
        <v>0.04802078263102025</v>
      </c>
      <c r="F191" s="93" t="n">
        <v>0.15</v>
      </c>
    </row>
    <row r="192">
      <c r="A192" s="495" t="inlineStr">
        <is>
          <t>Venezuela</t>
        </is>
      </c>
      <c r="B192" s="94" t="inlineStr">
        <is>
          <t>C</t>
        </is>
      </c>
      <c r="C192" s="93" t="n">
        <v>0.175</v>
      </c>
      <c r="D192" s="93">
        <f>$B$1+E192</f>
        <v/>
      </c>
      <c r="E192" s="93" t="n">
        <v>0.2359266632306968</v>
      </c>
      <c r="F192" s="108" t="n">
        <v>0.34</v>
      </c>
    </row>
    <row r="193">
      <c r="A193" s="496" t="inlineStr">
        <is>
          <t>Vietnam</t>
        </is>
      </c>
      <c r="B193" s="94" t="inlineStr">
        <is>
          <t>Ba2</t>
        </is>
      </c>
      <c r="C193" s="93" t="n">
        <v>0.02979948756095545</v>
      </c>
      <c r="D193" s="93">
        <f>$B$1+E193</f>
        <v/>
      </c>
      <c r="E193" s="529" t="n">
        <v>0.04017424952137643</v>
      </c>
      <c r="F193" s="531" t="n">
        <v>0.2</v>
      </c>
    </row>
    <row r="194">
      <c r="A194" s="522" t="inlineStr">
        <is>
          <t>Yemen</t>
        </is>
      </c>
      <c r="B194" s="521" t="inlineStr">
        <is>
          <t>NR</t>
        </is>
      </c>
      <c r="C194" s="108" t="n">
        <v>0.1188487374989668</v>
      </c>
      <c r="D194" s="108">
        <f>$B$1+E194</f>
        <v/>
      </c>
      <c r="E194" s="108" t="n">
        <v>0.1602262060989271</v>
      </c>
      <c r="F194" s="530" t="n">
        <v>0.2</v>
      </c>
    </row>
    <row r="195">
      <c r="A195" s="523" t="inlineStr">
        <is>
          <t>Zambia</t>
        </is>
      </c>
      <c r="B195" s="524" t="inlineStr">
        <is>
          <t>Caa2</t>
        </is>
      </c>
      <c r="C195" s="525" t="n">
        <v>0.08916565418629636</v>
      </c>
      <c r="D195" s="525">
        <f>$B$1+E195</f>
        <v/>
      </c>
      <c r="E195" s="525" t="n">
        <v>0.1202088872397435</v>
      </c>
      <c r="F195" s="525" t="n">
        <v>0.35</v>
      </c>
    </row>
    <row r="196">
      <c r="A196" s="526" t="inlineStr">
        <is>
          <t>Zimbabwe</t>
        </is>
      </c>
      <c r="B196" s="527" t="inlineStr">
        <is>
          <t>NR</t>
        </is>
      </c>
      <c r="C196" s="528" t="n">
        <v>0.08916565418629635</v>
      </c>
      <c r="D196" s="525">
        <f>$B$1+E196</f>
        <v/>
      </c>
      <c r="E196" s="528" t="n">
        <v>0.1202088872397435</v>
      </c>
      <c r="F196" s="528" t="n">
        <v>0.35</v>
      </c>
    </row>
    <row r="200" ht="13" customHeight="1">
      <c r="A200" s="146" t="inlineStr">
        <is>
          <t>Region</t>
        </is>
      </c>
      <c r="B200" s="147" t="inlineStr">
        <is>
          <t>ERP</t>
        </is>
      </c>
      <c r="C200" s="147" t="inlineStr">
        <is>
          <t>Default Spread</t>
        </is>
      </c>
      <c r="D200" s="147" t="inlineStr">
        <is>
          <t>Weighted Average: Default Spreads</t>
        </is>
      </c>
      <c r="E200" s="147" t="inlineStr">
        <is>
          <t>Tax Rate</t>
        </is>
      </c>
      <c r="F200" s="147" t="inlineStr">
        <is>
          <t>Weighted Average: CRP</t>
        </is>
      </c>
      <c r="G200" s="54" t="inlineStr">
        <is>
          <t>Total GDP (in $ millions)</t>
        </is>
      </c>
    </row>
    <row r="201" ht="13" customHeight="1">
      <c r="A201" s="1" t="inlineStr">
        <is>
          <t>Africa</t>
        </is>
      </c>
      <c r="B201" s="3">
        <f>$B$1+D201</f>
        <v/>
      </c>
      <c r="C201" s="3" t="n">
        <v>0.05834716553752646</v>
      </c>
      <c r="D201" s="3" t="n">
        <v>0.06163973704915901</v>
      </c>
      <c r="E201" s="3" t="n">
        <v>0.274219145008639</v>
      </c>
      <c r="F201" s="3" t="n">
        <v>0.08306516288511694</v>
      </c>
      <c r="G201" s="862" t="n">
        <v>2508220.678932516</v>
      </c>
    </row>
    <row r="202" ht="13" customHeight="1">
      <c r="A202" s="1" t="inlineStr">
        <is>
          <t>Asia</t>
        </is>
      </c>
      <c r="B202" s="3">
        <f>$B$1+D202</f>
        <v/>
      </c>
      <c r="C202" s="3" t="n">
        <v>0.01080221666358231</v>
      </c>
      <c r="D202" s="3" t="n">
        <v>0.01070861605968213</v>
      </c>
      <c r="E202" s="3" t="n">
        <v>0.2534417911673511</v>
      </c>
      <c r="F202" s="3" t="n">
        <v>0.0154</v>
      </c>
      <c r="G202" s="862" t="n">
        <v>32948678.06733798</v>
      </c>
    </row>
    <row r="203" ht="13" customHeight="1">
      <c r="A203" s="1" t="inlineStr">
        <is>
          <t>Australia &amp; New Zealand</t>
        </is>
      </c>
      <c r="B203" s="3">
        <f>$B$1+D203</f>
        <v/>
      </c>
      <c r="C203" s="3" t="n">
        <v>3.026628707479429e-05</v>
      </c>
      <c r="D203" s="3" t="n">
        <v>3.185924955241504e-05</v>
      </c>
      <c r="E203" s="3" t="n">
        <v>0.2974362092652321</v>
      </c>
      <c r="F203" s="3" t="n">
        <v>4.293324209605873e-05</v>
      </c>
      <c r="G203" s="862" t="n">
        <v>1942472.352397101</v>
      </c>
    </row>
    <row r="204" ht="13" customHeight="1">
      <c r="A204" s="1" t="inlineStr">
        <is>
          <t>Caribbean</t>
        </is>
      </c>
      <c r="B204" s="3">
        <f>$B$1+D204</f>
        <v/>
      </c>
      <c r="C204" s="3" t="n">
        <v>0.05711650444544706</v>
      </c>
      <c r="D204" s="3" t="n">
        <v>0.06012263625836532</v>
      </c>
      <c r="E204" s="3" t="n">
        <v>0.2522801868944358</v>
      </c>
      <c r="F204" s="3" t="n">
        <v>0.08102073131656702</v>
      </c>
      <c r="G204" s="862" t="n">
        <v>869389.478915383</v>
      </c>
    </row>
    <row r="205" ht="13" customHeight="1">
      <c r="A205" s="1" t="inlineStr">
        <is>
          <t>Central and South America</t>
        </is>
      </c>
      <c r="B205" s="3">
        <f>$B$1+D205</f>
        <v/>
      </c>
      <c r="C205" s="3" t="n">
        <v>0.03596122460619485</v>
      </c>
      <c r="D205" s="3" t="n">
        <v>0.03576937686394985</v>
      </c>
      <c r="E205" s="3" t="n">
        <v>0.3155395256169791</v>
      </c>
      <c r="F205" s="3" t="n">
        <v>0.0482024949771207</v>
      </c>
      <c r="G205" s="862" t="n">
        <v>5601817.833264855</v>
      </c>
    </row>
    <row r="206" ht="13" customHeight="1">
      <c r="A206" s="1" t="inlineStr">
        <is>
          <t>Eastern Europe</t>
        </is>
      </c>
      <c r="B206" s="3">
        <f>$B$1+D206</f>
        <v/>
      </c>
      <c r="C206" s="3" t="n">
        <v>0.02597227623878064</v>
      </c>
      <c r="D206" s="3" t="n">
        <v>0.02521316281878702</v>
      </c>
      <c r="E206" s="3" t="n">
        <v>0.1723057803112369</v>
      </c>
      <c r="F206" s="3" t="n">
        <v>0.03397703456653686</v>
      </c>
      <c r="G206" s="862" t="n">
        <v>5010073.266003205</v>
      </c>
    </row>
    <row r="207" ht="13" customHeight="1">
      <c r="A207" s="1" t="inlineStr">
        <is>
          <t>Middle East</t>
        </is>
      </c>
      <c r="B207" s="3">
        <f>$B$1+D207</f>
        <v/>
      </c>
      <c r="C207" s="3" t="n">
        <v>0.01403448591884566</v>
      </c>
      <c r="D207" s="3" t="n">
        <v>0.01557278475472128</v>
      </c>
      <c r="E207" s="3" t="n">
        <v>0.1893768293632728</v>
      </c>
      <c r="F207" s="3" t="n">
        <v>0.0209857466003489</v>
      </c>
      <c r="G207" s="862" t="n">
        <v>3382577.656568173</v>
      </c>
    </row>
    <row r="208" ht="13" customHeight="1">
      <c r="A208" s="1" t="inlineStr">
        <is>
          <t>North America</t>
        </is>
      </c>
      <c r="B208" s="3">
        <f>$B$1+D208</f>
        <v/>
      </c>
      <c r="C208" s="3" t="n">
        <v>0</v>
      </c>
      <c r="D208" s="3" t="n">
        <v>0</v>
      </c>
      <c r="E208" s="3" t="n">
        <v>0.2510881414574491</v>
      </c>
      <c r="F208" s="3" t="n">
        <v>0</v>
      </c>
      <c r="G208" s="862" t="n">
        <v>27577639.22007491</v>
      </c>
    </row>
    <row r="209" ht="13" customHeight="1">
      <c r="A209" s="1" t="inlineStr">
        <is>
          <t>Western Europe</t>
        </is>
      </c>
      <c r="B209" s="3">
        <f>$B$1+D209</f>
        <v/>
      </c>
      <c r="C209" s="3" t="n">
        <v>0.008683226144580272</v>
      </c>
      <c r="D209" s="3" t="n">
        <v>0.008274105096747005</v>
      </c>
      <c r="E209" s="3" t="n">
        <v>0.2477521961491617</v>
      </c>
      <c r="F209" s="3" t="n">
        <v>0.01115011063466637</v>
      </c>
      <c r="G209" s="862" t="n">
        <v>20250228.83486542</v>
      </c>
    </row>
    <row r="210" ht="13" customHeight="1">
      <c r="A210" s="1" t="inlineStr">
        <is>
          <t>Global</t>
        </is>
      </c>
      <c r="B210" s="3">
        <f>$B$1+D210</f>
        <v/>
      </c>
      <c r="C210" s="3" t="n">
        <v>0.01070041172822007</v>
      </c>
      <c r="D210" s="3" t="n">
        <v>0.01037727552917646</v>
      </c>
      <c r="E210" s="3" t="n">
        <v>0.2522103140192217</v>
      </c>
      <c r="F210" s="3" t="n">
        <v>0.0143</v>
      </c>
      <c r="G210" s="862" t="n">
        <v>100091097.3883595</v>
      </c>
    </row>
  </sheetData>
  <pageMargins left="0.75" right="0.75" top="1" bottom="1" header="0.5" footer="0.5"/>
  <pageSetup orientation="portrait" horizontalDpi="4294967292" verticalDpi="4294967292"/>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AA97"/>
  <sheetViews>
    <sheetView workbookViewId="0">
      <pane xSplit="1" ySplit="1" topLeftCell="B2" activePane="bottomRight" state="frozen"/>
      <selection pane="topRight" activeCell="B1" sqref="B1"/>
      <selection pane="bottomLeft" activeCell="A2" sqref="A2"/>
      <selection pane="bottomRight" activeCell="H43" sqref="H43"/>
    </sheetView>
  </sheetViews>
  <sheetFormatPr baseColWidth="10" defaultColWidth="11.5" defaultRowHeight="13"/>
  <cols>
    <col width="23.1640625" customWidth="1" min="1" max="1"/>
    <col width="10.6640625" customWidth="1" style="695" min="2" max="23"/>
    <col width="11.5" customWidth="1" style="695" min="24" max="27"/>
  </cols>
  <sheetData>
    <row r="1" ht="70" customFormat="1" customHeight="1" s="148">
      <c r="A1" s="122" t="inlineStr">
        <is>
          <t>Industry Name</t>
        </is>
      </c>
      <c r="B1" s="86" t="inlineStr">
        <is>
          <t>Number of firms</t>
        </is>
      </c>
      <c r="C1" s="123" t="inlineStr">
        <is>
          <t>Annual Average Revenue growth - Last 5 years</t>
        </is>
      </c>
      <c r="D1" s="123" t="inlineStr">
        <is>
          <t>Pre-tax Operating Margin (Unadjusted)</t>
        </is>
      </c>
      <c r="E1" s="123" t="inlineStr">
        <is>
          <t>After-tax ROC</t>
        </is>
      </c>
      <c r="F1" s="86" t="inlineStr">
        <is>
          <t>Average effective tax rate</t>
        </is>
      </c>
      <c r="G1" s="86" t="inlineStr">
        <is>
          <t>Unlevered Beta</t>
        </is>
      </c>
      <c r="H1" s="86" t="inlineStr">
        <is>
          <t>Equity (Levered) Beta</t>
        </is>
      </c>
      <c r="I1" s="86" t="inlineStr">
        <is>
          <t>Cost of equity</t>
        </is>
      </c>
      <c r="J1" s="86" t="inlineStr">
        <is>
          <t>Std deviation in stock prices</t>
        </is>
      </c>
      <c r="K1" s="86" t="inlineStr">
        <is>
          <t>Pre-tax cost of debt</t>
        </is>
      </c>
      <c r="L1" s="86" t="inlineStr">
        <is>
          <t>Market Debt/Capital</t>
        </is>
      </c>
      <c r="M1" s="86" t="inlineStr">
        <is>
          <t>Cost of capital</t>
        </is>
      </c>
      <c r="N1" s="124" t="inlineStr">
        <is>
          <t>Sales/Capital</t>
        </is>
      </c>
      <c r="O1" s="86" t="inlineStr">
        <is>
          <t>EV/Sales</t>
        </is>
      </c>
      <c r="P1" s="86" t="inlineStr">
        <is>
          <t>EV/EBITDA</t>
        </is>
      </c>
      <c r="Q1" s="86" t="inlineStr">
        <is>
          <t>EV/EBIT</t>
        </is>
      </c>
      <c r="R1" s="86" t="inlineStr">
        <is>
          <t>Price/Book</t>
        </is>
      </c>
      <c r="S1" s="86" t="inlineStr">
        <is>
          <t>Trailing PE</t>
        </is>
      </c>
      <c r="T1" s="86" t="inlineStr">
        <is>
          <t>Non-cash WC as % of Revenues</t>
        </is>
      </c>
      <c r="U1" s="86" t="inlineStr">
        <is>
          <t>Cap Ex as % of Revenues</t>
        </is>
      </c>
      <c r="V1" s="86" t="inlineStr">
        <is>
          <t>Net Cap Ex as % of Revenues</t>
        </is>
      </c>
      <c r="W1" s="86" t="inlineStr">
        <is>
          <t>Reinvestment Rate</t>
        </is>
      </c>
      <c r="X1" s="86" t="inlineStr">
        <is>
          <t>ROE</t>
        </is>
      </c>
      <c r="Y1" s="86" t="inlineStr">
        <is>
          <t>Dividend Payout Ratio</t>
        </is>
      </c>
      <c r="Z1" s="86" t="inlineStr">
        <is>
          <t>Equity Reinvestment Rate</t>
        </is>
      </c>
      <c r="AA1" s="86" t="inlineStr">
        <is>
          <t>Pre-tax Operating Margin (Lease &amp; R&amp;D adjusted)</t>
        </is>
      </c>
    </row>
    <row r="2" ht="14" customHeight="1">
      <c r="A2" s="125" t="inlineStr">
        <is>
          <t>Advertising</t>
        </is>
      </c>
      <c r="B2" s="296" t="n">
        <v>54</v>
      </c>
      <c r="C2" s="512" t="n">
        <v>-0.01617666667</v>
      </c>
      <c r="D2" s="512" t="n">
        <v>0.109006022102624</v>
      </c>
      <c r="E2" s="512" t="n">
        <v>0.3491307680878381</v>
      </c>
      <c r="F2" s="512" t="n">
        <v>0.2927367453879188</v>
      </c>
      <c r="G2" s="513" t="n">
        <v>1.196157032652568</v>
      </c>
      <c r="H2" s="513" t="n">
        <v>1.337294053</v>
      </c>
      <c r="I2" s="512" t="n">
        <v>0.1037048324949</v>
      </c>
      <c r="J2" s="512" t="n">
        <v>0.671856667</v>
      </c>
      <c r="K2" s="512" t="n">
        <v>0.0641</v>
      </c>
      <c r="L2" s="512" t="n">
        <v>0.2075866921375354</v>
      </c>
      <c r="M2" s="512" t="n">
        <v>0.09215681958311851</v>
      </c>
      <c r="N2" s="513" t="n">
        <v>4.194770883732303</v>
      </c>
      <c r="O2" s="513" t="n">
        <v>2.753032063051164</v>
      </c>
      <c r="P2" s="513" t="n">
        <v>15.55757254353198</v>
      </c>
      <c r="Q2" s="513" t="n">
        <v>24.27040465152363</v>
      </c>
      <c r="R2" s="513" t="n">
        <v>6.976657001320543</v>
      </c>
      <c r="S2" s="513" t="n">
        <v>291.270179</v>
      </c>
      <c r="T2" s="512" t="n">
        <v>0.03230773802741799</v>
      </c>
      <c r="U2" s="512" t="n">
        <v>0.01806308123213409</v>
      </c>
      <c r="V2" s="512" t="n">
        <v>0.007034421163821441</v>
      </c>
      <c r="W2" s="512" t="n">
        <v>0.1614810850341401</v>
      </c>
      <c r="X2" s="512" t="n">
        <v>0.1185269353429185</v>
      </c>
      <c r="Y2" s="512" t="n">
        <v>0.8336316717637688</v>
      </c>
      <c r="Z2" s="512" t="n">
        <v>0.8336316717637688</v>
      </c>
      <c r="AA2" s="514" t="n">
        <v>0.1139590503615134</v>
      </c>
    </row>
    <row r="3" ht="14" customHeight="1">
      <c r="A3" s="125" t="inlineStr">
        <is>
          <t>Aerospace/Defense</t>
        </is>
      </c>
      <c r="B3" s="296" t="n">
        <v>67</v>
      </c>
      <c r="C3" s="512" t="n">
        <v>0.08205536585000001</v>
      </c>
      <c r="D3" s="512" t="n">
        <v>0.07586463137368067</v>
      </c>
      <c r="E3" s="512" t="n">
        <v>0.1402535112217883</v>
      </c>
      <c r="F3" s="512" t="n">
        <v>0.1647887633504989</v>
      </c>
      <c r="G3" s="513" t="n">
        <v>0.800892578975626</v>
      </c>
      <c r="H3" s="513" t="n">
        <v>0.901553128</v>
      </c>
      <c r="I3" s="512" t="n">
        <v>0.08483725044239999</v>
      </c>
      <c r="J3" s="512" t="n">
        <v>0.427424009</v>
      </c>
      <c r="K3" s="512" t="n">
        <v>0.0553</v>
      </c>
      <c r="L3" s="512" t="n">
        <v>0.1856245518869335</v>
      </c>
      <c r="M3" s="512" t="n">
        <v>0.07678815213522051</v>
      </c>
      <c r="N3" s="513" t="n">
        <v>2.620963163036676</v>
      </c>
      <c r="O3" s="513" t="n">
        <v>2.604179873160579</v>
      </c>
      <c r="P3" s="513" t="n">
        <v>17.23795626963354</v>
      </c>
      <c r="Q3" s="513" t="n">
        <v>28.38713311670432</v>
      </c>
      <c r="R3" s="513" t="n">
        <v>6.825577021568141</v>
      </c>
      <c r="S3" s="513" t="n">
        <v>87.41777888999999</v>
      </c>
      <c r="T3" s="512" t="n">
        <v>0.3869621222644865</v>
      </c>
      <c r="U3" s="512" t="n">
        <v>0.0279159324253107</v>
      </c>
      <c r="V3" s="512" t="n">
        <v>0.007667472862174317</v>
      </c>
      <c r="W3" s="512" t="n">
        <v>0.6500860604012224</v>
      </c>
      <c r="X3" s="512" t="n">
        <v>0.1194101514139065</v>
      </c>
      <c r="Y3" s="512" t="n">
        <v>0.5150492697875694</v>
      </c>
      <c r="Z3" s="512" t="n">
        <v>0.5150492697875694</v>
      </c>
      <c r="AA3" s="514" t="n">
        <v>0.07869697574772488</v>
      </c>
    </row>
    <row r="4" ht="14" customHeight="1">
      <c r="A4" s="125" t="inlineStr">
        <is>
          <t>Air Transport</t>
        </is>
      </c>
      <c r="B4" s="296" t="n">
        <v>24</v>
      </c>
      <c r="C4" s="512" t="n">
        <v>0.02636923077</v>
      </c>
      <c r="D4" s="512" t="n">
        <v>0.05536016188157612</v>
      </c>
      <c r="E4" s="512" t="n">
        <v>0.08476398601412484</v>
      </c>
      <c r="F4" s="512" t="n">
        <v>0.2211163637900034</v>
      </c>
      <c r="G4" s="513" t="n">
        <v>0.7648537512324446</v>
      </c>
      <c r="H4" s="513" t="n">
        <v>1.236006738</v>
      </c>
      <c r="I4" s="512" t="n">
        <v>0.09931909175539999</v>
      </c>
      <c r="J4" s="512" t="n">
        <v>0.652716386</v>
      </c>
      <c r="K4" s="512" t="n">
        <v>0.0641</v>
      </c>
      <c r="L4" s="512" t="n">
        <v>0.5165022574610012</v>
      </c>
      <c r="M4" s="512" t="n">
        <v>0.07285140268219722</v>
      </c>
      <c r="N4" s="513" t="n">
        <v>1.745165154378821</v>
      </c>
      <c r="O4" s="513" t="n">
        <v>1.022212137551787</v>
      </c>
      <c r="P4" s="513" t="n">
        <v>7.465027434427947</v>
      </c>
      <c r="Q4" s="513" t="n">
        <v>17.63017081505284</v>
      </c>
      <c r="R4" s="513" t="n">
        <v>2.941323609021738</v>
      </c>
      <c r="S4" s="513" t="n">
        <v>17.98192415</v>
      </c>
      <c r="T4" s="512" t="n">
        <v>0.01080379925801446</v>
      </c>
      <c r="U4" s="512" t="n">
        <v>0.08793404412682534</v>
      </c>
      <c r="V4" s="512" t="n">
        <v>0.0436504524685157</v>
      </c>
      <c r="W4" s="512" t="n">
        <v>0.9954533910534928</v>
      </c>
      <c r="X4" s="512" t="n">
        <v>0.1327193438777429</v>
      </c>
      <c r="Y4" s="512" t="n">
        <v>0.1449924372135163</v>
      </c>
      <c r="Z4" s="512" t="n">
        <v>0.1449924372135163</v>
      </c>
      <c r="AA4" s="514" t="n">
        <v>0.05504600412176442</v>
      </c>
    </row>
    <row r="5" ht="14" customHeight="1">
      <c r="A5" s="125" t="inlineStr">
        <is>
          <t>Apparel</t>
        </is>
      </c>
      <c r="B5" s="296" t="n">
        <v>37</v>
      </c>
      <c r="C5" s="512" t="n">
        <v>0.0696692</v>
      </c>
      <c r="D5" s="512" t="n">
        <v>0.08726286645130762</v>
      </c>
      <c r="E5" s="512" t="n">
        <v>0.1525620938440485</v>
      </c>
      <c r="F5" s="512" t="n">
        <v>0.184121853974336</v>
      </c>
      <c r="G5" s="513" t="n">
        <v>0.8267021914205971</v>
      </c>
      <c r="H5" s="513" t="n">
        <v>0.990568046</v>
      </c>
      <c r="I5" s="512" t="n">
        <v>0.08869159639179999</v>
      </c>
      <c r="J5" s="512" t="n">
        <v>0.5092638819999999</v>
      </c>
      <c r="K5" s="512" t="n">
        <v>0.0578</v>
      </c>
      <c r="L5" s="512" t="n">
        <v>0.3145444021629596</v>
      </c>
      <c r="M5" s="512" t="n">
        <v>0.07442965106162706</v>
      </c>
      <c r="N5" s="513" t="n">
        <v>1.734481755229323</v>
      </c>
      <c r="O5" s="513" t="n">
        <v>1.413761366558749</v>
      </c>
      <c r="P5" s="513" t="n">
        <v>9.215376221494438</v>
      </c>
      <c r="Q5" s="513" t="n">
        <v>14.63593594730385</v>
      </c>
      <c r="R5" s="513" t="n">
        <v>3.136962731917964</v>
      </c>
      <c r="S5" s="513" t="n">
        <v>28.05498656</v>
      </c>
      <c r="T5" s="512" t="n">
        <v>0.2400939518060416</v>
      </c>
      <c r="U5" s="512" t="n">
        <v>0.02001129176832979</v>
      </c>
      <c r="V5" s="512" t="n">
        <v>0.001315237998375126</v>
      </c>
      <c r="W5" s="512" t="n">
        <v>-0.3375347310393355</v>
      </c>
      <c r="X5" s="512" t="n">
        <v>0.08466628867065874</v>
      </c>
      <c r="Y5" s="512" t="n">
        <v>0.628372585232684</v>
      </c>
      <c r="Z5" s="512" t="n">
        <v>0.628372585232684</v>
      </c>
      <c r="AA5" s="514" t="n">
        <v>0.09619517534929006</v>
      </c>
    </row>
    <row r="6" ht="14" customHeight="1">
      <c r="A6" s="125" t="inlineStr">
        <is>
          <t>Auto &amp; Truck</t>
        </is>
      </c>
      <c r="B6" s="296" t="n">
        <v>34</v>
      </c>
      <c r="C6" s="512" t="n">
        <v>0.1089522222</v>
      </c>
      <c r="D6" s="512" t="n">
        <v>0.03131636370641931</v>
      </c>
      <c r="E6" s="512" t="n">
        <v>0.0315387610798191</v>
      </c>
      <c r="F6" s="512" t="n">
        <v>0.06298071423761896</v>
      </c>
      <c r="G6" s="513" t="n">
        <v>1.433354485858706</v>
      </c>
      <c r="H6" s="513" t="n">
        <v>1.615412645</v>
      </c>
      <c r="I6" s="512" t="n">
        <v>0.1157473675285</v>
      </c>
      <c r="J6" s="512" t="n">
        <v>0.775911123</v>
      </c>
      <c r="K6" s="512" t="n">
        <v>0.0641</v>
      </c>
      <c r="L6" s="512" t="n">
        <v>0.1829797055595927</v>
      </c>
      <c r="M6" s="512" t="n">
        <v>0.1033646976436145</v>
      </c>
      <c r="N6" s="513" t="n">
        <v>1.150777066021186</v>
      </c>
      <c r="O6" s="513" t="n">
        <v>3.46995483423847</v>
      </c>
      <c r="P6" s="513" t="n">
        <v>37.44323539292962</v>
      </c>
      <c r="Q6" s="513" t="n">
        <v>106.5222790695216</v>
      </c>
      <c r="R6" s="513" t="n">
        <v>6.854351643996245</v>
      </c>
      <c r="S6" s="513" t="n">
        <v>27.2827678</v>
      </c>
      <c r="T6" s="512" t="n">
        <v>-0.01912150197794573</v>
      </c>
      <c r="U6" s="512" t="n">
        <v>0.06805946406906987</v>
      </c>
      <c r="V6" s="512" t="n">
        <v>0.02996046255551315</v>
      </c>
      <c r="W6" s="512" t="n">
        <v>0.3134181873627815</v>
      </c>
      <c r="X6" s="512" t="n">
        <v>0.09265899347806514</v>
      </c>
      <c r="Y6" s="512" t="n">
        <v>0.06926027501209797</v>
      </c>
      <c r="Z6" s="512" t="n">
        <v>0.06926027501209797</v>
      </c>
      <c r="AA6" s="514" t="n">
        <v>0.03311549270623917</v>
      </c>
    </row>
    <row r="7" ht="14" customHeight="1">
      <c r="A7" s="125" t="inlineStr">
        <is>
          <t>Auto Parts</t>
        </is>
      </c>
      <c r="B7" s="296" t="n">
        <v>33</v>
      </c>
      <c r="C7" s="512" t="n">
        <v>0.06489166667</v>
      </c>
      <c r="D7" s="512" t="n">
        <v>0.05096843215474874</v>
      </c>
      <c r="E7" s="512" t="n">
        <v>0.08659674993338977</v>
      </c>
      <c r="F7" s="512" t="n">
        <v>0.2143827938051212</v>
      </c>
      <c r="G7" s="513" t="n">
        <v>0.9866442740406467</v>
      </c>
      <c r="H7" s="513" t="n">
        <v>1.225123783</v>
      </c>
      <c r="I7" s="512" t="n">
        <v>0.09884785980389998</v>
      </c>
      <c r="J7" s="512" t="n">
        <v>0.5262374869999999</v>
      </c>
      <c r="K7" s="512" t="n">
        <v>0.0578</v>
      </c>
      <c r="L7" s="512" t="n">
        <v>0.3235618549413413</v>
      </c>
      <c r="M7" s="512" t="n">
        <v>0.08089086934047561</v>
      </c>
      <c r="N7" s="513" t="n">
        <v>2.4258768506875</v>
      </c>
      <c r="O7" s="513" t="n">
        <v>0.7458643658048555</v>
      </c>
      <c r="P7" s="513" t="n">
        <v>6.527170609141058</v>
      </c>
      <c r="Q7" s="513" t="n">
        <v>13.57432080755852</v>
      </c>
      <c r="R7" s="513" t="n">
        <v>1.645471965025585</v>
      </c>
      <c r="S7" s="513" t="n">
        <v>24.80288893</v>
      </c>
      <c r="T7" s="512" t="n">
        <v>0.1621414135957554</v>
      </c>
      <c r="U7" s="512" t="n">
        <v>0.03370373484438911</v>
      </c>
      <c r="V7" s="512" t="n">
        <v>0.02979667923798389</v>
      </c>
      <c r="W7" s="512" t="n">
        <v>0.9872478385354112</v>
      </c>
      <c r="X7" s="512" t="n">
        <v>0.07086849223503966</v>
      </c>
      <c r="Y7" s="512" t="n">
        <v>0.3266161749531643</v>
      </c>
      <c r="Z7" s="512" t="n">
        <v>0.3266161749531642</v>
      </c>
      <c r="AA7" s="514" t="n">
        <v>0.05411215492954066</v>
      </c>
    </row>
    <row r="8" ht="14" customHeight="1">
      <c r="A8" s="125" t="inlineStr">
        <is>
          <t>Bank (Money Center)</t>
        </is>
      </c>
      <c r="B8" s="296" t="n">
        <v>15</v>
      </c>
      <c r="C8" s="512" t="n">
        <v>0.05995923077</v>
      </c>
      <c r="D8" s="512" t="inlineStr">
        <is>
          <t>NA</t>
        </is>
      </c>
      <c r="E8" s="512" t="inlineStr">
        <is>
          <t>NA</t>
        </is>
      </c>
      <c r="F8" s="512" t="n">
        <v>0.1853621240252053</v>
      </c>
      <c r="G8" s="513" t="n">
        <v>0.5250203515537631</v>
      </c>
      <c r="H8" s="513" t="n">
        <v>0.875252876</v>
      </c>
      <c r="I8" s="512" t="n">
        <v>0.0836984495308</v>
      </c>
      <c r="J8" s="512" t="n">
        <v>0.304694013</v>
      </c>
      <c r="K8" s="512" t="n">
        <v>0.0553</v>
      </c>
      <c r="L8" s="512" t="n">
        <v>0.6468771820719891</v>
      </c>
      <c r="M8" s="512" t="n">
        <v>0.05638506348095725</v>
      </c>
      <c r="N8" s="513" t="n">
        <v>0</v>
      </c>
      <c r="O8" s="513" t="inlineStr">
        <is>
          <t>NA</t>
        </is>
      </c>
      <c r="P8" s="513" t="inlineStr">
        <is>
          <t>NA</t>
        </is>
      </c>
      <c r="Q8" s="513" t="inlineStr">
        <is>
          <t>NA</t>
        </is>
      </c>
      <c r="R8" s="513" t="n">
        <v>1.322044786581685</v>
      </c>
      <c r="S8" s="513" t="n">
        <v>28.04191666</v>
      </c>
      <c r="T8" s="512" t="inlineStr">
        <is>
          <t>NA</t>
        </is>
      </c>
      <c r="U8" s="512" t="inlineStr">
        <is>
          <t>NA</t>
        </is>
      </c>
      <c r="V8" s="512" t="inlineStr">
        <is>
          <t>NA</t>
        </is>
      </c>
      <c r="W8" s="512" t="inlineStr">
        <is>
          <t>NA</t>
        </is>
      </c>
      <c r="X8" s="512" t="n">
        <v>0.1151631996799142</v>
      </c>
      <c r="Y8" s="512" t="n">
        <v>0.3124766097475993</v>
      </c>
      <c r="Z8" s="512" t="n">
        <v>0.3124766097475993</v>
      </c>
      <c r="AA8" s="514" t="inlineStr">
        <is>
          <t>NA</t>
        </is>
      </c>
    </row>
    <row r="9" ht="14" customHeight="1">
      <c r="A9" s="125" t="inlineStr">
        <is>
          <t>Banks (Regional)</t>
        </is>
      </c>
      <c r="B9" s="296" t="n">
        <v>591</v>
      </c>
      <c r="C9" s="512" t="n">
        <v>0.06543041753999999</v>
      </c>
      <c r="D9" s="512" t="inlineStr">
        <is>
          <t>NA</t>
        </is>
      </c>
      <c r="E9" s="512" t="inlineStr">
        <is>
          <t>NA</t>
        </is>
      </c>
      <c r="F9" s="512" t="n">
        <v>0.2107750516557237</v>
      </c>
      <c r="G9" s="513" t="n">
        <v>0.4750889299989061</v>
      </c>
      <c r="H9" s="513" t="n">
        <v>0.5192609419999999</v>
      </c>
      <c r="I9" s="512" t="n">
        <v>0.0682839987886</v>
      </c>
      <c r="J9" s="512" t="n">
        <v>0.299599934</v>
      </c>
      <c r="K9" s="512" t="n">
        <v>0.0508</v>
      </c>
      <c r="L9" s="512" t="n">
        <v>0.3762361874955241</v>
      </c>
      <c r="M9" s="512" t="n">
        <v>0.05692768616100762</v>
      </c>
      <c r="N9" s="513" t="n">
        <v>0</v>
      </c>
      <c r="O9" s="513" t="inlineStr">
        <is>
          <t>NA</t>
        </is>
      </c>
      <c r="P9" s="513" t="inlineStr">
        <is>
          <t>NA</t>
        </is>
      </c>
      <c r="Q9" s="513" t="inlineStr">
        <is>
          <t>NA</t>
        </is>
      </c>
      <c r="R9" s="513" t="n">
        <v>1.12910084807873</v>
      </c>
      <c r="S9" s="513" t="n">
        <v>18.41235377</v>
      </c>
      <c r="T9" s="512" t="inlineStr">
        <is>
          <t>NA</t>
        </is>
      </c>
      <c r="U9" s="512" t="inlineStr">
        <is>
          <t>NA</t>
        </is>
      </c>
      <c r="V9" s="512" t="inlineStr">
        <is>
          <t>NA</t>
        </is>
      </c>
      <c r="W9" s="512" t="inlineStr">
        <is>
          <t>NA</t>
        </is>
      </c>
      <c r="X9" s="512" t="n">
        <v>0.0680011952391968</v>
      </c>
      <c r="Y9" s="512" t="n">
        <v>0.5548297697973508</v>
      </c>
      <c r="Z9" s="512" t="n">
        <v>0.5548297697973508</v>
      </c>
      <c r="AA9" s="514" t="inlineStr">
        <is>
          <t>NA</t>
        </is>
      </c>
    </row>
    <row r="10" ht="14" customHeight="1">
      <c r="A10" s="125" t="inlineStr">
        <is>
          <t>Beverage (Alcoholic)</t>
        </is>
      </c>
      <c r="B10" s="296" t="n">
        <v>18</v>
      </c>
      <c r="C10" s="512" t="n">
        <v>0.0508625</v>
      </c>
      <c r="D10" s="512" t="n">
        <v>0.2285154083543229</v>
      </c>
      <c r="E10" s="512" t="n">
        <v>0.1786348619594244</v>
      </c>
      <c r="F10" s="512" t="n">
        <v>0.2158997930943271</v>
      </c>
      <c r="G10" s="513" t="n">
        <v>0.506207020622496</v>
      </c>
      <c r="H10" s="513" t="n">
        <v>0.610297863</v>
      </c>
      <c r="I10" s="512" t="n">
        <v>0.07222589746790001</v>
      </c>
      <c r="J10" s="512" t="n">
        <v>0.630763756</v>
      </c>
      <c r="K10" s="512" t="n">
        <v>0.0578</v>
      </c>
      <c r="L10" s="512" t="n">
        <v>0.2335109734372772</v>
      </c>
      <c r="M10" s="512" t="n">
        <v>0.06548305854129567</v>
      </c>
      <c r="N10" s="513" t="n">
        <v>0.8510742188918321</v>
      </c>
      <c r="O10" s="513" t="n">
        <v>3.300647073395304</v>
      </c>
      <c r="P10" s="513" t="n">
        <v>11.63038120388939</v>
      </c>
      <c r="Q10" s="513" t="n">
        <v>14.39838841972484</v>
      </c>
      <c r="R10" s="513" t="n">
        <v>2.696407349039924</v>
      </c>
      <c r="S10" s="513" t="n">
        <v>44.43103428</v>
      </c>
      <c r="T10" s="512" t="n">
        <v>0.1641883203302787</v>
      </c>
      <c r="U10" s="512" t="n">
        <v>0.08652568745816556</v>
      </c>
      <c r="V10" s="512" t="n">
        <v>0.06208213696143839</v>
      </c>
      <c r="W10" s="512" t="n">
        <v>0.357085160613112</v>
      </c>
      <c r="X10" s="512" t="n">
        <v>0.09490713677653632</v>
      </c>
      <c r="Y10" s="512" t="n">
        <v>0.5549730749534877</v>
      </c>
      <c r="Z10" s="512" t="n">
        <v>0.5549730749534877</v>
      </c>
      <c r="AA10" s="514" t="n">
        <v>0.2288389143557621</v>
      </c>
    </row>
    <row r="11" ht="14" customHeight="1">
      <c r="A11" s="125" t="inlineStr">
        <is>
          <t>Beverage (Soft)</t>
        </is>
      </c>
      <c r="B11" s="296" t="n">
        <v>29</v>
      </c>
      <c r="C11" s="512" t="n">
        <v>0.1675083333</v>
      </c>
      <c r="D11" s="512" t="n">
        <v>0.2000855530614492</v>
      </c>
      <c r="E11" s="512" t="n">
        <v>0.3060959745263867</v>
      </c>
      <c r="F11" s="512" t="n">
        <v>0.1971342134746209</v>
      </c>
      <c r="G11" s="513" t="n">
        <v>0.5128879692565596</v>
      </c>
      <c r="H11" s="513" t="n">
        <v>0.567766101</v>
      </c>
      <c r="I11" s="512" t="n">
        <v>0.0703842721733</v>
      </c>
      <c r="J11" s="512" t="n">
        <v>0.476702678</v>
      </c>
      <c r="K11" s="512" t="n">
        <v>0.0578</v>
      </c>
      <c r="L11" s="512" t="n">
        <v>0.1647951471516857</v>
      </c>
      <c r="M11" s="512" t="n">
        <v>0.06592915531236231</v>
      </c>
      <c r="N11" s="513" t="n">
        <v>1.673955755652854</v>
      </c>
      <c r="O11" s="513" t="n">
        <v>4.00109810652223</v>
      </c>
      <c r="P11" s="513" t="n">
        <v>16.76312416416936</v>
      </c>
      <c r="Q11" s="513" t="n">
        <v>19.86672786217797</v>
      </c>
      <c r="R11" s="513" t="n">
        <v>7.483916113465137</v>
      </c>
      <c r="S11" s="513" t="n">
        <v>25.66698037</v>
      </c>
      <c r="T11" s="512" t="n">
        <v>-0.1031996516220547</v>
      </c>
      <c r="U11" s="512" t="n">
        <v>0.05339637355286014</v>
      </c>
      <c r="V11" s="512" t="n">
        <v>0.0282972262332606</v>
      </c>
      <c r="W11" s="512" t="n">
        <v>0.2699404147315851</v>
      </c>
      <c r="X11" s="512" t="n">
        <v>0.3060582987301632</v>
      </c>
      <c r="Y11" s="512" t="n">
        <v>0.686947036056462</v>
      </c>
      <c r="Z11" s="512" t="n">
        <v>0.686947036056462</v>
      </c>
      <c r="AA11" s="514" t="n">
        <v>0.2013709574362599</v>
      </c>
    </row>
    <row r="12" ht="14" customHeight="1">
      <c r="A12" s="125" t="inlineStr">
        <is>
          <t>Broadcasting</t>
        </is>
      </c>
      <c r="B12" s="296" t="n">
        <v>22</v>
      </c>
      <c r="C12" s="512" t="n">
        <v>0.018948125</v>
      </c>
      <c r="D12" s="512" t="n">
        <v>0.1251192337482472</v>
      </c>
      <c r="E12" s="512" t="n">
        <v>0.1267664658026157</v>
      </c>
      <c r="F12" s="512" t="n">
        <v>0.2679495890056047</v>
      </c>
      <c r="G12" s="513" t="n">
        <v>0.4776744420077846</v>
      </c>
      <c r="H12" s="513" t="n">
        <v>0.9175236329999999</v>
      </c>
      <c r="I12" s="512" t="n">
        <v>0.08552877330889999</v>
      </c>
      <c r="J12" s="512" t="n">
        <v>0.52595168</v>
      </c>
      <c r="K12" s="512" t="n">
        <v>0.0578</v>
      </c>
      <c r="L12" s="512" t="n">
        <v>0.599299474915381</v>
      </c>
      <c r="M12" s="512" t="n">
        <v>0.06025105661230134</v>
      </c>
      <c r="N12" s="513" t="n">
        <v>1.135134525031125</v>
      </c>
      <c r="O12" s="513" t="n">
        <v>1.287101166711297</v>
      </c>
      <c r="P12" s="513" t="n">
        <v>7.205645787792572</v>
      </c>
      <c r="Q12" s="513" t="n">
        <v>10.2631253827978</v>
      </c>
      <c r="R12" s="513" t="n">
        <v>1.015779879412599</v>
      </c>
      <c r="S12" s="513" t="n">
        <v>45.02351959</v>
      </c>
      <c r="T12" s="512" t="n">
        <v>0.1042846119072505</v>
      </c>
      <c r="U12" s="512" t="n">
        <v>0.01890904431602558</v>
      </c>
      <c r="V12" s="512" t="n">
        <v>-0.02381183757029204</v>
      </c>
      <c r="W12" s="512" t="n">
        <v>2.027745842222725</v>
      </c>
      <c r="X12" s="512" t="n">
        <v>-0.09123594639568328</v>
      </c>
      <c r="Y12" s="512" t="n">
        <v>0.006253124370000001</v>
      </c>
      <c r="Z12" s="512" t="n">
        <v>0.006253124370000029</v>
      </c>
      <c r="AA12" s="514" t="n">
        <v>0.125125408608095</v>
      </c>
    </row>
    <row r="13" ht="14" customHeight="1">
      <c r="A13" s="125" t="inlineStr">
        <is>
          <t>Brokerage &amp; Investment Banking</t>
        </is>
      </c>
      <c r="B13" s="296" t="n">
        <v>30</v>
      </c>
      <c r="C13" s="512" t="n">
        <v>0.2218709524</v>
      </c>
      <c r="D13" s="512" t="inlineStr">
        <is>
          <t>NA</t>
        </is>
      </c>
      <c r="E13" s="512" t="inlineStr">
        <is>
          <t>NA</t>
        </is>
      </c>
      <c r="F13" s="512" t="n">
        <v>0.2111858517010476</v>
      </c>
      <c r="G13" s="513" t="n">
        <v>0.470177580167517</v>
      </c>
      <c r="H13" s="513" t="n">
        <v>0.952267405</v>
      </c>
      <c r="I13" s="512" t="n">
        <v>0.08703317863649999</v>
      </c>
      <c r="J13" s="512" t="n">
        <v>0.404908912</v>
      </c>
      <c r="K13" s="512" t="n">
        <v>0.0553</v>
      </c>
      <c r="L13" s="512" t="n">
        <v>0.6510651489165336</v>
      </c>
      <c r="M13" s="512" t="n">
        <v>0.05737183627816109</v>
      </c>
      <c r="N13" s="513" t="n">
        <v>0</v>
      </c>
      <c r="O13" s="513" t="inlineStr">
        <is>
          <t>NA</t>
        </is>
      </c>
      <c r="P13" s="513" t="inlineStr">
        <is>
          <t>NA</t>
        </is>
      </c>
      <c r="Q13" s="513" t="inlineStr">
        <is>
          <t>NA</t>
        </is>
      </c>
      <c r="R13" s="513" t="n">
        <v>2.107553367614496</v>
      </c>
      <c r="S13" s="513" t="n">
        <v>29.86793199</v>
      </c>
      <c r="T13" s="512" t="inlineStr">
        <is>
          <t>NA</t>
        </is>
      </c>
      <c r="U13" s="512" t="inlineStr">
        <is>
          <t>NA</t>
        </is>
      </c>
      <c r="V13" s="512" t="inlineStr">
        <is>
          <t>NA</t>
        </is>
      </c>
      <c r="W13" s="512" t="inlineStr">
        <is>
          <t>NA</t>
        </is>
      </c>
      <c r="X13" s="512" t="n">
        <v>0.1311086874362939</v>
      </c>
      <c r="Y13" s="512" t="n">
        <v>0.3715975987050716</v>
      </c>
      <c r="Z13" s="512" t="n">
        <v>0.3715975987050716</v>
      </c>
      <c r="AA13" s="514" t="inlineStr">
        <is>
          <t>NA</t>
        </is>
      </c>
    </row>
    <row r="14" ht="14" customHeight="1">
      <c r="A14" s="125" t="inlineStr">
        <is>
          <t>Building Materials</t>
        </is>
      </c>
      <c r="B14" s="296" t="n">
        <v>39</v>
      </c>
      <c r="C14" s="512" t="n">
        <v>0.04056935484</v>
      </c>
      <c r="D14" s="512" t="n">
        <v>0.1333980784979433</v>
      </c>
      <c r="E14" s="512" t="n">
        <v>0.2683666740979883</v>
      </c>
      <c r="F14" s="512" t="n">
        <v>0.2372114097961747</v>
      </c>
      <c r="G14" s="513" t="n">
        <v>1.234581585231785</v>
      </c>
      <c r="H14" s="513" t="n">
        <v>1.359882717</v>
      </c>
      <c r="I14" s="512" t="n">
        <v>0.1046829216461</v>
      </c>
      <c r="J14" s="512" t="n">
        <v>0.347474928</v>
      </c>
      <c r="K14" s="512" t="n">
        <v>0.0553</v>
      </c>
      <c r="L14" s="512" t="n">
        <v>0.159473079563649</v>
      </c>
      <c r="M14" s="512" t="n">
        <v>0.09460295972837859</v>
      </c>
      <c r="N14" s="513" t="n">
        <v>2.65630182786225</v>
      </c>
      <c r="O14" s="513" t="n">
        <v>2.333055282398107</v>
      </c>
      <c r="P14" s="513" t="n">
        <v>13.14410881347165</v>
      </c>
      <c r="Q14" s="513" t="n">
        <v>17.28060940453545</v>
      </c>
      <c r="R14" s="513" t="n">
        <v>4.267335180878145</v>
      </c>
      <c r="S14" s="513" t="n">
        <v>22.98375797</v>
      </c>
      <c r="T14" s="512" t="n">
        <v>0.1758973231141699</v>
      </c>
      <c r="U14" s="512" t="n">
        <v>0.03381389083562024</v>
      </c>
      <c r="V14" s="512" t="n">
        <v>0.1442683199845523</v>
      </c>
      <c r="W14" s="512" t="n">
        <v>1.357633998463254</v>
      </c>
      <c r="X14" s="512" t="n">
        <v>0.273585123195433</v>
      </c>
      <c r="Y14" s="512" t="n">
        <v>0.1663237573439768</v>
      </c>
      <c r="Z14" s="512" t="n">
        <v>0.1663237573439768</v>
      </c>
      <c r="AA14" s="514" t="n">
        <v>0.1365953556320925</v>
      </c>
    </row>
    <row r="15" ht="14" customHeight="1">
      <c r="A15" s="125" t="inlineStr">
        <is>
          <t>Business &amp; Consumer Services</t>
        </is>
      </c>
      <c r="B15" s="296" t="n">
        <v>152</v>
      </c>
      <c r="C15" s="512" t="n">
        <v>0.05241806818</v>
      </c>
      <c r="D15" s="512" t="n">
        <v>0.1210671049743861</v>
      </c>
      <c r="E15" s="512" t="n">
        <v>0.2683220667135423</v>
      </c>
      <c r="F15" s="512" t="n">
        <v>0.2383985925614271</v>
      </c>
      <c r="G15" s="513" t="n">
        <v>0.9217421067931305</v>
      </c>
      <c r="H15" s="513" t="n">
        <v>1.00384996</v>
      </c>
      <c r="I15" s="512" t="n">
        <v>0.08926670326799999</v>
      </c>
      <c r="J15" s="512" t="n">
        <v>0.453932055</v>
      </c>
      <c r="K15" s="512" t="n">
        <v>0.0578</v>
      </c>
      <c r="L15" s="512" t="n">
        <v>0.1436951590921071</v>
      </c>
      <c r="M15" s="512" t="n">
        <v>0.08266869528691966</v>
      </c>
      <c r="N15" s="513" t="n">
        <v>2.661203822641314</v>
      </c>
      <c r="O15" s="513" t="n">
        <v>2.932909606309558</v>
      </c>
      <c r="P15" s="513" t="n">
        <v>16.75438534442583</v>
      </c>
      <c r="Q15" s="513" t="n">
        <v>23.77057454305547</v>
      </c>
      <c r="R15" s="513" t="n">
        <v>5.940615291172687</v>
      </c>
      <c r="S15" s="513" t="n">
        <v>49.9883544</v>
      </c>
      <c r="T15" s="512" t="n">
        <v>0.1446669061418907</v>
      </c>
      <c r="U15" s="512" t="n">
        <v>0.02836819389195185</v>
      </c>
      <c r="V15" s="512" t="n">
        <v>-0.00117911423922891</v>
      </c>
      <c r="W15" s="512" t="n">
        <v>0.04674507635012014</v>
      </c>
      <c r="X15" s="512" t="n">
        <v>0.1826562013235273</v>
      </c>
      <c r="Y15" s="512" t="n">
        <v>0.4128266490002122</v>
      </c>
      <c r="Z15" s="512" t="n">
        <v>0.4128266490002122</v>
      </c>
      <c r="AA15" s="514" t="n">
        <v>0.1243426585381671</v>
      </c>
    </row>
    <row r="16" ht="14" customHeight="1">
      <c r="A16" s="125" t="inlineStr">
        <is>
          <t>Cable TV</t>
        </is>
      </c>
      <c r="B16" s="296" t="n">
        <v>9</v>
      </c>
      <c r="C16" s="512" t="n">
        <v>0.24145</v>
      </c>
      <c r="D16" s="512" t="n">
        <v>0.1845979778213262</v>
      </c>
      <c r="E16" s="512" t="n">
        <v>0.1375224509977151</v>
      </c>
      <c r="F16" s="512" t="n">
        <v>0.2459515420102437</v>
      </c>
      <c r="G16" s="513" t="n">
        <v>0.5042060471678157</v>
      </c>
      <c r="H16" s="513" t="n">
        <v>0.960510745</v>
      </c>
      <c r="I16" s="512" t="n">
        <v>0.08739011525849999</v>
      </c>
      <c r="J16" s="512" t="n">
        <v>0.497327842</v>
      </c>
      <c r="K16" s="512" t="n">
        <v>0.0578</v>
      </c>
      <c r="L16" s="512" t="n">
        <v>0.5582149393723677</v>
      </c>
      <c r="M16" s="512" t="n">
        <v>0.06280626498952432</v>
      </c>
      <c r="N16" s="513" t="n">
        <v>0.8503767957069994</v>
      </c>
      <c r="O16" s="513" t="n">
        <v>2.274010217387463</v>
      </c>
      <c r="P16" s="513" t="n">
        <v>7.039959537560604</v>
      </c>
      <c r="Q16" s="513" t="n">
        <v>12.51512590734801</v>
      </c>
      <c r="R16" s="513" t="n">
        <v>1.511012499666489</v>
      </c>
      <c r="S16" s="513" t="n">
        <v>10.74120025</v>
      </c>
      <c r="T16" s="512" t="n">
        <v>0.01466126042502769</v>
      </c>
      <c r="U16" s="512" t="n">
        <v>0.1274566885266333</v>
      </c>
      <c r="V16" s="512" t="n">
        <v>-0.002186709723143231</v>
      </c>
      <c r="W16" s="512" t="n">
        <v>0.04818005025982258</v>
      </c>
      <c r="X16" s="512" t="n">
        <v>0.1550262890175609</v>
      </c>
      <c r="Y16" s="512" t="n">
        <v>0.3224554129970806</v>
      </c>
      <c r="Z16" s="512" t="n">
        <v>0.3224554129970807</v>
      </c>
      <c r="AA16" s="514" t="n">
        <v>0.1815602186895739</v>
      </c>
    </row>
    <row r="17" ht="14" customHeight="1">
      <c r="A17" s="125" t="inlineStr">
        <is>
          <t>Chemical (Basic)</t>
        </is>
      </c>
      <c r="B17" s="296" t="n">
        <v>31</v>
      </c>
      <c r="C17" s="512" t="n">
        <v>0.08669777778</v>
      </c>
      <c r="D17" s="512" t="n">
        <v>0.06048689379806931</v>
      </c>
      <c r="E17" s="512" t="n">
        <v>0.08711525643483861</v>
      </c>
      <c r="F17" s="512" t="n">
        <v>0.1765135196914956</v>
      </c>
      <c r="G17" s="513" t="n">
        <v>0.8603685518030199</v>
      </c>
      <c r="H17" s="513" t="n">
        <v>1.147686922</v>
      </c>
      <c r="I17" s="512" t="n">
        <v>0.0954948437226</v>
      </c>
      <c r="J17" s="512" t="n">
        <v>0.500216196</v>
      </c>
      <c r="K17" s="512" t="n">
        <v>0.0578</v>
      </c>
      <c r="L17" s="512" t="n">
        <v>0.3681008759964349</v>
      </c>
      <c r="M17" s="512" t="n">
        <v>0.07630028106961374</v>
      </c>
      <c r="N17" s="513" t="n">
        <v>1.585609169942519</v>
      </c>
      <c r="O17" s="513" t="n">
        <v>1.032895641036004</v>
      </c>
      <c r="P17" s="513" t="n">
        <v>7.96705839014253</v>
      </c>
      <c r="Q17" s="513" t="n">
        <v>16.21039583896549</v>
      </c>
      <c r="R17" s="513" t="n">
        <v>1.611224798317052</v>
      </c>
      <c r="S17" s="513" t="n">
        <v>25.8083733</v>
      </c>
      <c r="T17" s="512" t="n">
        <v>0.1560831126647369</v>
      </c>
      <c r="U17" s="512" t="n">
        <v>0.06007795749756813</v>
      </c>
      <c r="V17" s="512" t="n">
        <v>0.03746685791879284</v>
      </c>
      <c r="W17" s="512" t="n">
        <v>0.6939562430612916</v>
      </c>
      <c r="X17" s="512" t="n">
        <v>0.06369809057698893</v>
      </c>
      <c r="Y17" s="512" t="n">
        <v>1.281789694182763</v>
      </c>
      <c r="Z17" s="512" t="n">
        <v>1.281789694182763</v>
      </c>
      <c r="AA17" s="514" t="n">
        <v>0.06246565909397009</v>
      </c>
    </row>
    <row r="18" ht="14" customHeight="1">
      <c r="A18" s="125" t="inlineStr">
        <is>
          <t>Chemical (Diversified)</t>
        </is>
      </c>
      <c r="B18" s="296" t="n">
        <v>4</v>
      </c>
      <c r="C18" s="512" t="n">
        <v>0.016685</v>
      </c>
      <c r="D18" s="512" t="n">
        <v>0.04360956092771238</v>
      </c>
      <c r="E18" s="512" t="n">
        <v>0.05353673633217604</v>
      </c>
      <c r="F18" s="512" t="n">
        <v>0</v>
      </c>
      <c r="G18" s="513" t="n">
        <v>0.5804650334684516</v>
      </c>
      <c r="H18" s="513" t="n">
        <v>0.994138662</v>
      </c>
      <c r="I18" s="512" t="n">
        <v>0.0888462040646</v>
      </c>
      <c r="J18" s="512" t="n">
        <v>0.469704194</v>
      </c>
      <c r="K18" s="512" t="n">
        <v>0.0578</v>
      </c>
      <c r="L18" s="512" t="n">
        <v>0.5307849949248137</v>
      </c>
      <c r="M18" s="512" t="n">
        <v>0.064697501621073</v>
      </c>
      <c r="N18" s="513" t="n">
        <v>1.309609073127727</v>
      </c>
      <c r="O18" s="513" t="n">
        <v>0.998346664774641</v>
      </c>
      <c r="P18" s="513" t="n">
        <v>9.273711289711123</v>
      </c>
      <c r="Q18" s="513" t="n">
        <v>22.25938726597356</v>
      </c>
      <c r="R18" s="513" t="n">
        <v>1.375696247475756</v>
      </c>
      <c r="S18" s="513" t="n">
        <v>33.22368421</v>
      </c>
      <c r="T18" s="512" t="n">
        <v>0.1902441610211719</v>
      </c>
      <c r="U18" s="512" t="n">
        <v>0.0564834908526267</v>
      </c>
      <c r="V18" s="512" t="n">
        <v>0.00309597381827909</v>
      </c>
      <c r="W18" s="512" t="n">
        <v>0.2143220982666615</v>
      </c>
      <c r="X18" s="512" t="n">
        <v>-0.01301180711225886</v>
      </c>
      <c r="Y18" s="512" t="n">
        <v>0.01960526316</v>
      </c>
      <c r="Z18" s="512" t="n">
        <v>0.01960526316</v>
      </c>
      <c r="AA18" s="514" t="n">
        <v>0.04382430877859141</v>
      </c>
    </row>
    <row r="19" ht="14" customHeight="1">
      <c r="A19" s="125" t="inlineStr">
        <is>
          <t>Chemical (Specialty)</t>
        </is>
      </c>
      <c r="B19" s="296" t="n">
        <v>60</v>
      </c>
      <c r="C19" s="512" t="n">
        <v>0.09194422222</v>
      </c>
      <c r="D19" s="512" t="n">
        <v>0.1193494453676533</v>
      </c>
      <c r="E19" s="512" t="n">
        <v>0.1130889550394304</v>
      </c>
      <c r="F19" s="512" t="n">
        <v>0.2054531827921836</v>
      </c>
      <c r="G19" s="513" t="n">
        <v>0.7942145818971595</v>
      </c>
      <c r="H19" s="513" t="n">
        <v>0.921548907</v>
      </c>
      <c r="I19" s="512" t="n">
        <v>0.0857030676731</v>
      </c>
      <c r="J19" s="512" t="n">
        <v>0.481493551</v>
      </c>
      <c r="K19" s="512" t="n">
        <v>0.0578</v>
      </c>
      <c r="L19" s="512" t="n">
        <v>0.2133695725539178</v>
      </c>
      <c r="M19" s="512" t="n">
        <v>0.0766662117273435</v>
      </c>
      <c r="N19" s="513" t="n">
        <v>1.134432037382564</v>
      </c>
      <c r="O19" s="513" t="n">
        <v>2.770509301510467</v>
      </c>
      <c r="P19" s="513" t="n">
        <v>13.30567714487739</v>
      </c>
      <c r="Q19" s="513" t="n">
        <v>22.12973118763059</v>
      </c>
      <c r="R19" s="513" t="n">
        <v>2.568073292309019</v>
      </c>
      <c r="S19" s="513" t="n">
        <v>43.85667873</v>
      </c>
      <c r="T19" s="512" t="n">
        <v>0.2229359556819943</v>
      </c>
      <c r="U19" s="512" t="n">
        <v>0.0881762795123409</v>
      </c>
      <c r="V19" s="512" t="n">
        <v>0.05202727564134819</v>
      </c>
      <c r="W19" s="512" t="n">
        <v>0.5429721462698663</v>
      </c>
      <c r="X19" s="512" t="n">
        <v>0.07775909833844559</v>
      </c>
      <c r="Y19" s="512" t="n">
        <v>0.5923187486492923</v>
      </c>
      <c r="Z19" s="512" t="n">
        <v>0.5923187486492923</v>
      </c>
      <c r="AA19" s="514" t="n">
        <v>0.1212336991654428</v>
      </c>
    </row>
    <row r="20" ht="14" customHeight="1">
      <c r="A20" s="125" t="inlineStr">
        <is>
          <t>Coal &amp; Related Energy</t>
        </is>
      </c>
      <c r="B20" s="296" t="n">
        <v>16</v>
      </c>
      <c r="C20" s="512" t="n">
        <v>0.0065125</v>
      </c>
      <c r="D20" s="512" t="n">
        <v>0.1097405359421523</v>
      </c>
      <c r="E20" s="512" t="n">
        <v>0.131360985972046</v>
      </c>
      <c r="F20" s="512" t="n">
        <v>0.1776428460221081</v>
      </c>
      <c r="G20" s="513" t="n">
        <v>1.266678994118762</v>
      </c>
      <c r="H20" s="513" t="n">
        <v>1.182062997</v>
      </c>
      <c r="I20" s="512" t="n">
        <v>0.09698332777009999</v>
      </c>
      <c r="J20" s="512" t="n">
        <v>0.5377822289999999</v>
      </c>
      <c r="K20" s="512" t="n">
        <v>0.0578</v>
      </c>
      <c r="L20" s="512" t="n">
        <v>0.08650014794994586</v>
      </c>
      <c r="M20" s="512" t="n">
        <v>0.0923440369829384</v>
      </c>
      <c r="N20" s="513" t="n">
        <v>1.241001477023697</v>
      </c>
      <c r="O20" s="513" t="n">
        <v>1.567760836781254</v>
      </c>
      <c r="P20" s="513" t="n">
        <v>3.893752514116424</v>
      </c>
      <c r="Q20" s="513" t="n">
        <v>7.979844062386776</v>
      </c>
      <c r="R20" s="513" t="n">
        <v>1.652433883756701</v>
      </c>
      <c r="S20" s="513" t="n">
        <v>8.92895397</v>
      </c>
      <c r="T20" s="512" t="n">
        <v>0.1074436410038282</v>
      </c>
      <c r="U20" s="512" t="n">
        <v>0.1005673923411056</v>
      </c>
      <c r="V20" s="512" t="n">
        <v>0.04181843960661484</v>
      </c>
      <c r="W20" s="512" t="n">
        <v>0.784182502395822</v>
      </c>
      <c r="X20" s="512" t="n">
        <v>0.1133530739065558</v>
      </c>
      <c r="Y20" s="512" t="n">
        <v>0.06849833048137254</v>
      </c>
      <c r="Z20" s="512" t="n">
        <v>0.06849833048137255</v>
      </c>
      <c r="AA20" s="514" t="n">
        <v>0.1103616280886277</v>
      </c>
    </row>
    <row r="21" ht="14" customHeight="1">
      <c r="A21" s="125" t="inlineStr">
        <is>
          <t>Computer Services</t>
        </is>
      </c>
      <c r="B21" s="296" t="n">
        <v>63</v>
      </c>
      <c r="C21" s="512" t="n">
        <v>0.09341057143000001</v>
      </c>
      <c r="D21" s="512" t="n">
        <v>0.06055245267476086</v>
      </c>
      <c r="E21" s="512" t="n">
        <v>0.2051185998499261</v>
      </c>
      <c r="F21" s="512" t="n">
        <v>0.1582832356431084</v>
      </c>
      <c r="G21" s="513" t="n">
        <v>1.091806958703224</v>
      </c>
      <c r="H21" s="513" t="n">
        <v>1.234460621</v>
      </c>
      <c r="I21" s="512" t="n">
        <v>0.0992521448893</v>
      </c>
      <c r="J21" s="512" t="n">
        <v>0.443962787</v>
      </c>
      <c r="K21" s="512" t="n">
        <v>0.0553</v>
      </c>
      <c r="L21" s="512" t="n">
        <v>0.2084227141190923</v>
      </c>
      <c r="M21" s="512" t="n">
        <v>0.08721007553742005</v>
      </c>
      <c r="N21" s="513" t="n">
        <v>4.71399880823382</v>
      </c>
      <c r="O21" s="513" t="n">
        <v>1.384128746459615</v>
      </c>
      <c r="P21" s="513" t="n">
        <v>14.29125163486293</v>
      </c>
      <c r="Q21" s="513" t="n">
        <v>21.79417760816968</v>
      </c>
      <c r="R21" s="513" t="n">
        <v>4.548651300213198</v>
      </c>
      <c r="S21" s="513" t="n">
        <v>56.19388981</v>
      </c>
      <c r="T21" s="512" t="n">
        <v>0.1379105620071007</v>
      </c>
      <c r="U21" s="512" t="n">
        <v>0.00991624879658428</v>
      </c>
      <c r="V21" s="512" t="n">
        <v>0.001379262415324263</v>
      </c>
      <c r="W21" s="512" t="n">
        <v>-0.1352497963392787</v>
      </c>
      <c r="X21" s="512" t="n">
        <v>0.1744259991849477</v>
      </c>
      <c r="Y21" s="512" t="n">
        <v>0.553130820816213</v>
      </c>
      <c r="Z21" s="512" t="n">
        <v>0.553130820816213</v>
      </c>
      <c r="AA21" s="514" t="n">
        <v>0.06447427954904809</v>
      </c>
    </row>
    <row r="22" ht="14" customHeight="1">
      <c r="A22" s="125" t="inlineStr">
        <is>
          <t>Computers/Peripherals</t>
        </is>
      </c>
      <c r="B22" s="296" t="n">
        <v>35</v>
      </c>
      <c r="C22" s="512" t="n">
        <v>0.03547884615</v>
      </c>
      <c r="D22" s="512" t="n">
        <v>0.2265065692330007</v>
      </c>
      <c r="E22" s="512" t="n">
        <v>0.414087117520171</v>
      </c>
      <c r="F22" s="512" t="n">
        <v>0.2287350739740178</v>
      </c>
      <c r="G22" s="513" t="n">
        <v>1.118287266469026</v>
      </c>
      <c r="H22" s="513" t="n">
        <v>1.142245646</v>
      </c>
      <c r="I22" s="512" t="n">
        <v>0.09525923647179999</v>
      </c>
      <c r="J22" s="512" t="n">
        <v>0.5262196810000001</v>
      </c>
      <c r="K22" s="512" t="n">
        <v>0.0578</v>
      </c>
      <c r="L22" s="512" t="n">
        <v>0.04595819255251343</v>
      </c>
      <c r="M22" s="512" t="n">
        <v>0.09287358178677504</v>
      </c>
      <c r="N22" s="513" t="n">
        <v>3.344930066468421</v>
      </c>
      <c r="O22" s="513" t="n">
        <v>6.67914190608648</v>
      </c>
      <c r="P22" s="513" t="n">
        <v>25.35913242294641</v>
      </c>
      <c r="Q22" s="513" t="n">
        <v>29.38954939369914</v>
      </c>
      <c r="R22" s="513" t="n">
        <v>38.95577055053</v>
      </c>
      <c r="S22" s="513" t="n">
        <v>610.1473168</v>
      </c>
      <c r="T22" s="512" t="n">
        <v>-0.07992706036776984</v>
      </c>
      <c r="U22" s="512" t="n">
        <v>0.02581604556184513</v>
      </c>
      <c r="V22" s="512" t="n">
        <v>0.003347027496244872</v>
      </c>
      <c r="W22" s="512" t="n">
        <v>0.0217896969435155</v>
      </c>
      <c r="X22" s="512" t="n">
        <v>0.00020232635</v>
      </c>
      <c r="Y22" s="512" t="n">
        <v>0.1796891786002064</v>
      </c>
      <c r="Z22" s="512" t="n">
        <v>0.1796891786002064</v>
      </c>
      <c r="AA22" s="514" t="n">
        <v>0.2295081529994834</v>
      </c>
    </row>
    <row r="23" ht="14" customHeight="1">
      <c r="A23" s="125" t="inlineStr">
        <is>
          <t>Construction Supplies</t>
        </is>
      </c>
      <c r="B23" s="296" t="n">
        <v>46</v>
      </c>
      <c r="C23" s="512" t="n">
        <v>0.03746354839</v>
      </c>
      <c r="D23" s="512" t="n">
        <v>0.1513278935318021</v>
      </c>
      <c r="E23" s="512" t="n">
        <v>0.1841166342327397</v>
      </c>
      <c r="F23" s="512" t="n">
        <v>0.2173442034766109</v>
      </c>
      <c r="G23" s="513" t="n">
        <v>1.152782179050854</v>
      </c>
      <c r="H23" s="513" t="n">
        <v>1.293637225</v>
      </c>
      <c r="I23" s="512" t="n">
        <v>0.1018144918425</v>
      </c>
      <c r="J23" s="512" t="n">
        <v>0.475248388</v>
      </c>
      <c r="K23" s="512" t="n">
        <v>0.0578</v>
      </c>
      <c r="L23" s="512" t="n">
        <v>0.1773937524033684</v>
      </c>
      <c r="M23" s="512" t="n">
        <v>0.0914432562522028</v>
      </c>
      <c r="N23" s="513" t="n">
        <v>1.564434799320235</v>
      </c>
      <c r="O23" s="513" t="n">
        <v>2.460886790207408</v>
      </c>
      <c r="P23" s="513" t="n">
        <v>12.62265816468092</v>
      </c>
      <c r="Q23" s="513" t="n">
        <v>16.10537132023196</v>
      </c>
      <c r="R23" s="513" t="n">
        <v>4.38822675872248</v>
      </c>
      <c r="S23" s="513" t="n">
        <v>18.96755165</v>
      </c>
      <c r="T23" s="512" t="n">
        <v>0.1858744080833414</v>
      </c>
      <c r="U23" s="512" t="n">
        <v>0.04819235865723343</v>
      </c>
      <c r="V23" s="512" t="n">
        <v>0.0385080673465896</v>
      </c>
      <c r="W23" s="512" t="n">
        <v>0.4233187994008747</v>
      </c>
      <c r="X23" s="512" t="n">
        <v>0.2562598043524</v>
      </c>
      <c r="Y23" s="512" t="n">
        <v>0.2921633243015753</v>
      </c>
      <c r="Z23" s="512" t="n">
        <v>0.2921633243015753</v>
      </c>
      <c r="AA23" s="514" t="n">
        <v>0.1520683013791626</v>
      </c>
    </row>
    <row r="24" ht="14" customHeight="1">
      <c r="A24" s="125" t="inlineStr">
        <is>
          <t>Diversified</t>
        </is>
      </c>
      <c r="B24" s="296" t="n">
        <v>21</v>
      </c>
      <c r="C24" s="512" t="n">
        <v>0.1162011111</v>
      </c>
      <c r="D24" s="512" t="n">
        <v>0.3284732876420425</v>
      </c>
      <c r="E24" s="512" t="n">
        <v>0.2465340832390831</v>
      </c>
      <c r="F24" s="512" t="n">
        <v>0.192212633047282</v>
      </c>
      <c r="G24" s="513" t="n">
        <v>1.01402677701575</v>
      </c>
      <c r="H24" s="513" t="n">
        <v>1.089996424</v>
      </c>
      <c r="I24" s="512" t="n">
        <v>0.0929968451592</v>
      </c>
      <c r="J24" s="512" t="n">
        <v>0.593496607</v>
      </c>
      <c r="K24" s="512" t="n">
        <v>0.0578</v>
      </c>
      <c r="L24" s="512" t="n">
        <v>0.1385985331703391</v>
      </c>
      <c r="M24" s="512" t="n">
        <v>0.08611586524359992</v>
      </c>
      <c r="N24" s="513" t="n">
        <v>0.7997477918147733</v>
      </c>
      <c r="O24" s="513" t="n">
        <v>2.907116134649113</v>
      </c>
      <c r="P24" s="513" t="n">
        <v>7.856925836398023</v>
      </c>
      <c r="Q24" s="513" t="n">
        <v>8.807214412052092</v>
      </c>
      <c r="R24" s="513" t="n">
        <v>1.806284985867228</v>
      </c>
      <c r="S24" s="513" t="n">
        <v>13.03290856</v>
      </c>
      <c r="T24" s="512" t="n">
        <v>0.01489650958603618</v>
      </c>
      <c r="U24" s="512" t="n">
        <v>0.04862532897256853</v>
      </c>
      <c r="V24" s="512" t="n">
        <v>0.03001566243910295</v>
      </c>
      <c r="W24" s="512" t="n">
        <v>0.1087094557702399</v>
      </c>
      <c r="X24" s="512" t="n">
        <v>0.2089879991187069</v>
      </c>
      <c r="Y24" s="512" t="n">
        <v>0.05033268272864516</v>
      </c>
      <c r="Z24" s="512" t="n">
        <v>0.05033268272864522</v>
      </c>
      <c r="AA24" s="514" t="n">
        <v>0.3300008853097672</v>
      </c>
    </row>
    <row r="25" ht="14" customHeight="1">
      <c r="A25" s="125" t="inlineStr">
        <is>
          <t>Drugs (Biotechnology)</t>
        </is>
      </c>
      <c r="B25" s="296" t="n">
        <v>535</v>
      </c>
      <c r="C25" s="512" t="n">
        <v>0.2376617089</v>
      </c>
      <c r="D25" s="512" t="n">
        <v>0.01422127271660656</v>
      </c>
      <c r="E25" s="512" t="n">
        <v>0.03081478421715015</v>
      </c>
      <c r="F25" s="512" t="n">
        <v>0.1948295495881273</v>
      </c>
      <c r="G25" s="513" t="n">
        <v>1.168951193323656</v>
      </c>
      <c r="H25" s="513" t="n">
        <v>1.251948113</v>
      </c>
      <c r="I25" s="512" t="n">
        <v>0.1000093532929</v>
      </c>
      <c r="J25" s="512" t="n">
        <v>0.868278117</v>
      </c>
      <c r="K25" s="512" t="n">
        <v>0.07580000000000001</v>
      </c>
      <c r="L25" s="512" t="n">
        <v>0.1459806038133114</v>
      </c>
      <c r="M25" s="512" t="n">
        <v>0.09370892483901044</v>
      </c>
      <c r="N25" s="513" t="n">
        <v>0.9333946427404237</v>
      </c>
      <c r="O25" s="513" t="n">
        <v>6.791791099779408</v>
      </c>
      <c r="P25" s="513" t="n">
        <v>15.18656517423734</v>
      </c>
      <c r="Q25" s="513" t="inlineStr">
        <is>
          <t>NA</t>
        </is>
      </c>
      <c r="R25" s="513" t="n">
        <v>6.017097654153798</v>
      </c>
      <c r="S25" s="513" t="n">
        <v>84.99430249</v>
      </c>
      <c r="T25" s="512" t="n">
        <v>0.136456198402093</v>
      </c>
      <c r="U25" s="512" t="n">
        <v>0.03360787117884962</v>
      </c>
      <c r="V25" s="512" t="n">
        <v>0.2493846199450797</v>
      </c>
      <c r="W25" s="512" t="inlineStr">
        <is>
          <t>NA</t>
        </is>
      </c>
      <c r="X25" s="512" t="n">
        <v>-0.1411559802047642</v>
      </c>
      <c r="Y25" s="512" t="n">
        <v>0.009746277980000001</v>
      </c>
      <c r="Z25" s="512" t="n">
        <v>0.009746277980000051</v>
      </c>
      <c r="AA25" s="514" t="n">
        <v>0.07488265801874916</v>
      </c>
    </row>
    <row r="26" ht="14" customHeight="1">
      <c r="A26" s="125" t="inlineStr">
        <is>
          <t>Drugs (Pharmaceutical)</t>
        </is>
      </c>
      <c r="B26" s="296" t="n">
        <v>231</v>
      </c>
      <c r="C26" s="512" t="n">
        <v>0.2478495652</v>
      </c>
      <c r="D26" s="512" t="n">
        <v>0.2280756235145167</v>
      </c>
      <c r="E26" s="512" t="n">
        <v>0.1407986987583718</v>
      </c>
      <c r="F26" s="512" t="n">
        <v>0.1358270853295788</v>
      </c>
      <c r="G26" s="513" t="n">
        <v>0.9833609439300397</v>
      </c>
      <c r="H26" s="513" t="n">
        <v>1.073797133</v>
      </c>
      <c r="I26" s="512" t="n">
        <v>0.0922954158589</v>
      </c>
      <c r="J26" s="512" t="n">
        <v>0.800484536</v>
      </c>
      <c r="K26" s="512" t="n">
        <v>0.07580000000000001</v>
      </c>
      <c r="L26" s="512" t="n">
        <v>0.1444999699871574</v>
      </c>
      <c r="M26" s="512" t="n">
        <v>0.08717355433110663</v>
      </c>
      <c r="N26" s="513" t="n">
        <v>1.014857981330774</v>
      </c>
      <c r="O26" s="513" t="n">
        <v>5.483712102310231</v>
      </c>
      <c r="P26" s="513" t="n">
        <v>15.36886270507868</v>
      </c>
      <c r="Q26" s="513" t="n">
        <v>23.36794850415672</v>
      </c>
      <c r="R26" s="513" t="n">
        <v>5.699401006896502</v>
      </c>
      <c r="S26" s="513" t="n">
        <v>20.88293026</v>
      </c>
      <c r="T26" s="512" t="n">
        <v>0.250871941720011</v>
      </c>
      <c r="U26" s="512" t="n">
        <v>0.0535943654915492</v>
      </c>
      <c r="V26" s="512" t="n">
        <v>0.2393624681777933</v>
      </c>
      <c r="W26" s="512" t="n">
        <v>1.176243688722761</v>
      </c>
      <c r="X26" s="512" t="n">
        <v>0.104929834787929</v>
      </c>
      <c r="Y26" s="512" t="n">
        <v>1.25494421339294</v>
      </c>
      <c r="Z26" s="512" t="n">
        <v>1.25494421339294</v>
      </c>
      <c r="AA26" s="514" t="n">
        <v>0.2559161155722693</v>
      </c>
    </row>
    <row r="27" ht="14" customHeight="1">
      <c r="A27" s="125" t="inlineStr">
        <is>
          <t>Education</t>
        </is>
      </c>
      <c r="B27" s="296" t="n">
        <v>29</v>
      </c>
      <c r="C27" s="512" t="n">
        <v>0.04766</v>
      </c>
      <c r="D27" s="512" t="n">
        <v>0.09240538407657353</v>
      </c>
      <c r="E27" s="512" t="n">
        <v>0.1185554706305268</v>
      </c>
      <c r="F27" s="512" t="n">
        <v>0.2561145038498328</v>
      </c>
      <c r="G27" s="513" t="n">
        <v>0.9221112564153724</v>
      </c>
      <c r="H27" s="513" t="n">
        <v>0.983172276</v>
      </c>
      <c r="I27" s="512" t="n">
        <v>0.0883713595508</v>
      </c>
      <c r="J27" s="512" t="n">
        <v>0.558226871</v>
      </c>
      <c r="K27" s="512" t="n">
        <v>0.0578</v>
      </c>
      <c r="L27" s="512" t="n">
        <v>0.1627910767796273</v>
      </c>
      <c r="M27" s="512" t="n">
        <v>0.08104228395144251</v>
      </c>
      <c r="N27" s="513" t="n">
        <v>1.859008910079772</v>
      </c>
      <c r="O27" s="513" t="n">
        <v>2.490303181010936</v>
      </c>
      <c r="P27" s="513" t="n">
        <v>14.25458361322304</v>
      </c>
      <c r="Q27" s="513" t="n">
        <v>28.47050309824616</v>
      </c>
      <c r="R27" s="513" t="n">
        <v>3.356182717580755</v>
      </c>
      <c r="S27" s="513" t="n">
        <v>33.92151127</v>
      </c>
      <c r="T27" s="512" t="n">
        <v>0.07987259272774762</v>
      </c>
      <c r="U27" s="512" t="n">
        <v>0.03107597549854807</v>
      </c>
      <c r="V27" s="512" t="n">
        <v>0.008910306202179034</v>
      </c>
      <c r="W27" s="512" t="n">
        <v>0.3044884889576344</v>
      </c>
      <c r="X27" s="512" t="n">
        <v>0.042221737467676</v>
      </c>
      <c r="Y27" s="512" t="n">
        <v>0.7187351830354953</v>
      </c>
      <c r="Z27" s="512" t="n">
        <v>0.7187351830354953</v>
      </c>
      <c r="AA27" s="514" t="n">
        <v>0.08546563422373665</v>
      </c>
    </row>
    <row r="28" ht="14" customHeight="1">
      <c r="A28" s="125" t="inlineStr">
        <is>
          <t>Electrical Equipment</t>
        </is>
      </c>
      <c r="B28" s="296" t="n">
        <v>101</v>
      </c>
      <c r="C28" s="512" t="n">
        <v>0.1328885417</v>
      </c>
      <c r="D28" s="512" t="n">
        <v>0.07152181433780842</v>
      </c>
      <c r="E28" s="512" t="n">
        <v>0.1222646820211439</v>
      </c>
      <c r="F28" s="512" t="n">
        <v>0.2018853415807228</v>
      </c>
      <c r="G28" s="513" t="n">
        <v>1.201076911463217</v>
      </c>
      <c r="H28" s="513" t="n">
        <v>1.269751059</v>
      </c>
      <c r="I28" s="512" t="n">
        <v>0.1007802208547</v>
      </c>
      <c r="J28" s="512" t="n">
        <v>0.721156702</v>
      </c>
      <c r="K28" s="512" t="n">
        <v>0.0641</v>
      </c>
      <c r="L28" s="512" t="n">
        <v>0.1292534032164745</v>
      </c>
      <c r="M28" s="512" t="n">
        <v>0.09396789169195413</v>
      </c>
      <c r="N28" s="513" t="n">
        <v>2.087537198763825</v>
      </c>
      <c r="O28" s="513" t="n">
        <v>3.30719628964143</v>
      </c>
      <c r="P28" s="513" t="n">
        <v>19.60582983838383</v>
      </c>
      <c r="Q28" s="513" t="n">
        <v>41.43504205344964</v>
      </c>
      <c r="R28" s="513" t="n">
        <v>4.069239753991878</v>
      </c>
      <c r="S28" s="513" t="n">
        <v>55.43392358</v>
      </c>
      <c r="T28" s="512" t="n">
        <v>0.2887273468000888</v>
      </c>
      <c r="U28" s="512" t="n">
        <v>0.05065705170042339</v>
      </c>
      <c r="V28" s="512" t="n">
        <v>0.1074296430789927</v>
      </c>
      <c r="W28" s="512" t="n">
        <v>2.027078835206155</v>
      </c>
      <c r="X28" s="512" t="n">
        <v>0.04777295470096294</v>
      </c>
      <c r="Y28" s="512" t="n">
        <v>0.8026848535774878</v>
      </c>
      <c r="Z28" s="512" t="n">
        <v>0.8026848535774878</v>
      </c>
      <c r="AA28" s="514" t="n">
        <v>0.07643265546002215</v>
      </c>
    </row>
    <row r="29" ht="14" customHeight="1">
      <c r="A29" s="125" t="inlineStr">
        <is>
          <t>Electronics (Consumer &amp; Office)</t>
        </is>
      </c>
      <c r="B29" s="296" t="n">
        <v>11</v>
      </c>
      <c r="C29" s="512" t="n">
        <v>-0.06997714285999999</v>
      </c>
      <c r="D29" s="512" t="n">
        <v>-0.05297232032984498</v>
      </c>
      <c r="E29" s="512" t="n">
        <v>-0.05811533242548508</v>
      </c>
      <c r="F29" s="512" t="e">
        <v>#DIV/0!</v>
      </c>
      <c r="G29" s="513" t="n">
        <v>0.9536363844925939</v>
      </c>
      <c r="H29" s="513" t="n">
        <v>0.919635201</v>
      </c>
      <c r="I29" s="512" t="n">
        <v>0.08562020420329999</v>
      </c>
      <c r="J29" s="512" t="n">
        <v>0.731989771</v>
      </c>
      <c r="K29" s="512" t="n">
        <v>0.0641</v>
      </c>
      <c r="L29" s="512" t="n">
        <v>0.1174537442498644</v>
      </c>
      <c r="M29" s="512" t="n">
        <v>0.08121037939099668</v>
      </c>
      <c r="N29" s="513" t="n">
        <v>2.737398474105601</v>
      </c>
      <c r="O29" s="513" t="n">
        <v>0.7246945892586846</v>
      </c>
      <c r="P29" s="513" t="n">
        <v>44.48899046615133</v>
      </c>
      <c r="Q29" s="513" t="inlineStr">
        <is>
          <t>NA</t>
        </is>
      </c>
      <c r="R29" s="513" t="n">
        <v>2.219372563578986</v>
      </c>
      <c r="S29" s="513" t="e">
        <v>#DIV/0!</v>
      </c>
      <c r="T29" s="512" t="n">
        <v>0.1281047274892576</v>
      </c>
      <c r="U29" s="512" t="n">
        <v>0.02072207888239267</v>
      </c>
      <c r="V29" s="512" t="n">
        <v>0.002187211917956069</v>
      </c>
      <c r="W29" s="512" t="inlineStr">
        <is>
          <t>NA</t>
        </is>
      </c>
      <c r="X29" s="512" t="n">
        <v>-0.3096401834118038</v>
      </c>
      <c r="Y29" s="512" t="e">
        <v>#DIV/0!</v>
      </c>
      <c r="Z29" s="512" t="e">
        <v>#DIV/0!</v>
      </c>
      <c r="AA29" s="514" t="n">
        <v>-0.04868542581690992</v>
      </c>
    </row>
    <row r="30" ht="14" customHeight="1">
      <c r="A30" s="125" t="inlineStr">
        <is>
          <t>Electronics (General)</t>
        </is>
      </c>
      <c r="B30" s="296" t="n">
        <v>122</v>
      </c>
      <c r="C30" s="512" t="n">
        <v>0.1058519753</v>
      </c>
      <c r="D30" s="512" t="n">
        <v>0.08154981683331164</v>
      </c>
      <c r="E30" s="512" t="n">
        <v>0.1311241782362432</v>
      </c>
      <c r="F30" s="512" t="n">
        <v>0.1922895485416306</v>
      </c>
      <c r="G30" s="513" t="n">
        <v>1.011270582729439</v>
      </c>
      <c r="H30" s="513" t="n">
        <v>1.058231623</v>
      </c>
      <c r="I30" s="512" t="n">
        <v>0.0916214292759</v>
      </c>
      <c r="J30" s="512" t="n">
        <v>0.616085598</v>
      </c>
      <c r="K30" s="512" t="n">
        <v>0.0578</v>
      </c>
      <c r="L30" s="512" t="n">
        <v>0.1260319676230025</v>
      </c>
      <c r="M30" s="512" t="n">
        <v>0.08553768606428372</v>
      </c>
      <c r="N30" s="513" t="n">
        <v>2.172951772371046</v>
      </c>
      <c r="O30" s="513" t="n">
        <v>2.45573086399372</v>
      </c>
      <c r="P30" s="513" t="n">
        <v>17.2834812096568</v>
      </c>
      <c r="Q30" s="513" t="n">
        <v>28.93182000502317</v>
      </c>
      <c r="R30" s="513" t="n">
        <v>3.752861981010049</v>
      </c>
      <c r="S30" s="513" t="n">
        <v>74.93824789999999</v>
      </c>
      <c r="T30" s="512" t="n">
        <v>0.2292835626395296</v>
      </c>
      <c r="U30" s="512" t="n">
        <v>0.03305371229631034</v>
      </c>
      <c r="V30" s="512" t="n">
        <v>0.0472319275712025</v>
      </c>
      <c r="W30" s="512" t="n">
        <v>0.5422676302624916</v>
      </c>
      <c r="X30" s="512" t="n">
        <v>0.1019312227966249</v>
      </c>
      <c r="Y30" s="512" t="n">
        <v>0.2222524000332033</v>
      </c>
      <c r="Z30" s="512" t="n">
        <v>0.2222524000332033</v>
      </c>
      <c r="AA30" s="514" t="n">
        <v>0.08370023339953213</v>
      </c>
    </row>
    <row r="31" ht="14" customHeight="1">
      <c r="A31" s="125" t="inlineStr">
        <is>
          <t>Engineering/Construction</t>
        </is>
      </c>
      <c r="B31" s="296" t="n">
        <v>42</v>
      </c>
      <c r="C31" s="512" t="n">
        <v>0.08651148148000001</v>
      </c>
      <c r="D31" s="512" t="n">
        <v>0.05567652186705069</v>
      </c>
      <c r="E31" s="512" t="n">
        <v>0.1915807882044053</v>
      </c>
      <c r="F31" s="512" t="n">
        <v>0.264526690391459</v>
      </c>
      <c r="G31" s="513" t="n">
        <v>0.9171641176368084</v>
      </c>
      <c r="H31" s="513" t="n">
        <v>0.987915291</v>
      </c>
      <c r="I31" s="512" t="n">
        <v>0.0885767321003</v>
      </c>
      <c r="J31" s="512" t="n">
        <v>0.47331966</v>
      </c>
      <c r="K31" s="512" t="n">
        <v>0.0578</v>
      </c>
      <c r="L31" s="512" t="n">
        <v>0.1519910552412034</v>
      </c>
      <c r="M31" s="512" t="n">
        <v>0.0817026733632642</v>
      </c>
      <c r="N31" s="513" t="n">
        <v>3.862962070890738</v>
      </c>
      <c r="O31" s="513" t="n">
        <v>1.409306869549644</v>
      </c>
      <c r="P31" s="513" t="n">
        <v>15.64699107043541</v>
      </c>
      <c r="Q31" s="513" t="n">
        <v>24.03091038829025</v>
      </c>
      <c r="R31" s="513" t="n">
        <v>4.811546921270118</v>
      </c>
      <c r="S31" s="513" t="n">
        <v>44.73407496</v>
      </c>
      <c r="T31" s="512" t="n">
        <v>0.18589282923199</v>
      </c>
      <c r="U31" s="512" t="n">
        <v>0.02358246832645084</v>
      </c>
      <c r="V31" s="512" t="n">
        <v>0.0385185288253212</v>
      </c>
      <c r="W31" s="512" t="n">
        <v>0.8419758860713495</v>
      </c>
      <c r="X31" s="512" t="n">
        <v>0.1308240011309937</v>
      </c>
      <c r="Y31" s="512" t="n">
        <v>0.082519841894834</v>
      </c>
      <c r="Z31" s="512" t="n">
        <v>0.08251984189483397</v>
      </c>
      <c r="AA31" s="514" t="n">
        <v>0.05839409008802537</v>
      </c>
    </row>
    <row r="32" ht="14" customHeight="1">
      <c r="A32" s="125" t="inlineStr">
        <is>
          <t>Entertainment</t>
        </is>
      </c>
      <c r="B32" s="296" t="n">
        <v>96</v>
      </c>
      <c r="C32" s="512" t="n">
        <v>0.1325096552</v>
      </c>
      <c r="D32" s="512" t="n">
        <v>0.08339991531547873</v>
      </c>
      <c r="E32" s="512" t="n">
        <v>0.09941346558875379</v>
      </c>
      <c r="F32" s="512" t="n">
        <v>0.1883250615408126</v>
      </c>
      <c r="G32" s="513" t="n">
        <v>0.937524322724562</v>
      </c>
      <c r="H32" s="513" t="n">
        <v>1.040909254</v>
      </c>
      <c r="I32" s="512" t="n">
        <v>0.0908713706982</v>
      </c>
      <c r="J32" s="512" t="n">
        <v>0.626979123</v>
      </c>
      <c r="K32" s="512" t="n">
        <v>0.0578</v>
      </c>
      <c r="L32" s="512" t="n">
        <v>0.1689957696110628</v>
      </c>
      <c r="M32" s="512" t="n">
        <v>0.08284046008408509</v>
      </c>
      <c r="N32" s="513" t="n">
        <v>1.406969514219978</v>
      </c>
      <c r="O32" s="513" t="n">
        <v>3.904694529466759</v>
      </c>
      <c r="P32" s="513" t="n">
        <v>19.61096687194483</v>
      </c>
      <c r="Q32" s="513" t="n">
        <v>45.58406244383965</v>
      </c>
      <c r="R32" s="513" t="n">
        <v>4.067911072184907</v>
      </c>
      <c r="S32" s="513" t="n">
        <v>84.24318924000001</v>
      </c>
      <c r="T32" s="512" t="n">
        <v>0.01527122551712616</v>
      </c>
      <c r="U32" s="512" t="n">
        <v>0.03699353625599393</v>
      </c>
      <c r="V32" s="512" t="n">
        <v>-0.03918198816319698</v>
      </c>
      <c r="W32" s="512" t="n">
        <v>-0.7118566713135513</v>
      </c>
      <c r="X32" s="512" t="n">
        <v>-0.03902795845976274</v>
      </c>
      <c r="Y32" s="512" t="n">
        <v>0.0008170703199999999</v>
      </c>
      <c r="Z32" s="512" t="n">
        <v>0.0008170703200000018</v>
      </c>
      <c r="AA32" s="514" t="n">
        <v>0.08256419725779691</v>
      </c>
    </row>
    <row r="33" ht="14" customHeight="1">
      <c r="A33" s="125" t="inlineStr">
        <is>
          <t>Environmental &amp; Waste Services</t>
        </is>
      </c>
      <c r="B33" s="296" t="n">
        <v>50</v>
      </c>
      <c r="C33" s="512" t="n">
        <v>0.1963952381</v>
      </c>
      <c r="D33" s="512" t="n">
        <v>0.1489309262452262</v>
      </c>
      <c r="E33" s="512" t="n">
        <v>0.3172293069539848</v>
      </c>
      <c r="F33" s="512" t="n">
        <v>0.2253906324535115</v>
      </c>
      <c r="G33" s="513" t="n">
        <v>0.8154365927953799</v>
      </c>
      <c r="H33" s="513" t="n">
        <v>0.920470271</v>
      </c>
      <c r="I33" s="512" t="n">
        <v>0.0856563627343</v>
      </c>
      <c r="J33" s="512" t="n">
        <v>0.544758219</v>
      </c>
      <c r="K33" s="512" t="n">
        <v>0.0578</v>
      </c>
      <c r="L33" s="512" t="n">
        <v>0.1619421994798373</v>
      </c>
      <c r="M33" s="512" t="n">
        <v>0.07880517730111564</v>
      </c>
      <c r="N33" s="513" t="n">
        <v>2.319389085585667</v>
      </c>
      <c r="O33" s="513" t="n">
        <v>3.683161818039651</v>
      </c>
      <c r="P33" s="513" t="n">
        <v>15.81665369072755</v>
      </c>
      <c r="Q33" s="513" t="n">
        <v>24.29141944624521</v>
      </c>
      <c r="R33" s="513" t="n">
        <v>6.654633809226148</v>
      </c>
      <c r="S33" s="513" t="n">
        <v>86.5905265</v>
      </c>
      <c r="T33" s="512" t="n">
        <v>0.1012278675566884</v>
      </c>
      <c r="U33" s="512" t="n">
        <v>0.08685273552228773</v>
      </c>
      <c r="V33" s="512" t="n">
        <v>0.06417199514719471</v>
      </c>
      <c r="W33" s="512" t="n">
        <v>0.5897643992973957</v>
      </c>
      <c r="X33" s="512" t="n">
        <v>0.2231695614977128</v>
      </c>
      <c r="Y33" s="512" t="n">
        <v>0.3633210907300387</v>
      </c>
      <c r="Z33" s="512" t="n">
        <v>0.3633210907300387</v>
      </c>
      <c r="AA33" s="514" t="n">
        <v>0.1512014381016425</v>
      </c>
    </row>
    <row r="34" ht="14" customHeight="1">
      <c r="A34" s="125" t="inlineStr">
        <is>
          <t>Farming/Agriculture</t>
        </is>
      </c>
      <c r="B34" s="296" t="n">
        <v>35</v>
      </c>
      <c r="C34" s="512" t="n">
        <v>0.2223105263</v>
      </c>
      <c r="D34" s="512" t="n">
        <v>0.0725286291815041</v>
      </c>
      <c r="E34" s="512" t="n">
        <v>0.09966097926177687</v>
      </c>
      <c r="F34" s="512" t="n">
        <v>0.2342564411647405</v>
      </c>
      <c r="G34" s="513" t="n">
        <v>0.7317985276905549</v>
      </c>
      <c r="H34" s="513" t="n">
        <v>0.982388156</v>
      </c>
      <c r="I34" s="512" t="n">
        <v>0.0883374071548</v>
      </c>
      <c r="J34" s="512" t="n">
        <v>0.6959132609999999</v>
      </c>
      <c r="K34" s="512" t="n">
        <v>0.0641</v>
      </c>
      <c r="L34" s="512" t="n">
        <v>0.3478095566497602</v>
      </c>
      <c r="M34" s="512" t="n">
        <v>0.07433375717263688</v>
      </c>
      <c r="N34" s="513" t="n">
        <v>1.567172748219748</v>
      </c>
      <c r="O34" s="513" t="n">
        <v>1.182078162678491</v>
      </c>
      <c r="P34" s="513" t="n">
        <v>11.76431167528268</v>
      </c>
      <c r="Q34" s="513" t="n">
        <v>15.77692811736798</v>
      </c>
      <c r="R34" s="513" t="n">
        <v>2.503453363855312</v>
      </c>
      <c r="S34" s="513" t="n">
        <v>35.00291504</v>
      </c>
      <c r="T34" s="512" t="n">
        <v>0.1486669337186723</v>
      </c>
      <c r="U34" s="512" t="n">
        <v>0.0394226386992334</v>
      </c>
      <c r="V34" s="512" t="n">
        <v>0.03360420334860541</v>
      </c>
      <c r="W34" s="512" t="n">
        <v>0.4479640689859078</v>
      </c>
      <c r="X34" s="512" t="n">
        <v>0.1532613246287157</v>
      </c>
      <c r="Y34" s="512" t="n">
        <v>0.3057061550448788</v>
      </c>
      <c r="Z34" s="512" t="n">
        <v>0.3057061550448787</v>
      </c>
      <c r="AA34" s="514" t="n">
        <v>0.07466480137741174</v>
      </c>
    </row>
    <row r="35" ht="14" customHeight="1">
      <c r="A35" s="125" t="inlineStr">
        <is>
          <t>Financial Svcs. (Non-bank &amp; Insurance)</t>
        </is>
      </c>
      <c r="B35" s="296" t="n">
        <v>166</v>
      </c>
      <c r="C35" s="512" t="n">
        <v>0.1479327</v>
      </c>
      <c r="D35" s="512" t="n">
        <v>0.1633057193708989</v>
      </c>
      <c r="E35" s="512" t="inlineStr">
        <is>
          <t>NA</t>
        </is>
      </c>
      <c r="F35" s="512" t="n">
        <v>0.1861937030426792</v>
      </c>
      <c r="G35" s="513" t="n">
        <v>0.3505935320228313</v>
      </c>
      <c r="H35" s="513" t="n">
        <v>1.073489898</v>
      </c>
      <c r="I35" s="512" t="n">
        <v>0.09228211258339999</v>
      </c>
      <c r="J35" s="512" t="n">
        <v>0.4195847</v>
      </c>
      <c r="K35" s="512" t="n">
        <v>0.0553</v>
      </c>
      <c r="L35" s="512" t="n">
        <v>0.7413733708658856</v>
      </c>
      <c r="M35" s="512" t="n">
        <v>0.05461507226348218</v>
      </c>
      <c r="N35" s="513" t="n">
        <v>0.06810031517177884</v>
      </c>
      <c r="O35" s="513" t="n">
        <v>19.30347905094736</v>
      </c>
      <c r="P35" s="513" t="n">
        <v>62.82440097666481</v>
      </c>
      <c r="Q35" s="513" t="n">
        <v>79.26775330166299</v>
      </c>
      <c r="R35" s="513" t="n">
        <v>3.797377982567915</v>
      </c>
      <c r="S35" s="513" t="n">
        <v>30.21108272</v>
      </c>
      <c r="T35" s="512" t="n">
        <v>12.49975115145839</v>
      </c>
      <c r="U35" s="512" t="n">
        <v>0.02666139359993605</v>
      </c>
      <c r="V35" s="512" t="n">
        <v>0.0179186603212266</v>
      </c>
      <c r="W35" s="512" t="n">
        <v>0.149777123650848</v>
      </c>
      <c r="X35" s="512" t="n">
        <v>0.315488080050799</v>
      </c>
      <c r="Y35" s="512" t="n">
        <v>0.1812934564054658</v>
      </c>
      <c r="Z35" s="512" t="n">
        <v>0.1812934564054658</v>
      </c>
      <c r="AA35" s="514" t="n">
        <v>0.1643608663080031</v>
      </c>
    </row>
    <row r="36" ht="14" customHeight="1">
      <c r="A36" s="125" t="inlineStr">
        <is>
          <t>Food Processing</t>
        </is>
      </c>
      <c r="B36" s="296" t="n">
        <v>77</v>
      </c>
      <c r="C36" s="512" t="n">
        <v>0.1001784</v>
      </c>
      <c r="D36" s="512" t="n">
        <v>0.1196989866600123</v>
      </c>
      <c r="E36" s="512" t="n">
        <v>0.179008744988626</v>
      </c>
      <c r="F36" s="512" t="n">
        <v>0.2415591084925007</v>
      </c>
      <c r="G36" s="513" t="n">
        <v>0.3827769550035321</v>
      </c>
      <c r="H36" s="513" t="n">
        <v>0.474240235</v>
      </c>
      <c r="I36" s="512" t="n">
        <v>0.0663346021755</v>
      </c>
      <c r="J36" s="512" t="n">
        <v>0.462695731</v>
      </c>
      <c r="K36" s="512" t="n">
        <v>0.0578</v>
      </c>
      <c r="L36" s="512" t="n">
        <v>0.2675164852672177</v>
      </c>
      <c r="M36" s="512" t="n">
        <v>0.06018584218624499</v>
      </c>
      <c r="N36" s="513" t="n">
        <v>1.697523066418755</v>
      </c>
      <c r="O36" s="513" t="n">
        <v>1.794561254105961</v>
      </c>
      <c r="P36" s="513" t="n">
        <v>11.1673106044468</v>
      </c>
      <c r="Q36" s="513" t="n">
        <v>14.75500676313727</v>
      </c>
      <c r="R36" s="513" t="n">
        <v>2.175385899546042</v>
      </c>
      <c r="S36" s="513" t="n">
        <v>27.67322876</v>
      </c>
      <c r="T36" s="512" t="n">
        <v>0.05647943056639733</v>
      </c>
      <c r="U36" s="512" t="n">
        <v>0.03988083049878293</v>
      </c>
      <c r="V36" s="512" t="n">
        <v>0.04355998013949344</v>
      </c>
      <c r="W36" s="512" t="n">
        <v>0.4158952415037026</v>
      </c>
      <c r="X36" s="512" t="n">
        <v>0.09802418035108233</v>
      </c>
      <c r="Y36" s="512" t="n">
        <v>0.6795638505562032</v>
      </c>
      <c r="Z36" s="512" t="n">
        <v>0.6795638505562032</v>
      </c>
      <c r="AA36" s="514" t="n">
        <v>0.1213296889884875</v>
      </c>
    </row>
    <row r="37" ht="14" customHeight="1">
      <c r="A37" s="125" t="inlineStr">
        <is>
          <t>Food Wholesalers</t>
        </is>
      </c>
      <c r="B37" s="296" t="n">
        <v>14</v>
      </c>
      <c r="C37" s="512" t="n">
        <v>0.11898</v>
      </c>
      <c r="D37" s="512" t="n">
        <v>0.02668323514122336</v>
      </c>
      <c r="E37" s="512" t="n">
        <v>0.1730373034274529</v>
      </c>
      <c r="F37" s="512" t="n">
        <v>0.2384785363138899</v>
      </c>
      <c r="G37" s="513" t="n">
        <v>0.5547774624190575</v>
      </c>
      <c r="H37" s="513" t="n">
        <v>0.724632235</v>
      </c>
      <c r="I37" s="512" t="n">
        <v>0.07717657577549999</v>
      </c>
      <c r="J37" s="512" t="n">
        <v>0.391670258</v>
      </c>
      <c r="K37" s="512" t="n">
        <v>0.0553</v>
      </c>
      <c r="L37" s="512" t="n">
        <v>0.3020683236001308</v>
      </c>
      <c r="M37" s="512" t="n">
        <v>0.06639226063111167</v>
      </c>
      <c r="N37" s="513" t="n">
        <v>7.777325065179679</v>
      </c>
      <c r="O37" s="513" t="n">
        <v>0.4441781069138798</v>
      </c>
      <c r="P37" s="513" t="n">
        <v>10.77068159328223</v>
      </c>
      <c r="Q37" s="513" t="n">
        <v>16.86043056864055</v>
      </c>
      <c r="R37" s="513" t="n">
        <v>4.514160864716116</v>
      </c>
      <c r="S37" s="513" t="n">
        <v>29.30346327</v>
      </c>
      <c r="T37" s="512" t="n">
        <v>0.0571128010743372</v>
      </c>
      <c r="U37" s="512" t="n">
        <v>0.009943610292843528</v>
      </c>
      <c r="V37" s="512" t="n">
        <v>0.01436574250563161</v>
      </c>
      <c r="W37" s="512" t="n">
        <v>0.7230194392164317</v>
      </c>
      <c r="X37" s="512" t="n">
        <v>0.2005292412626092</v>
      </c>
      <c r="Y37" s="512" t="n">
        <v>0.344994817550537</v>
      </c>
      <c r="Z37" s="512" t="n">
        <v>0.3449948175505371</v>
      </c>
      <c r="AA37" s="514" t="n">
        <v>0.0263406756281407</v>
      </c>
    </row>
    <row r="38" ht="14" customHeight="1">
      <c r="A38" s="125" t="inlineStr">
        <is>
          <t>Furn/Home Furnishings</t>
        </is>
      </c>
      <c r="B38" s="296" t="n">
        <v>28</v>
      </c>
      <c r="C38" s="512" t="n">
        <v>-0.00282952381</v>
      </c>
      <c r="D38" s="512" t="n">
        <v>0.0650643353627397</v>
      </c>
      <c r="E38" s="512" t="n">
        <v>0.106539511481422</v>
      </c>
      <c r="F38" s="512" t="n">
        <v>0.2116439277335286</v>
      </c>
      <c r="G38" s="513" t="n">
        <v>0.6901905810431348</v>
      </c>
      <c r="H38" s="513" t="n">
        <v>0.866242693</v>
      </c>
      <c r="I38" s="512" t="n">
        <v>0.0833083086069</v>
      </c>
      <c r="J38" s="512" t="n">
        <v>0.54801472</v>
      </c>
      <c r="K38" s="512" t="n">
        <v>0.0578</v>
      </c>
      <c r="L38" s="512" t="n">
        <v>0.2954389234714598</v>
      </c>
      <c r="M38" s="512" t="n">
        <v>0.07150306892833709</v>
      </c>
      <c r="N38" s="513" t="n">
        <v>1.959179809399405</v>
      </c>
      <c r="O38" s="513" t="n">
        <v>1.183895108625572</v>
      </c>
      <c r="P38" s="513" t="n">
        <v>10.17923705680146</v>
      </c>
      <c r="Q38" s="513" t="n">
        <v>17.2162440741332</v>
      </c>
      <c r="R38" s="513" t="n">
        <v>2.369462263162049</v>
      </c>
      <c r="S38" s="513" t="n">
        <v>30.847498</v>
      </c>
      <c r="T38" s="512" t="n">
        <v>0.1573460406177535</v>
      </c>
      <c r="U38" s="512" t="n">
        <v>0.02997865080053123</v>
      </c>
      <c r="V38" s="512" t="n">
        <v>0.01123359470105658</v>
      </c>
      <c r="W38" s="512" t="n">
        <v>0.1150377776521455</v>
      </c>
      <c r="X38" s="512" t="n">
        <v>0.05849960245124717</v>
      </c>
      <c r="Y38" s="512" t="n">
        <v>0.8433821399699984</v>
      </c>
      <c r="Z38" s="512" t="n">
        <v>0.8433821399699984</v>
      </c>
      <c r="AA38" s="514" t="n">
        <v>0.06858572865571802</v>
      </c>
    </row>
    <row r="39" ht="14" customHeight="1">
      <c r="A39" s="125" t="inlineStr">
        <is>
          <t>Green &amp; Renewable Energy</t>
        </is>
      </c>
      <c r="B39" s="296" t="n">
        <v>18</v>
      </c>
      <c r="C39" s="512" t="n">
        <v>0.1573</v>
      </c>
      <c r="D39" s="512" t="n">
        <v>0.2159823411908026</v>
      </c>
      <c r="E39" s="512" t="n">
        <v>0.03668230812976016</v>
      </c>
      <c r="F39" s="512" t="n">
        <v>0.05724137931034484</v>
      </c>
      <c r="G39" s="513" t="n">
        <v>0.5005254491535094</v>
      </c>
      <c r="H39" s="513" t="n">
        <v>1.130425266</v>
      </c>
      <c r="I39" s="512" t="n">
        <v>0.0947474140178</v>
      </c>
      <c r="J39" s="512" t="n">
        <v>0.719302568</v>
      </c>
      <c r="K39" s="512" t="n">
        <v>0.0641</v>
      </c>
      <c r="L39" s="512" t="n">
        <v>0.6379186419431446</v>
      </c>
      <c r="M39" s="512" t="n">
        <v>0.06497421105135684</v>
      </c>
      <c r="N39" s="513" t="n">
        <v>0.1882582558306389</v>
      </c>
      <c r="O39" s="513" t="n">
        <v>6.383498113840869</v>
      </c>
      <c r="P39" s="513" t="n">
        <v>11.30454550403292</v>
      </c>
      <c r="Q39" s="513" t="n">
        <v>31.9053812634954</v>
      </c>
      <c r="R39" s="513" t="n">
        <v>0.7604581145144261</v>
      </c>
      <c r="S39" s="513" t="n">
        <v>25.51122245</v>
      </c>
      <c r="T39" s="512" t="n">
        <v>-0.3754312702131538</v>
      </c>
      <c r="U39" s="512" t="n">
        <v>0.4950095875335058</v>
      </c>
      <c r="V39" s="512" t="n">
        <v>0.3815940335447929</v>
      </c>
      <c r="W39" s="512" t="n">
        <v>1.59939340988347</v>
      </c>
      <c r="X39" s="512" t="n">
        <v>-0.1157451667610829</v>
      </c>
      <c r="Y39" s="512" t="n">
        <v>0.00081832444</v>
      </c>
      <c r="Z39" s="512" t="n">
        <v>0.0008183244399999623</v>
      </c>
      <c r="AA39" s="514" t="n">
        <v>0.1973879701773694</v>
      </c>
    </row>
    <row r="40" ht="14" customHeight="1">
      <c r="A40" s="125" t="inlineStr">
        <is>
          <t>Healthcare Products</t>
        </is>
      </c>
      <c r="B40" s="296" t="n">
        <v>218</v>
      </c>
      <c r="C40" s="512" t="n">
        <v>0.1460585714</v>
      </c>
      <c r="D40" s="512" t="n">
        <v>0.1481212155210634</v>
      </c>
      <c r="E40" s="512" t="n">
        <v>0.1471042569755877</v>
      </c>
      <c r="F40" s="512" t="n">
        <v>0.1596603297048217</v>
      </c>
      <c r="G40" s="513" t="n">
        <v>0.9580877046258003</v>
      </c>
      <c r="H40" s="513" t="n">
        <v>1.0145167</v>
      </c>
      <c r="I40" s="512" t="n">
        <v>0.08972857310999999</v>
      </c>
      <c r="J40" s="512" t="n">
        <v>0.674052859</v>
      </c>
      <c r="K40" s="512" t="n">
        <v>0.0641</v>
      </c>
      <c r="L40" s="512" t="n">
        <v>0.1134090257877254</v>
      </c>
      <c r="M40" s="512" t="n">
        <v>0.0850046819630171</v>
      </c>
      <c r="N40" s="513" t="n">
        <v>1.334509264055863</v>
      </c>
      <c r="O40" s="513" t="n">
        <v>5.200686146885706</v>
      </c>
      <c r="P40" s="513" t="n">
        <v>21.19759515704529</v>
      </c>
      <c r="Q40" s="513" t="n">
        <v>33.633724884042</v>
      </c>
      <c r="R40" s="513" t="n">
        <v>4.756612592973772</v>
      </c>
      <c r="S40" s="513" t="n">
        <v>45.2516385</v>
      </c>
      <c r="T40" s="512" t="n">
        <v>0.2669413005325263</v>
      </c>
      <c r="U40" s="512" t="n">
        <v>0.0479808609881465</v>
      </c>
      <c r="V40" s="512" t="n">
        <v>0.04576040306388626</v>
      </c>
      <c r="W40" s="512" t="n">
        <v>0.5546286757135178</v>
      </c>
      <c r="X40" s="512" t="n">
        <v>0.08881077313041913</v>
      </c>
      <c r="Y40" s="512" t="n">
        <v>0.3580752216461151</v>
      </c>
      <c r="Z40" s="512" t="n">
        <v>0.3580752216461152</v>
      </c>
      <c r="AA40" s="514" t="n">
        <v>0.1514690360825379</v>
      </c>
    </row>
    <row r="41" ht="14" customHeight="1">
      <c r="A41" s="125" t="inlineStr">
        <is>
          <t>Healthcare Support Services</t>
        </is>
      </c>
      <c r="B41" s="296" t="n">
        <v>113</v>
      </c>
      <c r="C41" s="512" t="n">
        <v>0.1133957143</v>
      </c>
      <c r="D41" s="512" t="n">
        <v>0.03436937020226516</v>
      </c>
      <c r="E41" s="512" t="n">
        <v>0.4460295645298247</v>
      </c>
      <c r="F41" s="512" t="n">
        <v>0.2308587110082809</v>
      </c>
      <c r="G41" s="513" t="n">
        <v>0.8153500076641338</v>
      </c>
      <c r="H41" s="513" t="n">
        <v>0.9412129339999999</v>
      </c>
      <c r="I41" s="512" t="n">
        <v>0.08655452004219999</v>
      </c>
      <c r="J41" s="512" t="n">
        <v>0.539967819</v>
      </c>
      <c r="K41" s="512" t="n">
        <v>0.0578</v>
      </c>
      <c r="L41" s="512" t="n">
        <v>0.2435768930799556</v>
      </c>
      <c r="M41" s="512" t="n">
        <v>0.07603089728331025</v>
      </c>
      <c r="N41" s="513" t="n">
        <v>14.64950352888415</v>
      </c>
      <c r="O41" s="513" t="n">
        <v>0.5259930515797708</v>
      </c>
      <c r="P41" s="513" t="n">
        <v>11.3157584170607</v>
      </c>
      <c r="Q41" s="513" t="n">
        <v>15.14891017522647</v>
      </c>
      <c r="R41" s="513" t="n">
        <v>2.894297168988962</v>
      </c>
      <c r="S41" s="513" t="n">
        <v>38.82971906</v>
      </c>
      <c r="T41" s="512" t="n">
        <v>-0.06930645344028069</v>
      </c>
      <c r="U41" s="512" t="n">
        <v>0.006333983394759203</v>
      </c>
      <c r="V41" s="512" t="n">
        <v>0.00743260158898802</v>
      </c>
      <c r="W41" s="512" t="n">
        <v>0.4595302808574888</v>
      </c>
      <c r="X41" s="512" t="n">
        <v>0.1166045638608415</v>
      </c>
      <c r="Y41" s="512" t="n">
        <v>0.4218366473585213</v>
      </c>
      <c r="Z41" s="512" t="n">
        <v>0.4218366473585213</v>
      </c>
      <c r="AA41" s="514" t="n">
        <v>0.03427553986135274</v>
      </c>
    </row>
    <row r="42" ht="14" customHeight="1">
      <c r="A42" s="125" t="inlineStr">
        <is>
          <t>Heathcare Information and Technology</t>
        </is>
      </c>
      <c r="B42" s="296" t="n">
        <v>116</v>
      </c>
      <c r="C42" s="512" t="n">
        <v>0.14728</v>
      </c>
      <c r="D42" s="512" t="n">
        <v>0.1335229870447581</v>
      </c>
      <c r="E42" s="512" t="n">
        <v>0.1274298126050892</v>
      </c>
      <c r="F42" s="512" t="n">
        <v>0.1651095974833422</v>
      </c>
      <c r="G42" s="513" t="n">
        <v>1.123409396658434</v>
      </c>
      <c r="H42" s="513" t="n">
        <v>1.222923714</v>
      </c>
      <c r="I42" s="512" t="n">
        <v>0.09875259681619999</v>
      </c>
      <c r="J42" s="512" t="n">
        <v>0.645438121</v>
      </c>
      <c r="K42" s="512" t="n">
        <v>0.0578</v>
      </c>
      <c r="L42" s="512" t="n">
        <v>0.1393804567634771</v>
      </c>
      <c r="M42" s="512" t="n">
        <v>0.09103055756607528</v>
      </c>
      <c r="N42" s="513" t="n">
        <v>1.221573259631846</v>
      </c>
      <c r="O42" s="513" t="n">
        <v>5.311889541228291</v>
      </c>
      <c r="P42" s="513" t="n">
        <v>22.01135224050213</v>
      </c>
      <c r="Q42" s="513" t="n">
        <v>38.61751994472102</v>
      </c>
      <c r="R42" s="513" t="n">
        <v>3.929559630568024</v>
      </c>
      <c r="S42" s="513" t="n">
        <v>54.46738057</v>
      </c>
      <c r="T42" s="512" t="n">
        <v>0.2310351474948779</v>
      </c>
      <c r="U42" s="512" t="n">
        <v>0.04003716129722745</v>
      </c>
      <c r="V42" s="512" t="n">
        <v>0.05378245546115293</v>
      </c>
      <c r="W42" s="512" t="n">
        <v>0.3802678025261552</v>
      </c>
      <c r="X42" s="512" t="n">
        <v>0.03933763839168482</v>
      </c>
      <c r="Y42" s="512" t="n">
        <v>0.256718261808874</v>
      </c>
      <c r="Z42" s="512" t="n">
        <v>0.256718261808874</v>
      </c>
      <c r="AA42" s="514" t="n">
        <v>0.134954492564416</v>
      </c>
    </row>
    <row r="43" ht="14" customHeight="1">
      <c r="A43" s="125" t="inlineStr">
        <is>
          <t>Homebuilding</t>
        </is>
      </c>
      <c r="B43" s="296" t="n">
        <v>30</v>
      </c>
      <c r="C43" s="512" t="n">
        <v>0.09001090909000001</v>
      </c>
      <c r="D43" s="512" t="n">
        <v>0.1552469366730168</v>
      </c>
      <c r="E43" s="512" t="n">
        <v>0.2104579273966407</v>
      </c>
      <c r="F43" s="512" t="n">
        <v>0.2317830107189847</v>
      </c>
      <c r="G43" s="513" t="n">
        <v>1.376235949184344</v>
      </c>
      <c r="H43" s="513" t="n">
        <v>1.42748671</v>
      </c>
      <c r="I43" s="512" t="n">
        <v>0.107610174543</v>
      </c>
      <c r="J43" s="512" t="n">
        <v>0.414320248</v>
      </c>
      <c r="K43" s="512" t="n">
        <v>0.0553</v>
      </c>
      <c r="L43" s="512" t="n">
        <v>0.1489459039527601</v>
      </c>
      <c r="M43" s="512" t="n">
        <v>0.09775961118761929</v>
      </c>
      <c r="N43" s="513" t="n">
        <v>1.641118382058291</v>
      </c>
      <c r="O43" s="513" t="n">
        <v>1.243096982428676</v>
      </c>
      <c r="P43" s="513" t="n">
        <v>7.647428900944848</v>
      </c>
      <c r="Q43" s="513" t="n">
        <v>7.974293672450544</v>
      </c>
      <c r="R43" s="513" t="n">
        <v>1.748027594769829</v>
      </c>
      <c r="S43" s="513" t="n">
        <v>10.85248606</v>
      </c>
      <c r="T43" s="512" t="n">
        <v>0.6317058112564676</v>
      </c>
      <c r="U43" s="512" t="n">
        <v>0.005785892292905283</v>
      </c>
      <c r="V43" s="512" t="n">
        <v>0.007289797351351661</v>
      </c>
      <c r="W43" s="512" t="n">
        <v>0.513794661279955</v>
      </c>
      <c r="X43" s="512" t="n">
        <v>0.2014942306577244</v>
      </c>
      <c r="Y43" s="512" t="n">
        <v>0.07297285112579148</v>
      </c>
      <c r="Z43" s="512" t="n">
        <v>0.07297285112579144</v>
      </c>
      <c r="AA43" s="514" t="n">
        <v>0.1558740256346799</v>
      </c>
    </row>
    <row r="44" ht="14" customHeight="1">
      <c r="A44" s="125" t="inlineStr">
        <is>
          <t>Hospitals/Healthcare Facilities</t>
        </is>
      </c>
      <c r="B44" s="296" t="n">
        <v>33</v>
      </c>
      <c r="C44" s="512" t="n">
        <v>0.01566052632</v>
      </c>
      <c r="D44" s="512" t="n">
        <v>0.1244873540610042</v>
      </c>
      <c r="E44" s="512" t="n">
        <v>0.211898617484313</v>
      </c>
      <c r="F44" s="512" t="n">
        <v>0.2223489611733677</v>
      </c>
      <c r="G44" s="513" t="n">
        <v>0.5652613375247338</v>
      </c>
      <c r="H44" s="513" t="n">
        <v>0.857081614</v>
      </c>
      <c r="I44" s="512" t="n">
        <v>0.0829116338862</v>
      </c>
      <c r="J44" s="512" t="n">
        <v>0.508099059</v>
      </c>
      <c r="K44" s="512" t="n">
        <v>0.0578</v>
      </c>
      <c r="L44" s="512" t="n">
        <v>0.4355154044763488</v>
      </c>
      <c r="M44" s="512" t="n">
        <v>0.06568193290250637</v>
      </c>
      <c r="N44" s="513" t="n">
        <v>1.924311520433964</v>
      </c>
      <c r="O44" s="513" t="n">
        <v>1.484022296092266</v>
      </c>
      <c r="P44" s="513" t="n">
        <v>8.112146472634091</v>
      </c>
      <c r="Q44" s="513" t="n">
        <v>12.21014652807294</v>
      </c>
      <c r="R44" s="513" t="n">
        <v>4.281727024179832</v>
      </c>
      <c r="S44" s="513" t="n">
        <v>19.90376001</v>
      </c>
      <c r="T44" s="512" t="n">
        <v>0.1077343297592457</v>
      </c>
      <c r="U44" s="512" t="n">
        <v>0.05840345982571967</v>
      </c>
      <c r="V44" s="512" t="n">
        <v>0.02940535781153524</v>
      </c>
      <c r="W44" s="512" t="n">
        <v>0.3395703359082387</v>
      </c>
      <c r="X44" s="512" t="n">
        <v>0.7610091187909209</v>
      </c>
      <c r="Y44" s="512" t="n">
        <v>0.2315676177443813</v>
      </c>
      <c r="Z44" s="512" t="n">
        <v>0.2315676177443813</v>
      </c>
      <c r="AA44" s="514" t="n">
        <v>0.1214367873135278</v>
      </c>
    </row>
    <row r="45" ht="14" customHeight="1">
      <c r="A45" s="125" t="inlineStr">
        <is>
          <t>Hotel/Gaming</t>
        </is>
      </c>
      <c r="B45" s="296" t="n">
        <v>65</v>
      </c>
      <c r="C45" s="512" t="n">
        <v>0.1190453659</v>
      </c>
      <c r="D45" s="512" t="n">
        <v>0.1814696975460798</v>
      </c>
      <c r="E45" s="512" t="n">
        <v>0.1217234705877054</v>
      </c>
      <c r="F45" s="512" t="n">
        <v>0.1487213133537436</v>
      </c>
      <c r="G45" s="513" t="n">
        <v>0.9507214498893468</v>
      </c>
      <c r="H45" s="513" t="n">
        <v>1.193760779</v>
      </c>
      <c r="I45" s="512" t="n">
        <v>0.09748984173069999</v>
      </c>
      <c r="J45" s="512" t="n">
        <v>0.450953288</v>
      </c>
      <c r="K45" s="512" t="n">
        <v>0.0578</v>
      </c>
      <c r="L45" s="512" t="n">
        <v>0.3017303728446324</v>
      </c>
      <c r="M45" s="512" t="n">
        <v>0.08115420709954649</v>
      </c>
      <c r="N45" s="513" t="n">
        <v>0.9762977965119558</v>
      </c>
      <c r="O45" s="513" t="n">
        <v>4.28296044613172</v>
      </c>
      <c r="P45" s="513" t="n">
        <v>15.41762624350229</v>
      </c>
      <c r="Q45" s="513" t="n">
        <v>28.23125259887007</v>
      </c>
      <c r="R45" s="513" t="n">
        <v>14.59095332757863</v>
      </c>
      <c r="S45" s="513" t="n">
        <v>33.74480756</v>
      </c>
      <c r="T45" s="512" t="n">
        <v>0.02288364986375318</v>
      </c>
      <c r="U45" s="512" t="n">
        <v>0.07779583455520896</v>
      </c>
      <c r="V45" s="512" t="n">
        <v>0.02025023027892743</v>
      </c>
      <c r="W45" s="512" t="n">
        <v>0.2541720868564456</v>
      </c>
      <c r="X45" s="512" t="n">
        <v>0.4205107674642232</v>
      </c>
      <c r="Y45" s="512" t="n">
        <v>0.1515827726450326</v>
      </c>
      <c r="Z45" s="512" t="n">
        <v>0.1515827726450326</v>
      </c>
      <c r="AA45" s="514" t="n">
        <v>0.1490485912543498</v>
      </c>
    </row>
    <row r="46" ht="14" customHeight="1">
      <c r="A46" s="125" t="inlineStr">
        <is>
          <t>Household Products</t>
        </is>
      </c>
      <c r="B46" s="296" t="n">
        <v>101</v>
      </c>
      <c r="C46" s="512" t="n">
        <v>0.03150409091</v>
      </c>
      <c r="D46" s="512" t="n">
        <v>0.1838152482844537</v>
      </c>
      <c r="E46" s="512" t="n">
        <v>0.3355766766494194</v>
      </c>
      <c r="F46" s="512" t="n">
        <v>0.2249200888022358</v>
      </c>
      <c r="G46" s="513" t="n">
        <v>0.8289296813883512</v>
      </c>
      <c r="H46" s="513" t="n">
        <v>0.895264979</v>
      </c>
      <c r="I46" s="512" t="n">
        <v>0.0845649735907</v>
      </c>
      <c r="J46" s="512" t="n">
        <v>0.566703537</v>
      </c>
      <c r="K46" s="512" t="n">
        <v>0.0578</v>
      </c>
      <c r="L46" s="512" t="n">
        <v>0.1321202007981977</v>
      </c>
      <c r="M46" s="512" t="n">
        <v>0.0791196430040043</v>
      </c>
      <c r="N46" s="513" t="n">
        <v>2.217432544077391</v>
      </c>
      <c r="O46" s="513" t="n">
        <v>3.527707810746897</v>
      </c>
      <c r="P46" s="513" t="n">
        <v>15.31170598826782</v>
      </c>
      <c r="Q46" s="513" t="n">
        <v>18.97162747124975</v>
      </c>
      <c r="R46" s="513" t="n">
        <v>7.331355612163251</v>
      </c>
      <c r="S46" s="513" t="n">
        <v>32.1738381</v>
      </c>
      <c r="T46" s="512" t="n">
        <v>0.06895979054658521</v>
      </c>
      <c r="U46" s="512" t="n">
        <v>0.03526408711943137</v>
      </c>
      <c r="V46" s="512" t="n">
        <v>0.002175810487227502</v>
      </c>
      <c r="W46" s="512" t="n">
        <v>0.01295216454003346</v>
      </c>
      <c r="X46" s="512" t="n">
        <v>0.2624495610799743</v>
      </c>
      <c r="Y46" s="512" t="n">
        <v>0.7387863810748427</v>
      </c>
      <c r="Z46" s="512" t="n">
        <v>0.7387863810748427</v>
      </c>
      <c r="AA46" s="514" t="n">
        <v>0.1856242949500523</v>
      </c>
    </row>
    <row r="47" ht="14" customHeight="1">
      <c r="A47" s="125" t="inlineStr">
        <is>
          <t>Information Services</t>
        </is>
      </c>
      <c r="B47" s="296" t="n">
        <v>16</v>
      </c>
      <c r="C47" s="512" t="n">
        <v>0.02525</v>
      </c>
      <c r="D47" s="512" t="n">
        <v>0.1153831652370629</v>
      </c>
      <c r="E47" s="512" t="n">
        <v>0.2454899054678381</v>
      </c>
      <c r="F47" s="512" t="n">
        <v>0.2324323586425315</v>
      </c>
      <c r="G47" s="513" t="n">
        <v>0.8031590545209226</v>
      </c>
      <c r="H47" s="513" t="n">
        <v>0.984489325</v>
      </c>
      <c r="I47" s="512" t="n">
        <v>0.08842838777250001</v>
      </c>
      <c r="J47" s="512" t="n">
        <v>0.396580654</v>
      </c>
      <c r="K47" s="512" t="n">
        <v>0.0553</v>
      </c>
      <c r="L47" s="512" t="n">
        <v>0.2612694166130669</v>
      </c>
      <c r="M47" s="512" t="n">
        <v>0.07616090354117182</v>
      </c>
      <c r="N47" s="513" t="n">
        <v>2.732013145091482</v>
      </c>
      <c r="O47" s="513" t="n">
        <v>2.269212322276089</v>
      </c>
      <c r="P47" s="513" t="n">
        <v>11.74753990696398</v>
      </c>
      <c r="Q47" s="513" t="n">
        <v>18.67848175056118</v>
      </c>
      <c r="R47" s="513" t="n">
        <v>3.726677548736125</v>
      </c>
      <c r="S47" s="513" t="n">
        <v>21.27761649</v>
      </c>
      <c r="T47" s="512" t="n">
        <v>0.1687025039932948</v>
      </c>
      <c r="U47" s="512" t="n">
        <v>0.02009538051577829</v>
      </c>
      <c r="V47" s="512" t="n">
        <v>0.03725775922024389</v>
      </c>
      <c r="W47" s="512" t="n">
        <v>0.4471010416321389</v>
      </c>
      <c r="X47" s="512" t="n">
        <v>0.159033666768628</v>
      </c>
      <c r="Y47" s="512" t="n">
        <v>0.341749877230316</v>
      </c>
      <c r="Z47" s="512" t="n">
        <v>0.341749877230316</v>
      </c>
      <c r="AA47" s="514" t="n">
        <v>0.1224416033556414</v>
      </c>
    </row>
    <row r="48" ht="14" customHeight="1">
      <c r="A48" s="125" t="inlineStr">
        <is>
          <t>Insurance (General)</t>
        </is>
      </c>
      <c r="B48" s="296" t="n">
        <v>22</v>
      </c>
      <c r="C48" s="512" t="n">
        <v>0.1298025</v>
      </c>
      <c r="D48" s="512" t="n">
        <v>0.164310729269812</v>
      </c>
      <c r="E48" s="512" t="n">
        <v>0.1744677147246362</v>
      </c>
      <c r="F48" s="512" t="n">
        <v>0.1695480486652734</v>
      </c>
      <c r="G48" s="513" t="n">
        <v>0.6896826641236571</v>
      </c>
      <c r="H48" s="513" t="n">
        <v>0.760364469</v>
      </c>
      <c r="I48" s="512" t="n">
        <v>0.0787237815077</v>
      </c>
      <c r="J48" s="512" t="n">
        <v>0.510071782</v>
      </c>
      <c r="K48" s="512" t="n">
        <v>0.0578</v>
      </c>
      <c r="L48" s="512" t="n">
        <v>0.1478792866297685</v>
      </c>
      <c r="M48" s="512" t="n">
        <v>0.07349273193294403</v>
      </c>
      <c r="N48" s="513" t="n">
        <v>1.164142793909583</v>
      </c>
      <c r="O48" s="513" t="n">
        <v>3.114533941571186</v>
      </c>
      <c r="P48" s="513" t="n">
        <v>13.01760668430547</v>
      </c>
      <c r="Q48" s="513" t="n">
        <v>18.82666484490262</v>
      </c>
      <c r="R48" s="513" t="n">
        <v>3.093612910505429</v>
      </c>
      <c r="S48" s="513" t="n">
        <v>58.24358392</v>
      </c>
      <c r="T48" s="512" t="n">
        <v>-0.1019422118391439</v>
      </c>
      <c r="U48" s="512" t="n">
        <v>0.00754062251864311</v>
      </c>
      <c r="V48" s="512" t="n">
        <v>0.004719125790251846</v>
      </c>
      <c r="W48" s="512" t="n">
        <v>0.2409041169120139</v>
      </c>
      <c r="X48" s="512" t="n">
        <v>0.05625314862883568</v>
      </c>
      <c r="Y48" s="512" t="n">
        <v>0.8352296629100675</v>
      </c>
      <c r="Z48" s="512" t="n">
        <v>0.8352296629100675</v>
      </c>
      <c r="AA48" s="514" t="n">
        <v>0.1649425663895025</v>
      </c>
    </row>
    <row r="49" ht="14" customHeight="1">
      <c r="A49" s="125" t="inlineStr">
        <is>
          <t>Insurance (Life)</t>
        </is>
      </c>
      <c r="B49" s="296" t="n">
        <v>19</v>
      </c>
      <c r="C49" s="512" t="n">
        <v>0.03704733333</v>
      </c>
      <c r="D49" s="512" t="n">
        <v>0.08206657647517031</v>
      </c>
      <c r="E49" s="512" t="n">
        <v>0.06964505786786918</v>
      </c>
      <c r="F49" s="512" t="n">
        <v>0.2127181705509247</v>
      </c>
      <c r="G49" s="513" t="n">
        <v>0.6205348110956823</v>
      </c>
      <c r="H49" s="513" t="n">
        <v>0.731672262</v>
      </c>
      <c r="I49" s="512" t="n">
        <v>0.0774814089446</v>
      </c>
      <c r="J49" s="512" t="n">
        <v>0.343126708</v>
      </c>
      <c r="K49" s="512" t="n">
        <v>0.0553</v>
      </c>
      <c r="L49" s="512" t="n">
        <v>0.3854771760113023</v>
      </c>
      <c r="M49" s="512" t="n">
        <v>0.0636017601063275</v>
      </c>
      <c r="N49" s="513" t="n">
        <v>0.9872542563059108</v>
      </c>
      <c r="O49" s="513" t="n">
        <v>1.237659986841813</v>
      </c>
      <c r="P49" s="513" t="n">
        <v>11.69837615277659</v>
      </c>
      <c r="Q49" s="513" t="n">
        <v>14.39894976741753</v>
      </c>
      <c r="R49" s="513" t="n">
        <v>1.526222154797662</v>
      </c>
      <c r="S49" s="513" t="n">
        <v>46.46403095</v>
      </c>
      <c r="T49" s="512" t="n">
        <v>0.2013400271562588</v>
      </c>
      <c r="U49" s="512" t="n">
        <v>0.001602865652273081</v>
      </c>
      <c r="V49" s="512" t="n">
        <v>-0.01190099163985761</v>
      </c>
      <c r="W49" s="512" t="n">
        <v>-0.01284667258522457</v>
      </c>
      <c r="X49" s="512" t="n">
        <v>0.1188981931959993</v>
      </c>
      <c r="Y49" s="512" t="n">
        <v>0.4155364106535387</v>
      </c>
      <c r="Z49" s="512" t="n">
        <v>0.4155364106535387</v>
      </c>
      <c r="AA49" s="514" t="n">
        <v>0.08251450920702572</v>
      </c>
    </row>
    <row r="50" ht="14" customHeight="1">
      <c r="A50" s="125" t="inlineStr">
        <is>
          <t>Insurance (Prop/Cas.)</t>
        </is>
      </c>
      <c r="B50" s="296" t="n">
        <v>53</v>
      </c>
      <c r="C50" s="512" t="n">
        <v>0.09121866667</v>
      </c>
      <c r="D50" s="512" t="n">
        <v>0.1363171726170812</v>
      </c>
      <c r="E50" s="512" t="n">
        <v>0.2198602718063625</v>
      </c>
      <c r="F50" s="512" t="n">
        <v>0.2031754901697277</v>
      </c>
      <c r="G50" s="513" t="n">
        <v>0.5690197716125752</v>
      </c>
      <c r="H50" s="513" t="n">
        <v>0.605663581</v>
      </c>
      <c r="I50" s="512" t="n">
        <v>0.07202523305729999</v>
      </c>
      <c r="J50" s="512" t="n">
        <v>0.336883546</v>
      </c>
      <c r="K50" s="512" t="n">
        <v>0.0553</v>
      </c>
      <c r="L50" s="512" t="n">
        <v>0.13391402267011</v>
      </c>
      <c r="M50" s="512" t="n">
        <v>0.06793412845508758</v>
      </c>
      <c r="N50" s="513" t="n">
        <v>1.911338989488864</v>
      </c>
      <c r="O50" s="513" t="n">
        <v>1.509214468022072</v>
      </c>
      <c r="P50" s="513" t="n">
        <v>10.21627846952094</v>
      </c>
      <c r="Q50" s="513" t="n">
        <v>10.96394556266785</v>
      </c>
      <c r="R50" s="513" t="n">
        <v>2.332330037266932</v>
      </c>
      <c r="S50" s="513" t="n">
        <v>16.58902576</v>
      </c>
      <c r="T50" s="512" t="n">
        <v>-0.3880505128063036</v>
      </c>
      <c r="U50" s="512" t="n">
        <v>0.00762760479386508</v>
      </c>
      <c r="V50" s="512" t="n">
        <v>0.006145288725294821</v>
      </c>
      <c r="W50" s="512" t="n">
        <v>0.2265529246528915</v>
      </c>
      <c r="X50" s="512" t="n">
        <v>0.226048972778008</v>
      </c>
      <c r="Y50" s="512" t="n">
        <v>0.1687574507700016</v>
      </c>
      <c r="Z50" s="512" t="n">
        <v>0.1687574507700016</v>
      </c>
      <c r="AA50" s="514" t="n">
        <v>0.1370214125405226</v>
      </c>
    </row>
    <row r="51" ht="14" customHeight="1">
      <c r="A51" s="125" t="inlineStr">
        <is>
          <t>Investments &amp; Asset Management</t>
        </is>
      </c>
      <c r="B51" s="296" t="n">
        <v>231</v>
      </c>
      <c r="C51" s="512" t="n">
        <v>0.08365945455</v>
      </c>
      <c r="D51" s="512" t="n">
        <v>0.1448782157009349</v>
      </c>
      <c r="E51" s="512" t="n">
        <v>0.06797686012793668</v>
      </c>
      <c r="F51" s="512" t="n">
        <v>0.1871866203241025</v>
      </c>
      <c r="G51" s="513" t="n">
        <v>0.4993262348269984</v>
      </c>
      <c r="H51" s="513" t="n">
        <v>0.567136155</v>
      </c>
      <c r="I51" s="512" t="n">
        <v>0.0703569955115</v>
      </c>
      <c r="J51" s="512" t="n">
        <v>0.229410333</v>
      </c>
      <c r="K51" s="512" t="n">
        <v>0.0508</v>
      </c>
      <c r="L51" s="512" t="n">
        <v>0.2595015764633286</v>
      </c>
      <c r="M51" s="512" t="n">
        <v>0.06198625432429523</v>
      </c>
      <c r="N51" s="513" t="n">
        <v>0.5165450044947686</v>
      </c>
      <c r="O51" s="513" t="n">
        <v>6.012389746607367</v>
      </c>
      <c r="P51" s="513" t="n">
        <v>41.40436735972429</v>
      </c>
      <c r="Q51" s="513" t="n">
        <v>41.45081431631505</v>
      </c>
      <c r="R51" s="513" t="n">
        <v>2.527812216866575</v>
      </c>
      <c r="S51" s="513" t="n">
        <v>56.09787202</v>
      </c>
      <c r="T51" s="512" t="inlineStr">
        <is>
          <t>NA</t>
        </is>
      </c>
      <c r="U51" s="512" t="n">
        <v>0.02469776070819469</v>
      </c>
      <c r="V51" s="512" t="n">
        <v>0.05499696189131566</v>
      </c>
      <c r="W51" s="512" t="n">
        <v>0.4885829319585689</v>
      </c>
      <c r="X51" s="512" t="n">
        <v>0.1331723218058936</v>
      </c>
      <c r="Y51" s="512" t="n">
        <v>0.5962939888899269</v>
      </c>
      <c r="Z51" s="512" t="n">
        <v>0.5962939888899269</v>
      </c>
      <c r="AA51" s="514" t="n">
        <v>0.1412583534251771</v>
      </c>
    </row>
    <row r="52" ht="14" customHeight="1">
      <c r="A52" s="125" t="inlineStr">
        <is>
          <t>Machinery</t>
        </is>
      </c>
      <c r="B52" s="296" t="n">
        <v>109</v>
      </c>
      <c r="C52" s="512" t="n">
        <v>0.06225102941000001</v>
      </c>
      <c r="D52" s="512" t="n">
        <v>0.1578997061601933</v>
      </c>
      <c r="E52" s="512" t="n">
        <v>0.2475872269593568</v>
      </c>
      <c r="F52" s="512" t="n">
        <v>0.2100948589795112</v>
      </c>
      <c r="G52" s="513" t="n">
        <v>0.9835242099250273</v>
      </c>
      <c r="H52" s="513" t="n">
        <v>1.067242281</v>
      </c>
      <c r="I52" s="512" t="n">
        <v>0.09201159076730001</v>
      </c>
      <c r="J52" s="512" t="n">
        <v>0.460733301</v>
      </c>
      <c r="K52" s="512" t="n">
        <v>0.0578</v>
      </c>
      <c r="L52" s="512" t="n">
        <v>0.1356877846603522</v>
      </c>
      <c r="M52" s="512" t="n">
        <v>0.08540880731803642</v>
      </c>
      <c r="N52" s="513" t="n">
        <v>1.968259813976375</v>
      </c>
      <c r="O52" s="513" t="n">
        <v>3.227904914331217</v>
      </c>
      <c r="P52" s="513" t="n">
        <v>15.35042412817386</v>
      </c>
      <c r="Q52" s="513" t="n">
        <v>20.02292621724961</v>
      </c>
      <c r="R52" s="513" t="n">
        <v>4.273411612510947</v>
      </c>
      <c r="S52" s="513" t="n">
        <v>33.32676744</v>
      </c>
      <c r="T52" s="512" t="n">
        <v>0.2544408663349021</v>
      </c>
      <c r="U52" s="512" t="n">
        <v>0.02385872521610842</v>
      </c>
      <c r="V52" s="512" t="n">
        <v>0.05032307501088092</v>
      </c>
      <c r="W52" s="512" t="n">
        <v>0.3590257767785505</v>
      </c>
      <c r="X52" s="512" t="n">
        <v>0.1656412098641786</v>
      </c>
      <c r="Y52" s="512" t="n">
        <v>0.3423703934299628</v>
      </c>
      <c r="Z52" s="512" t="n">
        <v>0.3423703934299629</v>
      </c>
      <c r="AA52" s="514" t="n">
        <v>0.1598979885510488</v>
      </c>
    </row>
    <row r="53" ht="14" customHeight="1">
      <c r="A53" s="125" t="inlineStr">
        <is>
          <t>Metals &amp; Mining</t>
        </is>
      </c>
      <c r="B53" s="296" t="n">
        <v>64</v>
      </c>
      <c r="C53" s="512" t="n">
        <v>0.01841384615</v>
      </c>
      <c r="D53" s="512" t="n">
        <v>0.226229281999452</v>
      </c>
      <c r="E53" s="512" t="n">
        <v>0.2713191725263958</v>
      </c>
      <c r="F53" s="512" t="n">
        <v>0.3624319632132132</v>
      </c>
      <c r="G53" s="513" t="n">
        <v>0.9615982694311441</v>
      </c>
      <c r="H53" s="513" t="n">
        <v>1.022250551</v>
      </c>
      <c r="I53" s="512" t="n">
        <v>0.0900634488583</v>
      </c>
      <c r="J53" s="512" t="n">
        <v>0.723723464</v>
      </c>
      <c r="K53" s="512" t="n">
        <v>0.0641</v>
      </c>
      <c r="L53" s="512" t="n">
        <v>0.1435430682523116</v>
      </c>
      <c r="M53" s="512" t="n">
        <v>0.08403629807802435</v>
      </c>
      <c r="N53" s="513" t="n">
        <v>1.228615699926365</v>
      </c>
      <c r="O53" s="513" t="n">
        <v>2.886818055495662</v>
      </c>
      <c r="P53" s="513" t="n">
        <v>8.68043322884353</v>
      </c>
      <c r="Q53" s="513" t="n">
        <v>12.27259496024671</v>
      </c>
      <c r="R53" s="513" t="n">
        <v>3.115641105528026</v>
      </c>
      <c r="S53" s="513" t="n">
        <v>74.86384366999999</v>
      </c>
      <c r="T53" s="512" t="n">
        <v>0.1654569528464078</v>
      </c>
      <c r="U53" s="512" t="n">
        <v>0.1337777098545704</v>
      </c>
      <c r="V53" s="512" t="n">
        <v>0.05852663365934226</v>
      </c>
      <c r="W53" s="512" t="n">
        <v>0.5707814590542162</v>
      </c>
      <c r="X53" s="512" t="n">
        <v>0.1250299377719991</v>
      </c>
      <c r="Y53" s="512" t="n">
        <v>0.6906320072824792</v>
      </c>
      <c r="Z53" s="512" t="n">
        <v>0.6906320072824792</v>
      </c>
      <c r="AA53" s="514" t="n">
        <v>0.2264711825378835</v>
      </c>
    </row>
    <row r="54" ht="14" customHeight="1">
      <c r="A54" s="125" t="inlineStr">
        <is>
          <t>Office Equipment &amp; Services</t>
        </is>
      </c>
      <c r="B54" s="296" t="n">
        <v>14</v>
      </c>
      <c r="C54" s="512" t="n">
        <v>0.1414766667</v>
      </c>
      <c r="D54" s="512" t="n">
        <v>0.08166045516693865</v>
      </c>
      <c r="E54" s="512" t="n">
        <v>0.150039466212514</v>
      </c>
      <c r="F54" s="512" t="n">
        <v>0.2164796982031172</v>
      </c>
      <c r="G54" s="513" t="n">
        <v>0.9638143971905709</v>
      </c>
      <c r="H54" s="513" t="n">
        <v>1.200495591</v>
      </c>
      <c r="I54" s="512" t="n">
        <v>0.0977814590903</v>
      </c>
      <c r="J54" s="512" t="n">
        <v>0.498920038</v>
      </c>
      <c r="K54" s="512" t="n">
        <v>0.0578</v>
      </c>
      <c r="L54" s="512" t="n">
        <v>0.3174372014119258</v>
      </c>
      <c r="M54" s="512" t="n">
        <v>0.08050288904790745</v>
      </c>
      <c r="N54" s="513" t="n">
        <v>2.328771486404008</v>
      </c>
      <c r="O54" s="513" t="n">
        <v>1.200034499184051</v>
      </c>
      <c r="P54" s="513" t="n">
        <v>8.76539448895973</v>
      </c>
      <c r="Q54" s="513" t="n">
        <v>14.16206190103895</v>
      </c>
      <c r="R54" s="513" t="n">
        <v>2.856526045893669</v>
      </c>
      <c r="S54" s="513" t="n">
        <v>14.81153835</v>
      </c>
      <c r="T54" s="512" t="n">
        <v>0.06589980373131035</v>
      </c>
      <c r="U54" s="512" t="n">
        <v>0.0216938649494994</v>
      </c>
      <c r="V54" s="512" t="n">
        <v>-0.002225874388038631</v>
      </c>
      <c r="W54" s="512" t="n">
        <v>-0.2215695106611476</v>
      </c>
      <c r="X54" s="512" t="n">
        <v>0.03370770816230284</v>
      </c>
      <c r="Y54" s="512" t="n">
        <v>2.012591978443362</v>
      </c>
      <c r="Z54" s="512" t="n">
        <v>2.012591978443362</v>
      </c>
      <c r="AA54" s="514" t="n">
        <v>0.0847558576280157</v>
      </c>
    </row>
    <row r="55" ht="14" customHeight="1">
      <c r="A55" s="125" t="inlineStr">
        <is>
          <t>Oil/Gas (Integrated)</t>
        </is>
      </c>
      <c r="B55" s="296" t="n">
        <v>4</v>
      </c>
      <c r="C55" s="512" t="n">
        <v>0.00195</v>
      </c>
      <c r="D55" s="512" t="n">
        <v>0.1343403749500574</v>
      </c>
      <c r="E55" s="512" t="n">
        <v>0.1290339991758303</v>
      </c>
      <c r="F55" s="512" t="n">
        <v>0.3025739480739785</v>
      </c>
      <c r="G55" s="513" t="n">
        <v>0.4557799339003978</v>
      </c>
      <c r="H55" s="513" t="n">
        <v>0.483682004</v>
      </c>
      <c r="I55" s="512" t="n">
        <v>0.0667434307732</v>
      </c>
      <c r="J55" s="512" t="n">
        <v>0.255595298</v>
      </c>
      <c r="K55" s="512" t="n">
        <v>0.0508</v>
      </c>
      <c r="L55" s="512" t="n">
        <v>0.1205873167049579</v>
      </c>
      <c r="M55" s="512" t="n">
        <v>0.06328939631503559</v>
      </c>
      <c r="N55" s="513" t="n">
        <v>1.267967460862296</v>
      </c>
      <c r="O55" s="513" t="n">
        <v>1.515708166850626</v>
      </c>
      <c r="P55" s="513" t="n">
        <v>6.695477232545713</v>
      </c>
      <c r="Q55" s="513" t="n">
        <v>11.05501460755642</v>
      </c>
      <c r="R55" s="513" t="n">
        <v>1.663898168548977</v>
      </c>
      <c r="S55" s="513" t="n">
        <v>10.82668985</v>
      </c>
      <c r="T55" s="512" t="n">
        <v>0.03614715534637552</v>
      </c>
      <c r="U55" s="512" t="n">
        <v>0.08382716319151502</v>
      </c>
      <c r="V55" s="512" t="n">
        <v>0.01930391086244483</v>
      </c>
      <c r="W55" s="512" t="n">
        <v>0.2827516366049607</v>
      </c>
      <c r="X55" s="512" t="n">
        <v>0.1420431533134905</v>
      </c>
      <c r="Y55" s="512" t="n">
        <v>0.5237170589950078</v>
      </c>
      <c r="Z55" s="512" t="n">
        <v>0.5237170589950078</v>
      </c>
      <c r="AA55" s="514" t="n">
        <v>0.1371819750813782</v>
      </c>
    </row>
    <row r="56" ht="14" customHeight="1">
      <c r="A56" s="125" t="inlineStr">
        <is>
          <t>Oil/Gas (Production and Exploration)</t>
        </is>
      </c>
      <c r="B56" s="296" t="n">
        <v>147</v>
      </c>
      <c r="C56" s="512" t="n">
        <v>0.05352853333</v>
      </c>
      <c r="D56" s="512" t="n">
        <v>0.2954045788633479</v>
      </c>
      <c r="E56" s="512" t="n">
        <v>0.1861998892526402</v>
      </c>
      <c r="F56" s="512" t="n">
        <v>0.2366374483313731</v>
      </c>
      <c r="G56" s="513" t="n">
        <v>0.7545351031706402</v>
      </c>
      <c r="H56" s="513" t="n">
        <v>0.875929343</v>
      </c>
      <c r="I56" s="512" t="n">
        <v>0.08372774055189999</v>
      </c>
      <c r="J56" s="512" t="n">
        <v>0.476588509</v>
      </c>
      <c r="K56" s="512" t="n">
        <v>0.0578</v>
      </c>
      <c r="L56" s="512" t="n">
        <v>0.2104022426182528</v>
      </c>
      <c r="M56" s="512" t="n">
        <v>0.07523217338792226</v>
      </c>
      <c r="N56" s="513" t="n">
        <v>0.6674241236462098</v>
      </c>
      <c r="O56" s="513" t="n">
        <v>3.077233951149892</v>
      </c>
      <c r="P56" s="513" t="n">
        <v>5.602267266776679</v>
      </c>
      <c r="Q56" s="513" t="n">
        <v>10.13903309806121</v>
      </c>
      <c r="R56" s="513" t="n">
        <v>1.739887982772864</v>
      </c>
      <c r="S56" s="513" t="n">
        <v>19.10246638</v>
      </c>
      <c r="T56" s="512" t="n">
        <v>0.01525015817993553</v>
      </c>
      <c r="U56" s="512" t="n">
        <v>0.3674282534794249</v>
      </c>
      <c r="V56" s="512" t="n">
        <v>0.1794480304617962</v>
      </c>
      <c r="W56" s="512" t="n">
        <v>0.7439264567808016</v>
      </c>
      <c r="X56" s="512" t="n">
        <v>0.1760436280461488</v>
      </c>
      <c r="Y56" s="512" t="n">
        <v>0.3763251022313812</v>
      </c>
      <c r="Z56" s="512" t="n">
        <v>0.3763251022313812</v>
      </c>
      <c r="AA56" s="514" t="n">
        <v>0.3006389033463689</v>
      </c>
    </row>
    <row r="57" ht="14" customHeight="1">
      <c r="A57" s="125" t="inlineStr">
        <is>
          <t>Oil/Gas Distribution</t>
        </is>
      </c>
      <c r="B57" s="296" t="n">
        <v>24</v>
      </c>
      <c r="C57" s="512" t="n">
        <v>0.1987206667</v>
      </c>
      <c r="D57" s="512" t="n">
        <v>0.2806157892822455</v>
      </c>
      <c r="E57" s="512" t="n">
        <v>0.1217613946731548</v>
      </c>
      <c r="F57" s="512" t="n">
        <v>0.1972376331008031</v>
      </c>
      <c r="G57" s="513" t="n">
        <v>0.5507758746918867</v>
      </c>
      <c r="H57" s="513" t="n">
        <v>0.754707504</v>
      </c>
      <c r="I57" s="512" t="n">
        <v>0.0784788349232</v>
      </c>
      <c r="J57" s="512" t="n">
        <v>0.381741501</v>
      </c>
      <c r="K57" s="512" t="n">
        <v>0.0553</v>
      </c>
      <c r="L57" s="512" t="n">
        <v>0.3401007614865949</v>
      </c>
      <c r="M57" s="512" t="n">
        <v>0.06589380248789542</v>
      </c>
      <c r="N57" s="513" t="n">
        <v>0.4889953090015505</v>
      </c>
      <c r="O57" s="513" t="n">
        <v>4.981084711853547</v>
      </c>
      <c r="P57" s="513" t="n">
        <v>12.16414247881213</v>
      </c>
      <c r="Q57" s="513" t="n">
        <v>17.29980936773354</v>
      </c>
      <c r="R57" s="513" t="n">
        <v>3.211874642531892</v>
      </c>
      <c r="S57" s="513" t="n">
        <v>27.81791682</v>
      </c>
      <c r="T57" s="512" t="n">
        <v>0.02868263015219864</v>
      </c>
      <c r="U57" s="512" t="n">
        <v>0.2284882500798782</v>
      </c>
      <c r="V57" s="512" t="n">
        <v>0.1540310535156017</v>
      </c>
      <c r="W57" s="512" t="n">
        <v>0.6475402626218359</v>
      </c>
      <c r="X57" s="512" t="n">
        <v>0.1974651283929793</v>
      </c>
      <c r="Y57" s="512" t="n">
        <v>0.6072511720282857</v>
      </c>
      <c r="Z57" s="512" t="n">
        <v>0.6072511720282857</v>
      </c>
      <c r="AA57" s="514" t="n">
        <v>0.2845553222334854</v>
      </c>
    </row>
    <row r="58" ht="14" customHeight="1">
      <c r="A58" s="125" t="inlineStr">
        <is>
          <t>Oilfield Svcs/Equip.</t>
        </is>
      </c>
      <c r="B58" s="296" t="n">
        <v>97</v>
      </c>
      <c r="C58" s="512" t="n">
        <v>0.05246584615</v>
      </c>
      <c r="D58" s="512" t="n">
        <v>0.04992682091832309</v>
      </c>
      <c r="E58" s="512" t="n">
        <v>0.1436713162033353</v>
      </c>
      <c r="F58" s="512" t="n">
        <v>0.197634259333344</v>
      </c>
      <c r="G58" s="513" t="n">
        <v>0.7777793295038246</v>
      </c>
      <c r="H58" s="513" t="n">
        <v>0.937600524</v>
      </c>
      <c r="I58" s="512" t="n">
        <v>0.08639810268920001</v>
      </c>
      <c r="J58" s="512" t="n">
        <v>0.494883871</v>
      </c>
      <c r="K58" s="512" t="n">
        <v>0.0578</v>
      </c>
      <c r="L58" s="512" t="n">
        <v>0.2781005347382681</v>
      </c>
      <c r="M58" s="512" t="n">
        <v>0.07442640231186561</v>
      </c>
      <c r="N58" s="513" t="n">
        <v>3.131938639340938</v>
      </c>
      <c r="O58" s="513" t="n">
        <v>0.607283601699653</v>
      </c>
      <c r="P58" s="513" t="n">
        <v>7.350017313645032</v>
      </c>
      <c r="Q58" s="513" t="n">
        <v>11.6967200492003</v>
      </c>
      <c r="R58" s="513" t="n">
        <v>1.746242976710617</v>
      </c>
      <c r="S58" s="513" t="n">
        <v>29.32508777</v>
      </c>
      <c r="T58" s="512" t="n">
        <v>0.0750729312075754</v>
      </c>
      <c r="U58" s="512" t="n">
        <v>0.0238504668214339</v>
      </c>
      <c r="V58" s="512" t="n">
        <v>0.002021968037501474</v>
      </c>
      <c r="W58" s="512" t="n">
        <v>-0.01485777502880382</v>
      </c>
      <c r="X58" s="512" t="n">
        <v>0.1326556225567935</v>
      </c>
      <c r="Y58" s="512" t="n">
        <v>0.3872444431193258</v>
      </c>
      <c r="Z58" s="512" t="n">
        <v>0.3872444431193258</v>
      </c>
      <c r="AA58" s="514" t="n">
        <v>0.05185005944104041</v>
      </c>
    </row>
    <row r="59" ht="14" customHeight="1">
      <c r="A59" s="125" t="inlineStr">
        <is>
          <t>Packaging &amp; Container</t>
        </is>
      </c>
      <c r="B59" s="296" t="n">
        <v>22</v>
      </c>
      <c r="C59" s="512" t="n">
        <v>0.04022166667</v>
      </c>
      <c r="D59" s="512" t="n">
        <v>0.09790343714371146</v>
      </c>
      <c r="E59" s="512" t="n">
        <v>0.1448648603120951</v>
      </c>
      <c r="F59" s="512" t="n">
        <v>0.2139999129181778</v>
      </c>
      <c r="G59" s="513" t="n">
        <v>0.7383541924466364</v>
      </c>
      <c r="H59" s="513" t="n">
        <v>0.97636341</v>
      </c>
      <c r="I59" s="512" t="n">
        <v>0.088076535653</v>
      </c>
      <c r="J59" s="512" t="n">
        <v>0.339754281</v>
      </c>
      <c r="K59" s="512" t="n">
        <v>0.0553</v>
      </c>
      <c r="L59" s="512" t="n">
        <v>0.3460358130070013</v>
      </c>
      <c r="M59" s="512" t="n">
        <v>0.07195073537593938</v>
      </c>
      <c r="N59" s="513" t="n">
        <v>1.743513498704807</v>
      </c>
      <c r="O59" s="513" t="n">
        <v>1.540926439760242</v>
      </c>
      <c r="P59" s="513" t="n">
        <v>9.457927000705379</v>
      </c>
      <c r="Q59" s="513" t="n">
        <v>15.42879414513469</v>
      </c>
      <c r="R59" s="513" t="n">
        <v>2.849047681033775</v>
      </c>
      <c r="S59" s="513" t="n">
        <v>26.09845032</v>
      </c>
      <c r="T59" s="512" t="n">
        <v>0.1024873488445211</v>
      </c>
      <c r="U59" s="512" t="n">
        <v>0.05627402504057689</v>
      </c>
      <c r="V59" s="512" t="n">
        <v>0.0162038673437719</v>
      </c>
      <c r="W59" s="512" t="n">
        <v>0.1412757105048875</v>
      </c>
      <c r="X59" s="512" t="n">
        <v>0.2075728774261608</v>
      </c>
      <c r="Y59" s="512" t="n">
        <v>0.3234878828714214</v>
      </c>
      <c r="Z59" s="512" t="n">
        <v>0.3234878828714214</v>
      </c>
      <c r="AA59" s="514" t="n">
        <v>0.09978523098639712</v>
      </c>
    </row>
    <row r="60" ht="14" customHeight="1">
      <c r="A60" s="125" t="inlineStr">
        <is>
          <t>Paper/Forest Products</t>
        </is>
      </c>
      <c r="B60" s="296" t="n">
        <v>6</v>
      </c>
      <c r="C60" s="512" t="n">
        <v>0.04535</v>
      </c>
      <c r="D60" s="512" t="n">
        <v>0.1013194375457197</v>
      </c>
      <c r="E60" s="512" t="n">
        <v>0.1941947991404081</v>
      </c>
      <c r="F60" s="512" t="n">
        <v>0.2559991616891963</v>
      </c>
      <c r="G60" s="513" t="n">
        <v>0.9588822117328989</v>
      </c>
      <c r="H60" s="513" t="n">
        <v>1.07174103</v>
      </c>
      <c r="I60" s="512" t="n">
        <v>0.092206386599</v>
      </c>
      <c r="J60" s="512" t="n">
        <v>0.606574576</v>
      </c>
      <c r="K60" s="512" t="n">
        <v>0.0578</v>
      </c>
      <c r="L60" s="512" t="n">
        <v>0.1841132985197028</v>
      </c>
      <c r="M60" s="512" t="n">
        <v>0.0832112761085043</v>
      </c>
      <c r="N60" s="513" t="n">
        <v>2.474249268999992</v>
      </c>
      <c r="O60" s="513" t="n">
        <v>1.232695540463655</v>
      </c>
      <c r="P60" s="513" t="n">
        <v>7.873352437265647</v>
      </c>
      <c r="Q60" s="513" t="n">
        <v>11.95608766445017</v>
      </c>
      <c r="R60" s="513" t="n">
        <v>3.565325621251072</v>
      </c>
      <c r="S60" s="513" t="n">
        <v>23.33602332</v>
      </c>
      <c r="T60" s="512" t="n">
        <v>0.0816046383512901</v>
      </c>
      <c r="U60" s="512" t="n">
        <v>0.05326517895041046</v>
      </c>
      <c r="V60" s="512" t="n">
        <v>0.07868760667937034</v>
      </c>
      <c r="W60" s="512" t="n">
        <v>0.8213447510412241</v>
      </c>
      <c r="X60" s="512" t="n">
        <v>0.2420224342876277</v>
      </c>
      <c r="Y60" s="512" t="n">
        <v>0.1950747094631987</v>
      </c>
      <c r="Z60" s="512" t="n">
        <v>0.1950747094631987</v>
      </c>
      <c r="AA60" s="514" t="n">
        <v>0.1033106692916941</v>
      </c>
    </row>
    <row r="61" ht="14" customHeight="1">
      <c r="A61" s="125" t="inlineStr">
        <is>
          <t>Power</t>
        </is>
      </c>
      <c r="B61" s="296" t="n">
        <v>48</v>
      </c>
      <c r="C61" s="512" t="n">
        <v>0.05061857143</v>
      </c>
      <c r="D61" s="512" t="n">
        <v>0.1975118299175661</v>
      </c>
      <c r="E61" s="512" t="n">
        <v>0.06564911548274062</v>
      </c>
      <c r="F61" s="512" t="n">
        <v>0.1325813112956498</v>
      </c>
      <c r="G61" s="513" t="n">
        <v>0.3427138343438257</v>
      </c>
      <c r="H61" s="513" t="n">
        <v>0.542348627</v>
      </c>
      <c r="I61" s="512" t="n">
        <v>0.06928369554909999</v>
      </c>
      <c r="J61" s="512" t="n">
        <v>0.273142734</v>
      </c>
      <c r="K61" s="512" t="n">
        <v>0.0508</v>
      </c>
      <c r="L61" s="512" t="n">
        <v>0.4454796177988055</v>
      </c>
      <c r="M61" s="512" t="n">
        <v>0.05539199477433261</v>
      </c>
      <c r="N61" s="513" t="n">
        <v>0.3801204647508593</v>
      </c>
      <c r="O61" s="513" t="n">
        <v>4.325013095388234</v>
      </c>
      <c r="P61" s="513" t="n">
        <v>11.87330659231416</v>
      </c>
      <c r="Q61" s="513" t="n">
        <v>21.8901597501972</v>
      </c>
      <c r="R61" s="513" t="n">
        <v>2.073412973548015</v>
      </c>
      <c r="S61" s="513" t="n">
        <v>23.26783271</v>
      </c>
      <c r="T61" s="512" t="n">
        <v>0.08032609640709555</v>
      </c>
      <c r="U61" s="512" t="n">
        <v>0.3649187842429746</v>
      </c>
      <c r="V61" s="512" t="n">
        <v>0.2357328538153427</v>
      </c>
      <c r="W61" s="512" t="n">
        <v>1.429602507657313</v>
      </c>
      <c r="X61" s="512" t="n">
        <v>0.1113019326034709</v>
      </c>
      <c r="Y61" s="512" t="n">
        <v>0.554637751117826</v>
      </c>
      <c r="Z61" s="512" t="n">
        <v>0.554637751117826</v>
      </c>
      <c r="AA61" s="514" t="n">
        <v>0.1967316783998681</v>
      </c>
    </row>
    <row r="62" ht="14" customHeight="1">
      <c r="A62" s="125" t="inlineStr">
        <is>
          <t>Precious Metals</t>
        </is>
      </c>
      <c r="B62" s="296" t="n">
        <v>60</v>
      </c>
      <c r="C62" s="512" t="n">
        <v>0.0447</v>
      </c>
      <c r="D62" s="512" t="n">
        <v>0.1882918359357983</v>
      </c>
      <c r="E62" s="512" t="n">
        <v>0.1292686842301033</v>
      </c>
      <c r="F62" s="512" t="n">
        <v>0.4290331303194571</v>
      </c>
      <c r="G62" s="513" t="n">
        <v>1.145218312875049</v>
      </c>
      <c r="H62" s="513" t="n">
        <v>1.228314776</v>
      </c>
      <c r="I62" s="512" t="n">
        <v>0.0989860298008</v>
      </c>
      <c r="J62" s="512" t="n">
        <v>0.7097195160000001</v>
      </c>
      <c r="K62" s="512" t="n">
        <v>0.0641</v>
      </c>
      <c r="L62" s="512" t="n">
        <v>0.1589499461694803</v>
      </c>
      <c r="M62" s="512" t="n">
        <v>0.09089372435453003</v>
      </c>
      <c r="N62" s="513" t="n">
        <v>0.7092830047628302</v>
      </c>
      <c r="O62" s="513" t="n">
        <v>3.061824042699739</v>
      </c>
      <c r="P62" s="513" t="n">
        <v>8.167722151394198</v>
      </c>
      <c r="Q62" s="513" t="n">
        <v>15.62735829234356</v>
      </c>
      <c r="R62" s="513" t="n">
        <v>1.610791755695212</v>
      </c>
      <c r="S62" s="513" t="n">
        <v>28.22042495</v>
      </c>
      <c r="T62" s="512" t="n">
        <v>0.201378484308873</v>
      </c>
      <c r="U62" s="512" t="n">
        <v>0.2015078199271481</v>
      </c>
      <c r="V62" s="512" t="n">
        <v>0.03020870311269593</v>
      </c>
      <c r="W62" s="512" t="n">
        <v>0.588083549381841</v>
      </c>
      <c r="X62" s="512" t="n">
        <v>-0.03815832614932794</v>
      </c>
      <c r="Y62" s="512" t="n">
        <v>0.01532136664</v>
      </c>
      <c r="Z62" s="512" t="n">
        <v>0.01532136664000006</v>
      </c>
      <c r="AA62" s="514" t="n">
        <v>0.1892461722454018</v>
      </c>
    </row>
    <row r="63" ht="14" customHeight="1">
      <c r="A63" s="125" t="inlineStr">
        <is>
          <t>Publishing &amp; Newspapers</t>
        </is>
      </c>
      <c r="B63" s="296" t="n">
        <v>19</v>
      </c>
      <c r="C63" s="512" t="n">
        <v>0.01501333333</v>
      </c>
      <c r="D63" s="512" t="n">
        <v>0.08301568593211756</v>
      </c>
      <c r="E63" s="512" t="n">
        <v>0.1552961377637374</v>
      </c>
      <c r="F63" s="512" t="n">
        <v>0.3213179386088426</v>
      </c>
      <c r="G63" s="513" t="n">
        <v>0.5573432866995673</v>
      </c>
      <c r="H63" s="513" t="n">
        <v>0.637353091</v>
      </c>
      <c r="I63" s="512" t="n">
        <v>0.0733973888403</v>
      </c>
      <c r="J63" s="512" t="n">
        <v>0.410004918</v>
      </c>
      <c r="K63" s="512" t="n">
        <v>0.0553</v>
      </c>
      <c r="L63" s="512" t="n">
        <v>0.2229684838265476</v>
      </c>
      <c r="M63" s="512" t="n">
        <v>0.06627970220045681</v>
      </c>
      <c r="N63" s="513" t="n">
        <v>2.255407584450082</v>
      </c>
      <c r="O63" s="513" t="n">
        <v>1.592671715961845</v>
      </c>
      <c r="P63" s="513" t="n">
        <v>11.09323355325582</v>
      </c>
      <c r="Q63" s="513" t="n">
        <v>19.22025789957895</v>
      </c>
      <c r="R63" s="513" t="n">
        <v>2.25767800886576</v>
      </c>
      <c r="S63" s="513" t="n">
        <v>25.08409747</v>
      </c>
      <c r="T63" s="512" t="n">
        <v>0.1088057445766961</v>
      </c>
      <c r="U63" s="512" t="n">
        <v>0.03492547064851126</v>
      </c>
      <c r="V63" s="512" t="n">
        <v>-0.006387449132107217</v>
      </c>
      <c r="W63" s="512" t="n">
        <v>-0.03233708585488725</v>
      </c>
      <c r="X63" s="512" t="n">
        <v>0.04185346761608186</v>
      </c>
      <c r="Y63" s="512" t="n">
        <v>0.7275574237232688</v>
      </c>
      <c r="Z63" s="512" t="n">
        <v>0.7275574237232688</v>
      </c>
      <c r="AA63" s="514" t="n">
        <v>0.08282770856475201</v>
      </c>
    </row>
    <row r="64" ht="14" customHeight="1">
      <c r="A64" s="125" t="inlineStr">
        <is>
          <t>R.E.I.T.</t>
        </is>
      </c>
      <c r="B64" s="296" t="n">
        <v>192</v>
      </c>
      <c r="C64" s="512" t="n">
        <v>0.07056878788</v>
      </c>
      <c r="D64" s="512" t="n">
        <v>0.2448459776072924</v>
      </c>
      <c r="E64" s="512" t="n">
        <v>0.03094307526337007</v>
      </c>
      <c r="F64" s="512" t="n">
        <v>0.03502494522018959</v>
      </c>
      <c r="G64" s="513" t="n">
        <v>0.5944283083931003</v>
      </c>
      <c r="H64" s="513" t="n">
        <v>0.947227237</v>
      </c>
      <c r="I64" s="512" t="n">
        <v>0.0868149393621</v>
      </c>
      <c r="J64" s="512" t="n">
        <v>0.320770821</v>
      </c>
      <c r="K64" s="512" t="n">
        <v>0.0553</v>
      </c>
      <c r="L64" s="512" t="n">
        <v>0.455002206164382</v>
      </c>
      <c r="M64" s="512" t="n">
        <v>0.06618516692498519</v>
      </c>
      <c r="N64" s="513" t="n">
        <v>0.141753599058673</v>
      </c>
      <c r="O64" s="513" t="n">
        <v>10.83076539241157</v>
      </c>
      <c r="P64" s="513" t="n">
        <v>20.33178362353982</v>
      </c>
      <c r="Q64" s="513" t="n">
        <v>43.92180303887089</v>
      </c>
      <c r="R64" s="513" t="n">
        <v>2.005629185642519</v>
      </c>
      <c r="S64" s="513" t="n">
        <v>51.7842795</v>
      </c>
      <c r="T64" s="512" t="n">
        <v>1.293852271150252</v>
      </c>
      <c r="U64" s="512" t="n">
        <v>0.02969686721708888</v>
      </c>
      <c r="V64" s="512" t="n">
        <v>-0.1419871505001785</v>
      </c>
      <c r="W64" s="512" t="n">
        <v>-0.6581426158989507</v>
      </c>
      <c r="X64" s="512" t="n">
        <v>0.04734017032420269</v>
      </c>
      <c r="Y64" s="512" t="n">
        <v>2.03798541808363</v>
      </c>
      <c r="Z64" s="512" t="n">
        <v>2.03798541808363</v>
      </c>
      <c r="AA64" s="514" t="n">
        <v>0.222290310724731</v>
      </c>
    </row>
    <row r="65" ht="14" customHeight="1">
      <c r="A65" s="125" t="inlineStr">
        <is>
          <t>Real Estate (Development)</t>
        </is>
      </c>
      <c r="B65" s="296" t="n">
        <v>15</v>
      </c>
      <c r="C65" s="512" t="n">
        <v>0.151</v>
      </c>
      <c r="D65" s="512" t="n">
        <v>0.1474190979219864</v>
      </c>
      <c r="E65" s="512" t="n">
        <v>0.03734709120429483</v>
      </c>
      <c r="F65" s="512" t="n">
        <v>0.1826940517471326</v>
      </c>
      <c r="G65" s="513" t="n">
        <v>0.6150110038893978</v>
      </c>
      <c r="H65" s="513" t="n">
        <v>1.02618833</v>
      </c>
      <c r="I65" s="512" t="n">
        <v>0.090233954689</v>
      </c>
      <c r="J65" s="512" t="n">
        <v>0.49682192</v>
      </c>
      <c r="K65" s="512" t="n">
        <v>0.0578</v>
      </c>
      <c r="L65" s="512" t="n">
        <v>0.5208652046108243</v>
      </c>
      <c r="M65" s="512" t="n">
        <v>0.0658137340369494</v>
      </c>
      <c r="N65" s="513" t="n">
        <v>0.2840510194007421</v>
      </c>
      <c r="O65" s="513" t="n">
        <v>3.958248083561817</v>
      </c>
      <c r="P65" s="513" t="n">
        <v>14.93537000508776</v>
      </c>
      <c r="Q65" s="513" t="n">
        <v>27.38481627718771</v>
      </c>
      <c r="R65" s="513" t="n">
        <v>1.141215822422533</v>
      </c>
      <c r="S65" s="513" t="n">
        <v>40.49470653</v>
      </c>
      <c r="T65" s="512" t="n">
        <v>0.03024730057338432</v>
      </c>
      <c r="U65" s="512" t="n">
        <v>0.02096747503719868</v>
      </c>
      <c r="V65" s="512" t="n">
        <v>-0.06168253720540396</v>
      </c>
      <c r="W65" s="512" t="n">
        <v>-1.060386695856392</v>
      </c>
      <c r="X65" s="512" t="n">
        <v>0.06342371782701332</v>
      </c>
      <c r="Y65" s="512" t="n">
        <v>0.0006501046214879232</v>
      </c>
      <c r="Z65" s="512" t="n">
        <v>0.0006501046214879569</v>
      </c>
      <c r="AA65" s="514" t="n">
        <v>0.1348415592636142</v>
      </c>
    </row>
    <row r="66" ht="14" customHeight="1">
      <c r="A66" s="125" t="inlineStr">
        <is>
          <t>Real Estate (General/Diversified)</t>
        </is>
      </c>
      <c r="B66" s="296" t="n">
        <v>11</v>
      </c>
      <c r="C66" s="512" t="n">
        <v>0.143496</v>
      </c>
      <c r="D66" s="512" t="n">
        <v>0.11065093708166</v>
      </c>
      <c r="E66" s="512" t="n">
        <v>0.03973051125363468</v>
      </c>
      <c r="F66" s="512" t="n">
        <v>0.1428042836304123</v>
      </c>
      <c r="G66" s="513" t="n">
        <v>0.7367049503976224</v>
      </c>
      <c r="H66" s="513" t="n">
        <v>0.864194343</v>
      </c>
      <c r="I66" s="512" t="n">
        <v>0.08321961505189999</v>
      </c>
      <c r="J66" s="512" t="n">
        <v>0.26527845</v>
      </c>
      <c r="K66" s="512" t="n">
        <v>0.0508</v>
      </c>
      <c r="L66" s="512" t="n">
        <v>0.2954722215526159</v>
      </c>
      <c r="M66" s="512" t="n">
        <v>0.06988802215691625</v>
      </c>
      <c r="N66" s="513" t="n">
        <v>0.3737527636213412</v>
      </c>
      <c r="O66" s="513" t="n">
        <v>4.097515446787149</v>
      </c>
      <c r="P66" s="513" t="n">
        <v>14.22459045566126</v>
      </c>
      <c r="Q66" s="513" t="n">
        <v>31.13645333595514</v>
      </c>
      <c r="R66" s="513" t="n">
        <v>0.9479464548396587</v>
      </c>
      <c r="S66" s="513" t="n">
        <v>17.88432292</v>
      </c>
      <c r="T66" s="512" t="n">
        <v>2.119717202141901</v>
      </c>
      <c r="U66" s="512" t="n">
        <v>0.02162399598393574</v>
      </c>
      <c r="V66" s="512" t="n">
        <v>0.01334839357429718</v>
      </c>
      <c r="W66" s="512" t="n">
        <v>1.082110615231936</v>
      </c>
      <c r="X66" s="512" t="n">
        <v>0.04313063815569663</v>
      </c>
      <c r="Y66" s="512" t="n">
        <v>0.5577504066930049</v>
      </c>
      <c r="Z66" s="512" t="n">
        <v>0.5577504066930049</v>
      </c>
      <c r="AA66" s="514" t="n">
        <v>0.1124236174698795</v>
      </c>
    </row>
    <row r="67" ht="14" customHeight="1">
      <c r="A67" s="125" t="inlineStr">
        <is>
          <t>Real Estate (Operations &amp; Services)</t>
        </is>
      </c>
      <c r="B67" s="296" t="n">
        <v>60</v>
      </c>
      <c r="C67" s="512" t="n">
        <v>0.04531115384999999</v>
      </c>
      <c r="D67" s="512" t="n">
        <v>0.01393407366548548</v>
      </c>
      <c r="E67" s="512" t="n">
        <v>0.02876312452545586</v>
      </c>
      <c r="F67" s="512" t="n">
        <v>0.1881922772876646</v>
      </c>
      <c r="G67" s="513" t="n">
        <v>0.9516898093790228</v>
      </c>
      <c r="H67" s="513" t="n">
        <v>1.075216812</v>
      </c>
      <c r="I67" s="512" t="n">
        <v>0.09235688795960001</v>
      </c>
      <c r="J67" s="512" t="n">
        <v>0.565339353</v>
      </c>
      <c r="K67" s="512" t="n">
        <v>0.0578</v>
      </c>
      <c r="L67" s="512" t="n">
        <v>0.223516479710678</v>
      </c>
      <c r="M67" s="512" t="n">
        <v>0.0814030408812946</v>
      </c>
      <c r="N67" s="513" t="n">
        <v>2.3061889572841</v>
      </c>
      <c r="O67" s="513" t="n">
        <v>1.530746296367381</v>
      </c>
      <c r="P67" s="513" t="n">
        <v>20.83373386825052</v>
      </c>
      <c r="Q67" s="513" t="n">
        <v>90.18798277082739</v>
      </c>
      <c r="R67" s="513" t="n">
        <v>2.849376007949148</v>
      </c>
      <c r="S67" s="513" t="n">
        <v>63.94075126</v>
      </c>
      <c r="T67" s="512" t="n">
        <v>0.1236608231291838</v>
      </c>
      <c r="U67" s="512" t="n">
        <v>0.01627539293885293</v>
      </c>
      <c r="V67" s="512" t="n">
        <v>0.01832003950027317</v>
      </c>
      <c r="W67" s="512" t="n">
        <v>3.642985602104445</v>
      </c>
      <c r="X67" s="512" t="n">
        <v>-0.01905926688079955</v>
      </c>
      <c r="Y67" s="512" t="n">
        <v>0.03039534048</v>
      </c>
      <c r="Z67" s="512" t="n">
        <v>0.03039534048000003</v>
      </c>
      <c r="AA67" s="514" t="n">
        <v>0.01460800848276078</v>
      </c>
    </row>
    <row r="68" ht="14" customHeight="1">
      <c r="A68" s="125" t="inlineStr">
        <is>
          <t>Recreation</t>
        </is>
      </c>
      <c r="B68" s="296" t="n">
        <v>50</v>
      </c>
      <c r="C68" s="512" t="n">
        <v>0.08771379310000001</v>
      </c>
      <c r="D68" s="512" t="n">
        <v>0.0903615757144022</v>
      </c>
      <c r="E68" s="512" t="n">
        <v>0.07946131550975259</v>
      </c>
      <c r="F68" s="512" t="n">
        <v>0.2198994417229918</v>
      </c>
      <c r="G68" s="513" t="n">
        <v>0.9335936700245824</v>
      </c>
      <c r="H68" s="513" t="n">
        <v>1.327897225</v>
      </c>
      <c r="I68" s="512" t="n">
        <v>0.1032979498425</v>
      </c>
      <c r="J68" s="512" t="n">
        <v>0.53062303</v>
      </c>
      <c r="K68" s="512" t="n">
        <v>0.0578</v>
      </c>
      <c r="L68" s="512" t="n">
        <v>0.3943031040564273</v>
      </c>
      <c r="M68" s="512" t="n">
        <v>0.07966028713778324</v>
      </c>
      <c r="N68" s="513" t="n">
        <v>1.293679154403314</v>
      </c>
      <c r="O68" s="513" t="n">
        <v>1.989458344202938</v>
      </c>
      <c r="P68" s="513" t="n">
        <v>10.66869826505163</v>
      </c>
      <c r="Q68" s="513" t="n">
        <v>25.20124583014257</v>
      </c>
      <c r="R68" s="513" t="n">
        <v>3.09853575614356</v>
      </c>
      <c r="S68" s="513" t="n">
        <v>33.91159809</v>
      </c>
      <c r="T68" s="512" t="n">
        <v>0.1698698789158377</v>
      </c>
      <c r="U68" s="512" t="n">
        <v>0.06780151813226594</v>
      </c>
      <c r="V68" s="512" t="n">
        <v>0.02392416681169279</v>
      </c>
      <c r="W68" s="512" t="n">
        <v>0.1485208553570135</v>
      </c>
      <c r="X68" s="512" t="n">
        <v>0.01748785528472239</v>
      </c>
      <c r="Y68" s="512" t="n">
        <v>3.289585471858825</v>
      </c>
      <c r="Z68" s="512" t="n">
        <v>3.289585471858825</v>
      </c>
      <c r="AA68" s="514" t="n">
        <v>0.07396940064734013</v>
      </c>
    </row>
    <row r="69" ht="14" customHeight="1">
      <c r="A69" s="125" t="inlineStr">
        <is>
          <t>Reinsurance</t>
        </is>
      </c>
      <c r="B69" s="296" t="n">
        <v>1</v>
      </c>
      <c r="C69" s="512" t="n">
        <v>0.09660000000000001</v>
      </c>
      <c r="D69" s="512" t="n">
        <v>0.05513646962007955</v>
      </c>
      <c r="E69" s="512" t="n">
        <v>0.09890324421774312</v>
      </c>
      <c r="F69" s="512" t="n">
        <v>0.2013057671381937</v>
      </c>
      <c r="G69" s="513" t="n">
        <v>0.5778829574543252</v>
      </c>
      <c r="H69" s="513" t="n">
        <v>0.537329871</v>
      </c>
      <c r="I69" s="512" t="n">
        <v>0.06906638341429999</v>
      </c>
      <c r="J69" s="512" t="n">
        <v>0.198658127</v>
      </c>
      <c r="K69" s="512" t="n">
        <v>0.0508</v>
      </c>
      <c r="L69" s="512" t="n">
        <v>0.2678036348779579</v>
      </c>
      <c r="M69" s="512" t="n">
        <v>0.06077347337692594</v>
      </c>
      <c r="N69" s="513" t="n">
        <v>2.238247886300918</v>
      </c>
      <c r="O69" s="513" t="n">
        <v>0.6410632300096009</v>
      </c>
      <c r="P69" s="513" t="n">
        <v>11.04701491373198</v>
      </c>
      <c r="Q69" s="513" t="n">
        <v>11.58721489809192</v>
      </c>
      <c r="R69" s="513" t="n">
        <v>1.254399572078096</v>
      </c>
      <c r="S69" s="513" t="n">
        <v>19.35433287</v>
      </c>
      <c r="T69" s="512" t="n">
        <v>0.04110090065377406</v>
      </c>
      <c r="U69" s="512" t="n">
        <v>0</v>
      </c>
      <c r="V69" s="512" t="n">
        <v>-0.001979609564303022</v>
      </c>
      <c r="W69" s="512" t="n">
        <v>0.5108018008533212</v>
      </c>
      <c r="X69" s="512" t="n">
        <v>0.09016495101079003</v>
      </c>
      <c r="Y69" s="512" t="n">
        <v>0.312242090784044</v>
      </c>
      <c r="Z69" s="512" t="n">
        <v>0.312242090784044</v>
      </c>
      <c r="AA69" s="514" t="n">
        <v>0.05532504882732135</v>
      </c>
    </row>
    <row r="70" ht="14" customHeight="1">
      <c r="A70" s="125" t="inlineStr">
        <is>
          <t>Restaurant/Dining</t>
        </is>
      </c>
      <c r="B70" s="296" t="n">
        <v>62</v>
      </c>
      <c r="C70" s="512" t="n">
        <v>0.08597307691999999</v>
      </c>
      <c r="D70" s="512" t="n">
        <v>0.1596025460287787</v>
      </c>
      <c r="E70" s="512" t="n">
        <v>0.2039489220479608</v>
      </c>
      <c r="F70" s="512" t="n">
        <v>0.2046530410941309</v>
      </c>
      <c r="G70" s="513" t="n">
        <v>0.8749739210888298</v>
      </c>
      <c r="H70" s="513" t="n">
        <v>1.009040065</v>
      </c>
      <c r="I70" s="512" t="n">
        <v>0.0894914348145</v>
      </c>
      <c r="J70" s="512" t="n">
        <v>0.415043245</v>
      </c>
      <c r="K70" s="512" t="n">
        <v>0.0553</v>
      </c>
      <c r="L70" s="512" t="n">
        <v>0.1878937262801449</v>
      </c>
      <c r="M70" s="512" t="n">
        <v>0.08046944795451591</v>
      </c>
      <c r="N70" s="513" t="n">
        <v>1.655671489755043</v>
      </c>
      <c r="O70" s="513" t="n">
        <v>4.469184534191943</v>
      </c>
      <c r="P70" s="513" t="n">
        <v>18.66767681519781</v>
      </c>
      <c r="Q70" s="513" t="n">
        <v>32.10677664883862</v>
      </c>
      <c r="R70" s="513" t="inlineStr">
        <is>
          <t>NA</t>
        </is>
      </c>
      <c r="S70" s="513" t="n">
        <v>56.60443767</v>
      </c>
      <c r="T70" s="512" t="n">
        <v>-0.00394809126743371</v>
      </c>
      <c r="U70" s="512" t="n">
        <v>0.06274623878463635</v>
      </c>
      <c r="V70" s="512" t="n">
        <v>0.04146306550972133</v>
      </c>
      <c r="W70" s="512" t="n">
        <v>0.387192687801366</v>
      </c>
      <c r="X70" s="512" t="inlineStr">
        <is>
          <t>NA</t>
        </is>
      </c>
      <c r="Y70" s="512" t="n">
        <v>0.5512272884125671</v>
      </c>
      <c r="Z70" s="512" t="n">
        <v>0.5512272884125671</v>
      </c>
      <c r="AA70" s="514" t="n">
        <v>0.1395927072691578</v>
      </c>
    </row>
    <row r="71" ht="14" customHeight="1">
      <c r="A71" s="125" t="inlineStr">
        <is>
          <t>Retail (Automotive)</t>
        </is>
      </c>
      <c r="B71" s="296" t="n">
        <v>29</v>
      </c>
      <c r="C71" s="512" t="n">
        <v>0.103217619</v>
      </c>
      <c r="D71" s="512" t="n">
        <v>0.06013251795404904</v>
      </c>
      <c r="E71" s="512" t="n">
        <v>0.1211501042760681</v>
      </c>
      <c r="F71" s="512" t="n">
        <v>0.2257835935470156</v>
      </c>
      <c r="G71" s="513" t="n">
        <v>0.9917642043796703</v>
      </c>
      <c r="H71" s="513" t="n">
        <v>1.353074414</v>
      </c>
      <c r="I71" s="512" t="n">
        <v>0.1043881221262</v>
      </c>
      <c r="J71" s="512" t="n">
        <v>0.473945116</v>
      </c>
      <c r="K71" s="512" t="n">
        <v>0.0578</v>
      </c>
      <c r="L71" s="512" t="n">
        <v>0.3351022381395714</v>
      </c>
      <c r="M71" s="512" t="n">
        <v>0.08393411078987388</v>
      </c>
      <c r="N71" s="513" t="n">
        <v>2.466396608190391</v>
      </c>
      <c r="O71" s="513" t="n">
        <v>1.222045850009327</v>
      </c>
      <c r="P71" s="513" t="n">
        <v>14.41992791416372</v>
      </c>
      <c r="Q71" s="513" t="n">
        <v>21.68194561591497</v>
      </c>
      <c r="R71" s="513" t="n">
        <v>7.777014645233271</v>
      </c>
      <c r="S71" s="513" t="n">
        <v>123.0704727</v>
      </c>
      <c r="T71" s="512" t="n">
        <v>0.121885318041575</v>
      </c>
      <c r="U71" s="512" t="n">
        <v>0.02000932198041926</v>
      </c>
      <c r="V71" s="512" t="n">
        <v>0.02493638465561772</v>
      </c>
      <c r="W71" s="512" t="n">
        <v>0.8289858427080858</v>
      </c>
      <c r="X71" s="512" t="n">
        <v>0.3569924880173184</v>
      </c>
      <c r="Y71" s="512" t="n">
        <v>0.05961556234279155</v>
      </c>
      <c r="Z71" s="512" t="n">
        <v>0.05961556234279153</v>
      </c>
      <c r="AA71" s="514" t="n">
        <v>0.05586664024484593</v>
      </c>
    </row>
    <row r="72" ht="14" customHeight="1">
      <c r="A72" s="125" t="inlineStr">
        <is>
          <t>Retail (Building Supply)</t>
        </is>
      </c>
      <c r="B72" s="296" t="n">
        <v>13</v>
      </c>
      <c r="C72" s="512" t="n">
        <v>0.05149083333</v>
      </c>
      <c r="D72" s="512" t="n">
        <v>0.1212463089486007</v>
      </c>
      <c r="E72" s="512" t="n">
        <v>0.3628459653896072</v>
      </c>
      <c r="F72" s="512" t="n">
        <v>0.23817452639636</v>
      </c>
      <c r="G72" s="513" t="n">
        <v>1.574546568160133</v>
      </c>
      <c r="H72" s="513" t="n">
        <v>1.792774397</v>
      </c>
      <c r="I72" s="512" t="n">
        <v>0.1234271313901</v>
      </c>
      <c r="J72" s="512" t="n">
        <v>0.521259821</v>
      </c>
      <c r="K72" s="512" t="n">
        <v>0.0578</v>
      </c>
      <c r="L72" s="512" t="n">
        <v>0.1679778846208295</v>
      </c>
      <c r="M72" s="512" t="n">
        <v>0.1099759442526868</v>
      </c>
      <c r="N72" s="513" t="n">
        <v>3.570634838884423</v>
      </c>
      <c r="O72" s="513" t="n">
        <v>2.516884064420935</v>
      </c>
      <c r="P72" s="513" t="n">
        <v>15.74668412661944</v>
      </c>
      <c r="Q72" s="513" t="n">
        <v>20.75232982052538</v>
      </c>
      <c r="R72" s="513" t="inlineStr">
        <is>
          <t>NA</t>
        </is>
      </c>
      <c r="S72" s="513" t="n">
        <v>42.96360355</v>
      </c>
      <c r="T72" s="512" t="n">
        <v>0.08352757120989122</v>
      </c>
      <c r="U72" s="512" t="n">
        <v>0.02420334999180278</v>
      </c>
      <c r="V72" s="512" t="n">
        <v>0.0715703846430157</v>
      </c>
      <c r="W72" s="512" t="n">
        <v>0.7168921587957251</v>
      </c>
      <c r="X72" s="512" t="inlineStr">
        <is>
          <t>NA</t>
        </is>
      </c>
      <c r="Y72" s="512" t="n">
        <v>0.53225823359673</v>
      </c>
      <c r="Z72" s="512" t="n">
        <v>0.53225823359673</v>
      </c>
      <c r="AA72" s="514" t="n">
        <v>0.1197748983084255</v>
      </c>
    </row>
    <row r="73" ht="14" customHeight="1">
      <c r="A73" s="125" t="inlineStr">
        <is>
          <t>Retail (Distributors)</t>
        </is>
      </c>
      <c r="B73" s="296" t="n">
        <v>66</v>
      </c>
      <c r="C73" s="512" t="n">
        <v>0.07073414634</v>
      </c>
      <c r="D73" s="512" t="n">
        <v>0.1055972430780183</v>
      </c>
      <c r="E73" s="512" t="n">
        <v>0.1753686167758288</v>
      </c>
      <c r="F73" s="512" t="n">
        <v>0.2437201126323541</v>
      </c>
      <c r="G73" s="513" t="n">
        <v>0.9254645175303127</v>
      </c>
      <c r="H73" s="513" t="n">
        <v>1.117155906</v>
      </c>
      <c r="I73" s="512" t="n">
        <v>0.0941728507298</v>
      </c>
      <c r="J73" s="512" t="n">
        <v>0.438886042</v>
      </c>
      <c r="K73" s="512" t="n">
        <v>0.0553</v>
      </c>
      <c r="L73" s="512" t="n">
        <v>0.2382073439761179</v>
      </c>
      <c r="M73" s="512" t="n">
        <v>0.08161983567420442</v>
      </c>
      <c r="N73" s="513" t="n">
        <v>1.880634510325728</v>
      </c>
      <c r="O73" s="513" t="n">
        <v>1.814168407055666</v>
      </c>
      <c r="P73" s="513" t="n">
        <v>12.87416337174157</v>
      </c>
      <c r="Q73" s="513" t="n">
        <v>15.74411564114881</v>
      </c>
      <c r="R73" s="513" t="n">
        <v>4.303197415415965</v>
      </c>
      <c r="S73" s="513" t="n">
        <v>51.90215662</v>
      </c>
      <c r="T73" s="512" t="n">
        <v>0.1702086590064347</v>
      </c>
      <c r="U73" s="512" t="n">
        <v>0.05835726344340757</v>
      </c>
      <c r="V73" s="512" t="n">
        <v>0.07671691227770815</v>
      </c>
      <c r="W73" s="512" t="n">
        <v>1.019544386062404</v>
      </c>
      <c r="X73" s="512" t="n">
        <v>0.2163569861226223</v>
      </c>
      <c r="Y73" s="512" t="n">
        <v>0.3121855201758274</v>
      </c>
      <c r="Z73" s="512" t="n">
        <v>0.3121855201758275</v>
      </c>
      <c r="AA73" s="514" t="n">
        <v>0.1079154386010445</v>
      </c>
    </row>
    <row r="74" ht="14" customHeight="1">
      <c r="A74" s="125" t="inlineStr">
        <is>
          <t>Retail (General)</t>
        </is>
      </c>
      <c r="B74" s="296" t="n">
        <v>24</v>
      </c>
      <c r="C74" s="512" t="n">
        <v>0.1439742105</v>
      </c>
      <c r="D74" s="512" t="n">
        <v>0.06201301531080719</v>
      </c>
      <c r="E74" s="512" t="n">
        <v>0.119832907704375</v>
      </c>
      <c r="F74" s="512" t="n">
        <v>0.1983593751344246</v>
      </c>
      <c r="G74" s="513" t="n">
        <v>1.025575538606646</v>
      </c>
      <c r="H74" s="513" t="n">
        <v>1.061771934</v>
      </c>
      <c r="I74" s="512" t="n">
        <v>0.0917747247422</v>
      </c>
      <c r="J74" s="512" t="n">
        <v>0.466898824</v>
      </c>
      <c r="K74" s="512" t="n">
        <v>0.0578</v>
      </c>
      <c r="L74" s="512" t="n">
        <v>0.08027535408126109</v>
      </c>
      <c r="M74" s="512" t="n">
        <v>0.08788741281723229</v>
      </c>
      <c r="N74" s="513" t="n">
        <v>3.595129945101996</v>
      </c>
      <c r="O74" s="513" t="n">
        <v>2.050871333564441</v>
      </c>
      <c r="P74" s="513" t="n">
        <v>18.20902196898702</v>
      </c>
      <c r="Q74" s="513" t="n">
        <v>34.66223707061496</v>
      </c>
      <c r="R74" s="513" t="n">
        <v>8.428688099762482</v>
      </c>
      <c r="S74" s="513" t="n">
        <v>25.79221081</v>
      </c>
      <c r="T74" s="512" t="n">
        <v>0.006904932033535829</v>
      </c>
      <c r="U74" s="512" t="n">
        <v>0.05753725681508558</v>
      </c>
      <c r="V74" s="512" t="n">
        <v>0.02160084802603638</v>
      </c>
      <c r="W74" s="512" t="n">
        <v>0.4641145450266851</v>
      </c>
      <c r="X74" s="512" t="n">
        <v>0.2536808460000229</v>
      </c>
      <c r="Y74" s="512" t="n">
        <v>0.1417281901790379</v>
      </c>
      <c r="Z74" s="512" t="n">
        <v>0.1417281901790379</v>
      </c>
      <c r="AA74" s="514" t="n">
        <v>0.05997634251335131</v>
      </c>
    </row>
    <row r="75" ht="14" customHeight="1">
      <c r="A75" s="125" t="inlineStr">
        <is>
          <t>Retail (Grocery and Food)</t>
        </is>
      </c>
      <c r="B75" s="296" t="n">
        <v>17</v>
      </c>
      <c r="C75" s="512" t="n">
        <v>0.09281</v>
      </c>
      <c r="D75" s="512" t="n">
        <v>0.03332560494295424</v>
      </c>
      <c r="E75" s="512" t="n">
        <v>0.09247376187945984</v>
      </c>
      <c r="F75" s="512" t="n">
        <v>0.2109629350457332</v>
      </c>
      <c r="G75" s="513" t="n">
        <v>0.4663235292503023</v>
      </c>
      <c r="H75" s="513" t="n">
        <v>0.579407306</v>
      </c>
      <c r="I75" s="512" t="n">
        <v>0.0708883363498</v>
      </c>
      <c r="J75" s="512" t="n">
        <v>0.271282461</v>
      </c>
      <c r="K75" s="512" t="n">
        <v>0.0508</v>
      </c>
      <c r="L75" s="512" t="n">
        <v>0.343215525192746</v>
      </c>
      <c r="M75" s="512" t="n">
        <v>0.05963487026930699</v>
      </c>
      <c r="N75" s="513" t="n">
        <v>4.893097606432322</v>
      </c>
      <c r="O75" s="513" t="n">
        <v>0.494972467929007</v>
      </c>
      <c r="P75" s="513" t="n">
        <v>7.73939838475208</v>
      </c>
      <c r="Q75" s="513" t="n">
        <v>16.88568810033508</v>
      </c>
      <c r="R75" s="513" t="n">
        <v>3.497688639613604</v>
      </c>
      <c r="S75" s="513" t="n">
        <v>21.11570182</v>
      </c>
      <c r="T75" s="512" t="n">
        <v>-0.001995689640997077</v>
      </c>
      <c r="U75" s="512" t="n">
        <v>0.02743874200075055</v>
      </c>
      <c r="V75" s="512" t="n">
        <v>0.002590370096719986</v>
      </c>
      <c r="W75" s="512" t="n">
        <v>0.1468577097926963</v>
      </c>
      <c r="X75" s="512" t="n">
        <v>0.2109025716821703</v>
      </c>
      <c r="Y75" s="512" t="n">
        <v>0.236694556868387</v>
      </c>
      <c r="Z75" s="512" t="n">
        <v>0.236694556868387</v>
      </c>
      <c r="AA75" s="514" t="n">
        <v>0.0245823757912465</v>
      </c>
    </row>
    <row r="76" ht="14" customHeight="1">
      <c r="A76" s="125" t="inlineStr">
        <is>
          <t>Retail (REITs)</t>
        </is>
      </c>
      <c r="B76" s="296" t="n">
        <v>28</v>
      </c>
      <c r="C76" s="512" t="n">
        <v>0.07910038462000001</v>
      </c>
      <c r="D76" s="512" t="n">
        <v>0.3887934592480494</v>
      </c>
      <c r="E76" s="512" t="n">
        <v>0.04999389101400612</v>
      </c>
      <c r="F76" s="512" t="n">
        <v>0.03203294562858256</v>
      </c>
      <c r="G76" s="513" t="n">
        <v>0.6859427120656839</v>
      </c>
      <c r="H76" s="513" t="n">
        <v>0.94758859</v>
      </c>
      <c r="I76" s="512" t="n">
        <v>0.08683058594699999</v>
      </c>
      <c r="J76" s="512" t="n">
        <v>0.235572061</v>
      </c>
      <c r="K76" s="512" t="n">
        <v>0.0508</v>
      </c>
      <c r="L76" s="512" t="n">
        <v>0.3539007269686222</v>
      </c>
      <c r="M76" s="512" t="n">
        <v>0.06958479615474976</v>
      </c>
      <c r="N76" s="513" t="n">
        <v>0.135735248040425</v>
      </c>
      <c r="O76" s="513" t="n">
        <v>12.21753601147776</v>
      </c>
      <c r="P76" s="513" t="n">
        <v>17.4419383365469</v>
      </c>
      <c r="Q76" s="513" t="n">
        <v>32.77459286785557</v>
      </c>
      <c r="R76" s="513" t="n">
        <v>2.015499883545752</v>
      </c>
      <c r="S76" s="513" t="n">
        <v>72.23515241</v>
      </c>
      <c r="T76" s="512" t="n">
        <v>-0.0547072581120654</v>
      </c>
      <c r="U76" s="512" t="n">
        <v>0.04290017884868615</v>
      </c>
      <c r="V76" s="512" t="n">
        <v>-0.2657560975609756</v>
      </c>
      <c r="W76" s="512" t="n">
        <v>-0.748802126384674</v>
      </c>
      <c r="X76" s="512" t="n">
        <v>0.07340315755134588</v>
      </c>
      <c r="Y76" s="512" t="n">
        <v>1.436400657686108</v>
      </c>
      <c r="Z76" s="512" t="n">
        <v>1.436400657686108</v>
      </c>
      <c r="AA76" s="514" t="n">
        <v>0.3727903310469527</v>
      </c>
    </row>
    <row r="77" ht="14" customHeight="1">
      <c r="A77" s="125" t="inlineStr">
        <is>
          <t>Retail (Special Lines)</t>
        </is>
      </c>
      <c r="B77" s="296" t="n">
        <v>98</v>
      </c>
      <c r="C77" s="512" t="n">
        <v>0.06785274194</v>
      </c>
      <c r="D77" s="512" t="n">
        <v>0.05097611201807646</v>
      </c>
      <c r="E77" s="512" t="n">
        <v>0.1767838502882247</v>
      </c>
      <c r="F77" s="512" t="n">
        <v>0.233662727498599</v>
      </c>
      <c r="G77" s="513" t="n">
        <v>1.059254767564801</v>
      </c>
      <c r="H77" s="513" t="n">
        <v>1.223962594</v>
      </c>
      <c r="I77" s="512" t="n">
        <v>0.0987975803202</v>
      </c>
      <c r="J77" s="512" t="n">
        <v>0.569960812</v>
      </c>
      <c r="K77" s="512" t="n">
        <v>0.0578</v>
      </c>
      <c r="L77" s="512" t="n">
        <v>0.2244027181504511</v>
      </c>
      <c r="M77" s="512" t="n">
        <v>0.08635499258148166</v>
      </c>
      <c r="N77" s="513" t="n">
        <v>3.677187121640216</v>
      </c>
      <c r="O77" s="513" t="n">
        <v>1.069795950015126</v>
      </c>
      <c r="P77" s="513" t="n">
        <v>9.895888372898733</v>
      </c>
      <c r="Q77" s="513" t="n">
        <v>19.98836378211828</v>
      </c>
      <c r="R77" s="513" t="n">
        <v>5.871263425781446</v>
      </c>
      <c r="S77" s="513" t="n">
        <v>24.48494405</v>
      </c>
      <c r="T77" s="512" t="n">
        <v>0.04947974434029326</v>
      </c>
      <c r="U77" s="512" t="n">
        <v>0.02435061279478053</v>
      </c>
      <c r="V77" s="512" t="n">
        <v>0.007260282299794612</v>
      </c>
      <c r="W77" s="512" t="n">
        <v>0.2384246819225872</v>
      </c>
      <c r="X77" s="512" t="n">
        <v>0.1013472474654182</v>
      </c>
      <c r="Y77" s="512" t="n">
        <v>0.8642616405994955</v>
      </c>
      <c r="Z77" s="512" t="n">
        <v>0.8642616405994955</v>
      </c>
      <c r="AA77" s="514" t="n">
        <v>0.05315765810518937</v>
      </c>
    </row>
    <row r="78" ht="14" customHeight="1">
      <c r="A78" s="125" t="inlineStr">
        <is>
          <t>Rubber&amp; Tires</t>
        </is>
      </c>
      <c r="B78" s="296" t="n">
        <v>3</v>
      </c>
      <c r="C78" s="512" t="n">
        <v>0.02755</v>
      </c>
      <c r="D78" s="512" t="n">
        <v>0.04043678016237649</v>
      </c>
      <c r="E78" s="512" t="n">
        <v>0.05755675350603243</v>
      </c>
      <c r="F78" s="512" t="e">
        <v>#DIV/0!</v>
      </c>
      <c r="G78" s="513" t="n">
        <v>0.1780746040367293</v>
      </c>
      <c r="H78" s="513" t="n">
        <v>0.645345391</v>
      </c>
      <c r="I78" s="512" t="n">
        <v>0.0737434554303</v>
      </c>
      <c r="J78" s="512" t="n">
        <v>0.720368676</v>
      </c>
      <c r="K78" s="512" t="n">
        <v>0.0641</v>
      </c>
      <c r="L78" s="512" t="n">
        <v>0.7947160233881684</v>
      </c>
      <c r="M78" s="512" t="n">
        <v>0.05334432260421555</v>
      </c>
      <c r="N78" s="513" t="n">
        <v>1.50032530615308</v>
      </c>
      <c r="O78" s="513" t="n">
        <v>0.6157089238886442</v>
      </c>
      <c r="P78" s="513" t="n">
        <v>5.677884532107041</v>
      </c>
      <c r="Q78" s="513" t="n">
        <v>14.14910712484729</v>
      </c>
      <c r="R78" s="513" t="n">
        <v>0.5261558731123949</v>
      </c>
      <c r="S78" s="513" t="e">
        <v>#DIV/0!</v>
      </c>
      <c r="T78" s="512" t="n">
        <v>0.1283259382801519</v>
      </c>
      <c r="U78" s="512" t="n">
        <v>0.06057649946503871</v>
      </c>
      <c r="V78" s="512" t="n">
        <v>0.006450479367277153</v>
      </c>
      <c r="W78" s="512" t="n">
        <v>0.1617184940918311</v>
      </c>
      <c r="X78" s="512" t="n">
        <v>-0.06413687820932215</v>
      </c>
      <c r="Y78" s="512" t="e">
        <v>#DIV/0!</v>
      </c>
      <c r="Z78" s="512" t="e">
        <v>#DIV/0!</v>
      </c>
      <c r="AA78" s="514" t="n">
        <v>0.04256184664967378</v>
      </c>
    </row>
    <row r="79" ht="14" customHeight="1">
      <c r="A79" s="125" t="inlineStr">
        <is>
          <t>Semiconductor</t>
        </is>
      </c>
      <c r="B79" s="296" t="n">
        <v>63</v>
      </c>
      <c r="C79" s="512" t="n">
        <v>0.05131886364</v>
      </c>
      <c r="D79" s="512" t="n">
        <v>0.2971116134346505</v>
      </c>
      <c r="E79" s="512" t="n">
        <v>0.2114465217340639</v>
      </c>
      <c r="F79" s="512" t="n">
        <v>0.1419070221064041</v>
      </c>
      <c r="G79" s="513" t="n">
        <v>1.46015511610653</v>
      </c>
      <c r="H79" s="513" t="n">
        <v>1.485871504</v>
      </c>
      <c r="I79" s="512" t="n">
        <v>0.1101382361232</v>
      </c>
      <c r="J79" s="512" t="n">
        <v>0.560486072</v>
      </c>
      <c r="K79" s="512" t="n">
        <v>0.0578</v>
      </c>
      <c r="L79" s="512" t="n">
        <v>0.03747861955904781</v>
      </c>
      <c r="M79" s="512" t="n">
        <v>0.1076351052305187</v>
      </c>
      <c r="N79" s="513" t="n">
        <v>1.102316354770946</v>
      </c>
      <c r="O79" s="513" t="n">
        <v>14.64513603161793</v>
      </c>
      <c r="P79" s="513" t="n">
        <v>34.47976073847495</v>
      </c>
      <c r="Q79" s="513" t="n">
        <v>48.85383840900474</v>
      </c>
      <c r="R79" s="513" t="n">
        <v>11.12123958640339</v>
      </c>
      <c r="S79" s="513" t="n">
        <v>54.21845143</v>
      </c>
      <c r="T79" s="512" t="n">
        <v>0.203450318876862</v>
      </c>
      <c r="U79" s="512" t="n">
        <v>0.1325155150629162</v>
      </c>
      <c r="V79" s="512" t="n">
        <v>0.1160023955972427</v>
      </c>
      <c r="W79" s="512" t="n">
        <v>0.5930815713362112</v>
      </c>
      <c r="X79" s="512" t="n">
        <v>0.1908469710478693</v>
      </c>
      <c r="Y79" s="512" t="n">
        <v>0.3263463162807039</v>
      </c>
      <c r="Z79" s="512" t="n">
        <v>0.3263463162807039</v>
      </c>
      <c r="AA79" s="514" t="n">
        <v>0.3144019419558283</v>
      </c>
    </row>
    <row r="80" ht="14" customHeight="1">
      <c r="A80" s="125" t="inlineStr">
        <is>
          <t>Semiconductor Equip</t>
        </is>
      </c>
      <c r="B80" s="296" t="n">
        <v>30</v>
      </c>
      <c r="C80" s="512" t="n">
        <v>0.116725</v>
      </c>
      <c r="D80" s="512" t="n">
        <v>0.2406234259235884</v>
      </c>
      <c r="E80" s="512" t="n">
        <v>0.2419744954432367</v>
      </c>
      <c r="F80" s="512" t="n">
        <v>0.1258602638494545</v>
      </c>
      <c r="G80" s="513" t="n">
        <v>1.47451556750626</v>
      </c>
      <c r="H80" s="513" t="n">
        <v>1.484975954</v>
      </c>
      <c r="I80" s="512" t="n">
        <v>0.1100994588082</v>
      </c>
      <c r="J80" s="512" t="n">
        <v>0.510930714</v>
      </c>
      <c r="K80" s="512" t="n">
        <v>0.0578</v>
      </c>
      <c r="L80" s="512" t="n">
        <v>0.07557801091410334</v>
      </c>
      <c r="M80" s="512" t="n">
        <v>0.1050546674818834</v>
      </c>
      <c r="N80" s="513" t="n">
        <v>1.683347127429115</v>
      </c>
      <c r="O80" s="513" t="n">
        <v>5.069166449025872</v>
      </c>
      <c r="P80" s="513" t="n">
        <v>17.73305113958994</v>
      </c>
      <c r="Q80" s="513" t="n">
        <v>20.92614036435793</v>
      </c>
      <c r="R80" s="513" t="n">
        <v>6.970205981851539</v>
      </c>
      <c r="S80" s="513" t="n">
        <v>71.34768493999999</v>
      </c>
      <c r="T80" s="512" t="n">
        <v>0.3272453517536089</v>
      </c>
      <c r="U80" s="512" t="n">
        <v>0.04650401510953067</v>
      </c>
      <c r="V80" s="512" t="n">
        <v>0.02121420222150895</v>
      </c>
      <c r="W80" s="512" t="n">
        <v>0.04667986081335397</v>
      </c>
      <c r="X80" s="512" t="n">
        <v>0.3178450049305475</v>
      </c>
      <c r="Y80" s="512" t="n">
        <v>0.2080468275097071</v>
      </c>
      <c r="Z80" s="512" t="n">
        <v>0.208046827509707</v>
      </c>
      <c r="AA80" s="514" t="n">
        <v>0.2484061423191483</v>
      </c>
    </row>
    <row r="81" ht="14" customHeight="1">
      <c r="A81" s="125" t="inlineStr">
        <is>
          <t>Shipbuilding &amp; Marine</t>
        </is>
      </c>
      <c r="B81" s="296" t="n">
        <v>8</v>
      </c>
      <c r="C81" s="512" t="n">
        <v>-0.04268</v>
      </c>
      <c r="D81" s="512" t="n">
        <v>0.1373929379217279</v>
      </c>
      <c r="E81" s="512" t="n">
        <v>0.1323235655092953</v>
      </c>
      <c r="F81" s="512" t="n">
        <v>0.2060037192913771</v>
      </c>
      <c r="G81" s="513" t="n">
        <v>0.5248238080556044</v>
      </c>
      <c r="H81" s="513" t="n">
        <v>0.57844977</v>
      </c>
      <c r="I81" s="512" t="n">
        <v>0.070846875041</v>
      </c>
      <c r="J81" s="512" t="n">
        <v>0.451893002</v>
      </c>
      <c r="K81" s="512" t="n">
        <v>0.0578</v>
      </c>
      <c r="L81" s="512" t="n">
        <v>0.1604635798786198</v>
      </c>
      <c r="M81" s="512" t="n">
        <v>0.06643462803644606</v>
      </c>
      <c r="N81" s="513" t="n">
        <v>0.9375867084126069</v>
      </c>
      <c r="O81" s="513" t="n">
        <v>1.749109197805004</v>
      </c>
      <c r="P81" s="513" t="n">
        <v>7.713941615782058</v>
      </c>
      <c r="Q81" s="513" t="n">
        <v>11.58571517469148</v>
      </c>
      <c r="R81" s="513" t="n">
        <v>1.605174159213743</v>
      </c>
      <c r="S81" s="513" t="n">
        <v>12.7685681</v>
      </c>
      <c r="T81" s="512" t="n">
        <v>0.1034177307654153</v>
      </c>
      <c r="U81" s="512" t="n">
        <v>0.1018044932620619</v>
      </c>
      <c r="V81" s="512" t="n">
        <v>0.04677173514901479</v>
      </c>
      <c r="W81" s="512" t="n">
        <v>0.4417924406546218</v>
      </c>
      <c r="X81" s="512" t="n">
        <v>0.1171874367912623</v>
      </c>
      <c r="Y81" s="512" t="n">
        <v>0.1505090192435635</v>
      </c>
      <c r="Z81" s="512" t="n">
        <v>0.1505090192435635</v>
      </c>
      <c r="AA81" s="514" t="n">
        <v>0.1497942355390159</v>
      </c>
    </row>
    <row r="82" ht="14" customHeight="1">
      <c r="A82" s="125" t="inlineStr">
        <is>
          <t>Shoe</t>
        </is>
      </c>
      <c r="B82" s="296" t="n">
        <v>12</v>
      </c>
      <c r="C82" s="512" t="n">
        <v>0.0990625</v>
      </c>
      <c r="D82" s="512" t="n">
        <v>0.1282057403501282</v>
      </c>
      <c r="E82" s="512" t="n">
        <v>0.2912089771267716</v>
      </c>
      <c r="F82" s="512" t="n">
        <v>0.1676341385148219</v>
      </c>
      <c r="G82" s="513" t="n">
        <v>1.40863854564247</v>
      </c>
      <c r="H82" s="513" t="n">
        <v>1.424207891</v>
      </c>
      <c r="I82" s="512" t="n">
        <v>0.1074682016803</v>
      </c>
      <c r="J82" s="512" t="n">
        <v>0.517524117</v>
      </c>
      <c r="K82" s="512" t="n">
        <v>0.0578</v>
      </c>
      <c r="L82" s="512" t="n">
        <v>0.09294187987435525</v>
      </c>
      <c r="M82" s="512" t="n">
        <v>0.1015089354819699</v>
      </c>
      <c r="N82" s="513" t="n">
        <v>2.535627005674554</v>
      </c>
      <c r="O82" s="513" t="n">
        <v>2.401704167497563</v>
      </c>
      <c r="P82" s="513" t="n">
        <v>14.77018500107094</v>
      </c>
      <c r="Q82" s="513" t="n">
        <v>18.45714203708724</v>
      </c>
      <c r="R82" s="513" t="n">
        <v>6.741298105170388</v>
      </c>
      <c r="S82" s="513" t="n">
        <v>17.57809169</v>
      </c>
      <c r="T82" s="512" t="n">
        <v>0.1956871118775647</v>
      </c>
      <c r="U82" s="512" t="n">
        <v>0.007944000831364928</v>
      </c>
      <c r="V82" s="512" t="n">
        <v>-0.00794574220384732</v>
      </c>
      <c r="W82" s="512" t="n">
        <v>-0.08230189069000453</v>
      </c>
      <c r="X82" s="512" t="n">
        <v>0.3167221104580578</v>
      </c>
      <c r="Y82" s="512" t="n">
        <v>0.3250453205651578</v>
      </c>
      <c r="Z82" s="512" t="n">
        <v>0.3250453205651578</v>
      </c>
      <c r="AA82" s="514" t="n">
        <v>0.1301559408326569</v>
      </c>
    </row>
    <row r="83" ht="14" customHeight="1">
      <c r="A83" s="125" t="inlineStr">
        <is>
          <t>Software (Entertainment)</t>
        </is>
      </c>
      <c r="B83" s="296" t="n">
        <v>81</v>
      </c>
      <c r="C83" s="512" t="n">
        <v>0.2806917647</v>
      </c>
      <c r="D83" s="512" t="n">
        <v>0.3236720942267214</v>
      </c>
      <c r="E83" s="512" t="n">
        <v>0.2529435269270178</v>
      </c>
      <c r="F83" s="512" t="n">
        <v>0.1505317389235186</v>
      </c>
      <c r="G83" s="513" t="n">
        <v>1.183398842723829</v>
      </c>
      <c r="H83" s="513" t="n">
        <v>1.182782103</v>
      </c>
      <c r="I83" s="512" t="n">
        <v>0.0970144650599</v>
      </c>
      <c r="J83" s="512" t="n">
        <v>0.66628958</v>
      </c>
      <c r="K83" s="512" t="n">
        <v>0.0641</v>
      </c>
      <c r="L83" s="512" t="n">
        <v>0.0242960473567353</v>
      </c>
      <c r="M83" s="512" t="n">
        <v>0.09582542949919137</v>
      </c>
      <c r="N83" s="513" t="n">
        <v>1.397019673850847</v>
      </c>
      <c r="O83" s="513" t="n">
        <v>7.345462856049665</v>
      </c>
      <c r="P83" s="513" t="n">
        <v>18.27402621276981</v>
      </c>
      <c r="Q83" s="513" t="n">
        <v>22.45900360974419</v>
      </c>
      <c r="R83" s="513" t="n">
        <v>7.710450903594134</v>
      </c>
      <c r="S83" s="513" t="n">
        <v>68.17906807</v>
      </c>
      <c r="T83" s="512" t="n">
        <v>0.04974142540696422</v>
      </c>
      <c r="U83" s="512" t="n">
        <v>0.1506919586001567</v>
      </c>
      <c r="V83" s="512" t="n">
        <v>0.1138596997532106</v>
      </c>
      <c r="W83" s="512" t="n">
        <v>0.4797452746110056</v>
      </c>
      <c r="X83" s="512" t="n">
        <v>0.3345642404399427</v>
      </c>
      <c r="Y83" s="512" t="n">
        <v>0.05948380200134495</v>
      </c>
      <c r="Z83" s="512" t="n">
        <v>0.05948380200134495</v>
      </c>
      <c r="AA83" s="514" t="n">
        <v>0.3350521770312631</v>
      </c>
    </row>
    <row r="84" ht="14" customHeight="1">
      <c r="A84" s="125" t="inlineStr">
        <is>
          <t>Software (Internet)</t>
        </is>
      </c>
      <c r="B84" s="296" t="n">
        <v>29</v>
      </c>
      <c r="C84" s="512" t="n">
        <v>0.1972083333</v>
      </c>
      <c r="D84" s="512" t="n">
        <v>0.01311510803818907</v>
      </c>
      <c r="E84" s="512" t="n">
        <v>0.02931536174727217</v>
      </c>
      <c r="F84" s="512" t="n">
        <v>0.1262297260896708</v>
      </c>
      <c r="G84" s="513" t="n">
        <v>1.598623900509763</v>
      </c>
      <c r="H84" s="513" t="n">
        <v>1.687026441</v>
      </c>
      <c r="I84" s="512" t="n">
        <v>0.1188482448953</v>
      </c>
      <c r="J84" s="512" t="n">
        <v>0.556166978</v>
      </c>
      <c r="K84" s="512" t="n">
        <v>0.0578</v>
      </c>
      <c r="L84" s="512" t="n">
        <v>0.1034821722403006</v>
      </c>
      <c r="M84" s="512" t="n">
        <v>0.1110355225132042</v>
      </c>
      <c r="N84" s="513" t="n">
        <v>1.231719729137971</v>
      </c>
      <c r="O84" s="513" t="n">
        <v>7.589087565794395</v>
      </c>
      <c r="P84" s="513" t="n">
        <v>28.08006683746375</v>
      </c>
      <c r="Q84" s="513" t="inlineStr">
        <is>
          <t>NA</t>
        </is>
      </c>
      <c r="R84" s="513" t="n">
        <v>8.719427821180213</v>
      </c>
      <c r="S84" s="513" t="n">
        <v>50.6412608</v>
      </c>
      <c r="T84" s="512" t="n">
        <v>0.1019501763627111</v>
      </c>
      <c r="U84" s="512" t="n">
        <v>0.04286864312115726</v>
      </c>
      <c r="V84" s="512" t="n">
        <v>0.02425090245343047</v>
      </c>
      <c r="W84" s="512" t="n">
        <v>3.764390677507587</v>
      </c>
      <c r="X84" s="512" t="n">
        <v>-0.03085095614661618</v>
      </c>
      <c r="Y84" s="512" t="n">
        <v>0.00013770325</v>
      </c>
      <c r="Z84" s="512" t="n">
        <v>0.0001377032499999542</v>
      </c>
      <c r="AA84" s="514" t="n">
        <v>0.04233784390245107</v>
      </c>
    </row>
    <row r="85" ht="14" customHeight="1">
      <c r="A85" s="125" t="inlineStr">
        <is>
          <t>Software (System &amp; Application)</t>
        </is>
      </c>
      <c r="B85" s="296" t="n">
        <v>333</v>
      </c>
      <c r="C85" s="512" t="n">
        <v>0.1555315493</v>
      </c>
      <c r="D85" s="512" t="n">
        <v>0.2863165821393008</v>
      </c>
      <c r="E85" s="512" t="n">
        <v>0.2685477285289906</v>
      </c>
      <c r="F85" s="512" t="n">
        <v>0.1737211387712939</v>
      </c>
      <c r="G85" s="513" t="n">
        <v>1.219033928549759</v>
      </c>
      <c r="H85" s="513" t="n">
        <v>1.241760834</v>
      </c>
      <c r="I85" s="512" t="n">
        <v>0.0995682441122</v>
      </c>
      <c r="J85" s="512" t="n">
        <v>0.636284864</v>
      </c>
      <c r="K85" s="512" t="n">
        <v>0.0578</v>
      </c>
      <c r="L85" s="512" t="n">
        <v>0.04667109757935985</v>
      </c>
      <c r="M85" s="512" t="n">
        <v>0.09694447695549925</v>
      </c>
      <c r="N85" s="513" t="n">
        <v>1.71417760066643</v>
      </c>
      <c r="O85" s="513" t="n">
        <v>11.54373484859198</v>
      </c>
      <c r="P85" s="513" t="n">
        <v>27.97821211492028</v>
      </c>
      <c r="Q85" s="513" t="n">
        <v>37.85073806110726</v>
      </c>
      <c r="R85" s="513" t="n">
        <v>10.73376567817046</v>
      </c>
      <c r="S85" s="513" t="n">
        <v>203.7719298</v>
      </c>
      <c r="T85" s="512" t="n">
        <v>0.1058105583453749</v>
      </c>
      <c r="U85" s="512" t="n">
        <v>0.1195897739504454</v>
      </c>
      <c r="V85" s="512" t="n">
        <v>0.2101159794111606</v>
      </c>
      <c r="W85" s="512" t="n">
        <v>0.93539436133576</v>
      </c>
      <c r="X85" s="512" t="n">
        <v>0.2766422167009785</v>
      </c>
      <c r="Y85" s="512" t="n">
        <v>0.2317622400490308</v>
      </c>
      <c r="Z85" s="512" t="n">
        <v>0.2317622400490309</v>
      </c>
      <c r="AA85" s="514" t="n">
        <v>0.3004998903414001</v>
      </c>
    </row>
    <row r="86" ht="14" customHeight="1">
      <c r="A86" s="125" t="inlineStr">
        <is>
          <t>Steel</t>
        </is>
      </c>
      <c r="B86" s="296" t="n">
        <v>27</v>
      </c>
      <c r="C86" s="512" t="n">
        <v>0.06051583333</v>
      </c>
      <c r="D86" s="512" t="n">
        <v>0.07605822887692532</v>
      </c>
      <c r="E86" s="512" t="n">
        <v>0.1249467212887393</v>
      </c>
      <c r="F86" s="512" t="n">
        <v>0.1866940765884209</v>
      </c>
      <c r="G86" s="513" t="n">
        <v>0.9639390334814825</v>
      </c>
      <c r="H86" s="513" t="n">
        <v>1.05977921</v>
      </c>
      <c r="I86" s="512" t="n">
        <v>0.09168843979300001</v>
      </c>
      <c r="J86" s="512" t="n">
        <v>0.467902736</v>
      </c>
      <c r="K86" s="512" t="n">
        <v>0.0578</v>
      </c>
      <c r="L86" s="512" t="n">
        <v>0.2056982038589905</v>
      </c>
      <c r="M86" s="512" t="n">
        <v>0.08174530955023396</v>
      </c>
      <c r="N86" s="513" t="n">
        <v>1.855004733537124</v>
      </c>
      <c r="O86" s="513" t="n">
        <v>0.887388116825059</v>
      </c>
      <c r="P86" s="513" t="n">
        <v>7.517316862652473</v>
      </c>
      <c r="Q86" s="513" t="n">
        <v>11.56649985258406</v>
      </c>
      <c r="R86" s="513" t="n">
        <v>1.422967802712948</v>
      </c>
      <c r="S86" s="513" t="n">
        <v>15.02257097</v>
      </c>
      <c r="T86" s="512" t="n">
        <v>0.1914659328513713</v>
      </c>
      <c r="U86" s="512" t="n">
        <v>0.075305799854803</v>
      </c>
      <c r="V86" s="512" t="n">
        <v>0.04979427324063455</v>
      </c>
      <c r="W86" s="512" t="n">
        <v>0.6084524552700056</v>
      </c>
      <c r="X86" s="512" t="n">
        <v>0.1004129728613954</v>
      </c>
      <c r="Y86" s="512" t="n">
        <v>0.2094352381428952</v>
      </c>
      <c r="Z86" s="512" t="n">
        <v>0.2094352381428952</v>
      </c>
      <c r="AA86" s="514" t="n">
        <v>0.07647490666248957</v>
      </c>
    </row>
    <row r="87" ht="14" customHeight="1">
      <c r="A87" s="125" t="inlineStr">
        <is>
          <t>Telecom (Wireless)</t>
        </is>
      </c>
      <c r="B87" s="296" t="n">
        <v>11</v>
      </c>
      <c r="C87" s="512" t="n">
        <v>0.2806725</v>
      </c>
      <c r="D87" s="512" t="n">
        <v>0.2014739597553946</v>
      </c>
      <c r="E87" s="512" t="n">
        <v>0.08305425936497644</v>
      </c>
      <c r="F87" s="512" t="n">
        <v>0.2408928810851573</v>
      </c>
      <c r="G87" s="513" t="n">
        <v>0.58526739373043</v>
      </c>
      <c r="H87" s="513" t="n">
        <v>0.772539146</v>
      </c>
      <c r="I87" s="512" t="n">
        <v>0.0792509450218</v>
      </c>
      <c r="J87" s="512" t="n">
        <v>0.667326915</v>
      </c>
      <c r="K87" s="512" t="n">
        <v>0.0641</v>
      </c>
      <c r="L87" s="512" t="n">
        <v>0.3225408757005497</v>
      </c>
      <c r="M87" s="512" t="n">
        <v>0.06919542841367643</v>
      </c>
      <c r="N87" s="513" t="n">
        <v>0.5167546319134271</v>
      </c>
      <c r="O87" s="513" t="n">
        <v>4.15150308898799</v>
      </c>
      <c r="P87" s="513" t="n">
        <v>9.843701954698677</v>
      </c>
      <c r="Q87" s="513" t="n">
        <v>21.96797180685183</v>
      </c>
      <c r="R87" s="513" t="n">
        <v>3.508003739941317</v>
      </c>
      <c r="S87" s="513" t="n">
        <v>13.3597627</v>
      </c>
      <c r="T87" s="512" t="n">
        <v>0.09035207528852948</v>
      </c>
      <c r="U87" s="512" t="n">
        <v>0.1137382280412067</v>
      </c>
      <c r="V87" s="512" t="n">
        <v>-0.04771893784752466</v>
      </c>
      <c r="W87" s="512" t="n">
        <v>0.06822127620077649</v>
      </c>
      <c r="X87" s="512" t="n">
        <v>0.1341748225351423</v>
      </c>
      <c r="Y87" s="512" t="n">
        <v>0.3153366694762964</v>
      </c>
      <c r="Z87" s="512" t="n">
        <v>0.3153366694762965</v>
      </c>
      <c r="AA87" s="514" t="n">
        <v>0.1890087275016361</v>
      </c>
    </row>
    <row r="88" ht="14" customHeight="1">
      <c r="A88" s="125" t="inlineStr">
        <is>
          <t>Telecom. Equipment</t>
        </is>
      </c>
      <c r="B88" s="296" t="n">
        <v>61</v>
      </c>
      <c r="C88" s="512" t="n">
        <v>0.02552229167</v>
      </c>
      <c r="D88" s="512" t="n">
        <v>0.1749071967028778</v>
      </c>
      <c r="E88" s="512" t="n">
        <v>0.2177054718093945</v>
      </c>
      <c r="F88" s="512" t="n">
        <v>0.102440372199024</v>
      </c>
      <c r="G88" s="513" t="n">
        <v>0.9483963215929979</v>
      </c>
      <c r="H88" s="513" t="n">
        <v>0.999614648</v>
      </c>
      <c r="I88" s="512" t="n">
        <v>0.08908331425839999</v>
      </c>
      <c r="J88" s="512" t="n">
        <v>0.560934426</v>
      </c>
      <c r="K88" s="512" t="n">
        <v>0.0578</v>
      </c>
      <c r="L88" s="512" t="n">
        <v>0.1135080070777231</v>
      </c>
      <c r="M88" s="512" t="n">
        <v>0.0838922168998698</v>
      </c>
      <c r="N88" s="513" t="n">
        <v>2.669183642701123</v>
      </c>
      <c r="O88" s="513" t="n">
        <v>5.479900052960705</v>
      </c>
      <c r="P88" s="513" t="n">
        <v>21.76635067648184</v>
      </c>
      <c r="Q88" s="513" t="n">
        <v>29.90293144206631</v>
      </c>
      <c r="R88" s="513" t="n">
        <v>6.911004688868769</v>
      </c>
      <c r="S88" s="513" t="n">
        <v>46.05597165</v>
      </c>
      <c r="T88" s="512" t="n">
        <v>0.2491128866002807</v>
      </c>
      <c r="U88" s="512" t="n">
        <v>0.02958218356974229</v>
      </c>
      <c r="V88" s="512" t="n">
        <v>0.2611449833187489</v>
      </c>
      <c r="W88" s="512" t="n">
        <v>1.516267171687417</v>
      </c>
      <c r="X88" s="512" t="n">
        <v>0.1503452787522845</v>
      </c>
      <c r="Y88" s="512" t="n">
        <v>0.6691295820704013</v>
      </c>
      <c r="Z88" s="512" t="n">
        <v>0.6691295820704013</v>
      </c>
      <c r="AA88" s="514" t="n">
        <v>0.1841453647965715</v>
      </c>
    </row>
    <row r="89" ht="14" customHeight="1">
      <c r="A89" s="125" t="inlineStr">
        <is>
          <t>Telecom. Services</t>
        </is>
      </c>
      <c r="B89" s="296" t="n">
        <v>32</v>
      </c>
      <c r="C89" s="512" t="n">
        <v>0.105799</v>
      </c>
      <c r="D89" s="512" t="n">
        <v>0.2034619532537751</v>
      </c>
      <c r="E89" s="512" t="n">
        <v>0.1168586516115778</v>
      </c>
      <c r="F89" s="512" t="n">
        <v>0.2830167011819393</v>
      </c>
      <c r="G89" s="513" t="n">
        <v>0.5150726409519035</v>
      </c>
      <c r="H89" s="513" t="n">
        <v>0.8860386139999999</v>
      </c>
      <c r="I89" s="512" t="n">
        <v>0.0841654719862</v>
      </c>
      <c r="J89" s="512" t="n">
        <v>0.637091179</v>
      </c>
      <c r="K89" s="512" t="n">
        <v>0.0578</v>
      </c>
      <c r="L89" s="512" t="n">
        <v>0.5004169769643724</v>
      </c>
      <c r="M89" s="512" t="n">
        <v>0.06374071688149177</v>
      </c>
      <c r="N89" s="513" t="n">
        <v>0.5922678617812643</v>
      </c>
      <c r="O89" s="513" t="n">
        <v>2.563505864854464</v>
      </c>
      <c r="P89" s="513" t="n">
        <v>6.618966238101931</v>
      </c>
      <c r="Q89" s="513" t="n">
        <v>12.28115363542322</v>
      </c>
      <c r="R89" s="513" t="n">
        <v>1.622082570618524</v>
      </c>
      <c r="S89" s="513" t="n">
        <v>25.51708033</v>
      </c>
      <c r="T89" s="512" t="n">
        <v>-0.02619425804434495</v>
      </c>
      <c r="U89" s="512" t="n">
        <v>0.1464374693832461</v>
      </c>
      <c r="V89" s="512" t="n">
        <v>0.001621881699042542</v>
      </c>
      <c r="W89" s="512" t="n">
        <v>0.0389566744135004</v>
      </c>
      <c r="X89" s="512" t="n">
        <v>0.07746513753344163</v>
      </c>
      <c r="Y89" s="512" t="n">
        <v>1.178420807376031</v>
      </c>
      <c r="Z89" s="512" t="n">
        <v>1.178420807376031</v>
      </c>
      <c r="AA89" s="514" t="n">
        <v>0.2064602416244298</v>
      </c>
    </row>
    <row r="90" ht="14" customHeight="1">
      <c r="A90" s="125" t="inlineStr">
        <is>
          <t>Tobacco</t>
        </is>
      </c>
      <c r="B90" s="296" t="n">
        <v>12</v>
      </c>
      <c r="C90" s="512" t="n">
        <v>-0.00515428571</v>
      </c>
      <c r="D90" s="512" t="n">
        <v>0.4104696070690012</v>
      </c>
      <c r="E90" s="512" t="n">
        <v>0.5789921248582272</v>
      </c>
      <c r="F90" s="512" t="n">
        <v>0.2208948952103671</v>
      </c>
      <c r="G90" s="513" t="n">
        <v>0.8250398443426944</v>
      </c>
      <c r="H90" s="513" t="n">
        <v>0.979968253</v>
      </c>
      <c r="I90" s="512" t="n">
        <v>0.08823262535490001</v>
      </c>
      <c r="J90" s="512" t="n">
        <v>0.683432507</v>
      </c>
      <c r="K90" s="512" t="n">
        <v>0.0641</v>
      </c>
      <c r="L90" s="512" t="n">
        <v>0.2185068400166121</v>
      </c>
      <c r="M90" s="512" t="n">
        <v>0.07945790953602982</v>
      </c>
      <c r="N90" s="513" t="n">
        <v>1.729516396828422</v>
      </c>
      <c r="O90" s="513" t="n">
        <v>5.537373974975528</v>
      </c>
      <c r="P90" s="513" t="n">
        <v>12.35153021441462</v>
      </c>
      <c r="Q90" s="513" t="n">
        <v>13.42256901712205</v>
      </c>
      <c r="R90" s="513" t="inlineStr">
        <is>
          <t>NA</t>
        </is>
      </c>
      <c r="S90" s="513" t="n">
        <v>15.28964314</v>
      </c>
      <c r="T90" s="512" t="n">
        <v>0.1522184966098359</v>
      </c>
      <c r="U90" s="512" t="n">
        <v>0.02730416469399122</v>
      </c>
      <c r="V90" s="512" t="n">
        <v>-0.006025102637536636</v>
      </c>
      <c r="W90" s="512" t="n">
        <v>-0.01310394402090723</v>
      </c>
      <c r="X90" s="512" t="inlineStr">
        <is>
          <t>NA</t>
        </is>
      </c>
      <c r="Y90" s="512" t="n">
        <v>0.744767515253524</v>
      </c>
      <c r="Z90" s="512" t="n">
        <v>0.744767515253524</v>
      </c>
      <c r="AA90" s="514" t="n">
        <v>0.4121660777820713</v>
      </c>
    </row>
    <row r="91" ht="14" customHeight="1">
      <c r="A91" s="125" t="inlineStr">
        <is>
          <t>Transportation</t>
        </is>
      </c>
      <c r="B91" s="296" t="n">
        <v>21</v>
      </c>
      <c r="C91" s="512" t="n">
        <v>0.08572428571</v>
      </c>
      <c r="D91" s="512" t="n">
        <v>0.06834441308516317</v>
      </c>
      <c r="E91" s="512" t="n">
        <v>0.1089542373441166</v>
      </c>
      <c r="F91" s="512" t="n">
        <v>0.196443944133116</v>
      </c>
      <c r="G91" s="513" t="n">
        <v>0.8323467894508807</v>
      </c>
      <c r="H91" s="513" t="n">
        <v>1.026899078</v>
      </c>
      <c r="I91" s="512" t="n">
        <v>0.09026473007739999</v>
      </c>
      <c r="J91" s="512" t="n">
        <v>0.516753402</v>
      </c>
      <c r="K91" s="512" t="n">
        <v>0.0578</v>
      </c>
      <c r="L91" s="512" t="n">
        <v>0.2790506193574065</v>
      </c>
      <c r="M91" s="512" t="n">
        <v>0.07717314559231597</v>
      </c>
      <c r="N91" s="513" t="n">
        <v>1.943803424756863</v>
      </c>
      <c r="O91" s="513" t="n">
        <v>1.576040187246788</v>
      </c>
      <c r="P91" s="513" t="n">
        <v>11.79422572524144</v>
      </c>
      <c r="Q91" s="513" t="n">
        <v>21.82202147496412</v>
      </c>
      <c r="R91" s="513" t="n">
        <v>4.88545047924659</v>
      </c>
      <c r="S91" s="513" t="n">
        <v>24.83280336</v>
      </c>
      <c r="T91" s="512" t="n">
        <v>0.07072219497785746</v>
      </c>
      <c r="U91" s="512" t="n">
        <v>0.05613036869425785</v>
      </c>
      <c r="V91" s="512" t="n">
        <v>0.03471645534761659</v>
      </c>
      <c r="W91" s="512" t="n">
        <v>1.009510589756712</v>
      </c>
      <c r="X91" s="512" t="n">
        <v>0.1732466371886561</v>
      </c>
      <c r="Y91" s="512" t="n">
        <v>0.5978316333615453</v>
      </c>
      <c r="Z91" s="512" t="n">
        <v>0.5978316333615453</v>
      </c>
      <c r="AA91" s="514" t="n">
        <v>0.06830592734504456</v>
      </c>
    </row>
    <row r="92" ht="14" customHeight="1">
      <c r="A92" s="125" t="inlineStr">
        <is>
          <t>Transportation (Railroads)</t>
        </is>
      </c>
      <c r="B92" s="296" t="n">
        <v>4</v>
      </c>
      <c r="C92" s="512" t="n">
        <v>0.0223</v>
      </c>
      <c r="D92" s="512" t="n">
        <v>0.3831353014772736</v>
      </c>
      <c r="E92" s="512" t="n">
        <v>0.1506215649339978</v>
      </c>
      <c r="F92" s="512" t="n">
        <v>0.232593218293713</v>
      </c>
      <c r="G92" s="513" t="n">
        <v>0.8268042765704411</v>
      </c>
      <c r="H92" s="513" t="n">
        <v>0.991856107</v>
      </c>
      <c r="I92" s="512" t="n">
        <v>0.08874736943309999</v>
      </c>
      <c r="J92" s="512" t="n">
        <v>0.265599529</v>
      </c>
      <c r="K92" s="512" t="n">
        <v>0.0508</v>
      </c>
      <c r="L92" s="512" t="n">
        <v>0.2211382775666099</v>
      </c>
      <c r="M92" s="512" t="n">
        <v>0.07754729739338449</v>
      </c>
      <c r="N92" s="513" t="n">
        <v>0.4750981006663716</v>
      </c>
      <c r="O92" s="513" t="n">
        <v>6.276096219003287</v>
      </c>
      <c r="P92" s="513" t="n">
        <v>12.55883378642996</v>
      </c>
      <c r="Q92" s="513" t="n">
        <v>16.40397896054397</v>
      </c>
      <c r="R92" s="513" t="n">
        <v>5.791793302690261</v>
      </c>
      <c r="S92" s="513" t="n">
        <v>19.92768709</v>
      </c>
      <c r="T92" s="512" t="n">
        <v>0.01012760038233488</v>
      </c>
      <c r="U92" s="512" t="n">
        <v>0.1988219112081627</v>
      </c>
      <c r="V92" s="512" t="n">
        <v>0.09430927162096003</v>
      </c>
      <c r="W92" s="512" t="n">
        <v>0.3189368237221375</v>
      </c>
      <c r="X92" s="512" t="n">
        <v>0.3199225632881448</v>
      </c>
      <c r="Y92" s="512" t="n">
        <v>0.4272456214677975</v>
      </c>
      <c r="Z92" s="512" t="n">
        <v>0.4272456214677975</v>
      </c>
      <c r="AA92" s="514" t="n">
        <v>0.3825959685817086</v>
      </c>
    </row>
    <row r="93" ht="14" customHeight="1">
      <c r="A93" s="125" t="inlineStr">
        <is>
          <t>Trucking</t>
        </is>
      </c>
      <c r="B93" s="296" t="n">
        <v>24</v>
      </c>
      <c r="C93" s="512" t="n">
        <v>0.1022627778</v>
      </c>
      <c r="D93" s="512" t="n">
        <v>0.0696834566171777</v>
      </c>
      <c r="E93" s="512" t="n">
        <v>0.09299440516178187</v>
      </c>
      <c r="F93" s="512" t="n">
        <v>0.2409142049512722</v>
      </c>
      <c r="G93" s="513" t="n">
        <v>0.9646536256536747</v>
      </c>
      <c r="H93" s="513" t="n">
        <v>1.104813204</v>
      </c>
      <c r="I93" s="512" t="n">
        <v>0.09363841173320001</v>
      </c>
      <c r="J93" s="512" t="n">
        <v>0.321800942</v>
      </c>
      <c r="K93" s="512" t="n">
        <v>0.0553</v>
      </c>
      <c r="L93" s="512" t="n">
        <v>0.1864327795851214</v>
      </c>
      <c r="M93" s="512" t="n">
        <v>0.08391344189113639</v>
      </c>
      <c r="N93" s="513" t="n">
        <v>1.628174695272494</v>
      </c>
      <c r="O93" s="513" t="n">
        <v>1.853373898539034</v>
      </c>
      <c r="P93" s="513" t="n">
        <v>11.32996264163898</v>
      </c>
      <c r="Q93" s="513" t="n">
        <v>25.31440489006204</v>
      </c>
      <c r="R93" s="513" t="n">
        <v>3.226670548989158</v>
      </c>
      <c r="S93" s="513" t="n">
        <v>335.5151302</v>
      </c>
      <c r="T93" s="512" t="n">
        <v>0.0704402986038363</v>
      </c>
      <c r="U93" s="512" t="n">
        <v>0.1473025874980163</v>
      </c>
      <c r="V93" s="512" t="n">
        <v>0.09085369367456267</v>
      </c>
      <c r="W93" s="512" t="n">
        <v>1.642233983795376</v>
      </c>
      <c r="X93" s="512" t="n">
        <v>0.09323625722668266</v>
      </c>
      <c r="Y93" s="512" t="n">
        <v>0.2342841420893143</v>
      </c>
      <c r="Z93" s="512" t="n">
        <v>0.2342841420893143</v>
      </c>
      <c r="AA93" s="514" t="n">
        <v>0.07161627256450262</v>
      </c>
    </row>
    <row r="94" ht="14" customHeight="1">
      <c r="A94" s="125" t="inlineStr">
        <is>
          <t>Utility (General)</t>
        </is>
      </c>
      <c r="B94" s="296" t="n">
        <v>14</v>
      </c>
      <c r="C94" s="512" t="n">
        <v>0.02362214286</v>
      </c>
      <c r="D94" s="512" t="n">
        <v>0.2327700385897972</v>
      </c>
      <c r="E94" s="512" t="n">
        <v>0.06054191385770705</v>
      </c>
      <c r="F94" s="512" t="n">
        <v>0.1064009936312465</v>
      </c>
      <c r="G94" s="513" t="n">
        <v>0.2501807366180015</v>
      </c>
      <c r="H94" s="513" t="n">
        <v>0.393437747</v>
      </c>
      <c r="I94" s="512" t="n">
        <v>0.0628358544451</v>
      </c>
      <c r="J94" s="512" t="n">
        <v>0.182144764</v>
      </c>
      <c r="K94" s="512" t="n">
        <v>0.0508</v>
      </c>
      <c r="L94" s="512" t="n">
        <v>0.438378167975256</v>
      </c>
      <c r="M94" s="512" t="n">
        <v>0.05199219589015447</v>
      </c>
      <c r="N94" s="513" t="n">
        <v>0.2937142289822406</v>
      </c>
      <c r="O94" s="513" t="n">
        <v>5.238603373307601</v>
      </c>
      <c r="P94" s="513" t="n">
        <v>13.43981735863711</v>
      </c>
      <c r="Q94" s="513" t="n">
        <v>22.70846661493917</v>
      </c>
      <c r="R94" s="513" t="n">
        <v>1.823418399538808</v>
      </c>
      <c r="S94" s="513" t="n">
        <v>18.71716615</v>
      </c>
      <c r="T94" s="512" t="n">
        <v>0.06086315251230563</v>
      </c>
      <c r="U94" s="512" t="n">
        <v>0.464392812938704</v>
      </c>
      <c r="V94" s="512" t="n">
        <v>0.3065392215770592</v>
      </c>
      <c r="W94" s="512" t="n">
        <v>1.532081096948326</v>
      </c>
      <c r="X94" s="512" t="n">
        <v>0.1081200609472651</v>
      </c>
      <c r="Y94" s="512" t="n">
        <v>0.6322813722270325</v>
      </c>
      <c r="Z94" s="512" t="n">
        <v>0.6322813722270325</v>
      </c>
      <c r="AA94" s="514" t="n">
        <v>0.2306894367698651</v>
      </c>
    </row>
    <row r="95" ht="14" customHeight="1">
      <c r="A95" s="125" t="inlineStr">
        <is>
          <t>Utility (Water)</t>
        </is>
      </c>
      <c r="B95" s="296" t="n">
        <v>15</v>
      </c>
      <c r="C95" s="512" t="n">
        <v>0.1164666667</v>
      </c>
      <c r="D95" s="512" t="n">
        <v>0.3310642355108798</v>
      </c>
      <c r="E95" s="512" t="n">
        <v>0.06959237321145335</v>
      </c>
      <c r="F95" s="512" t="n">
        <v>0.1635885663815622</v>
      </c>
      <c r="G95" s="513" t="n">
        <v>0.4732120173716052</v>
      </c>
      <c r="H95" s="513" t="n">
        <v>0.678567197</v>
      </c>
      <c r="I95" s="512" t="n">
        <v>0.07518195963009999</v>
      </c>
      <c r="J95" s="512" t="n">
        <v>0.291677801</v>
      </c>
      <c r="K95" s="512" t="n">
        <v>0.0508</v>
      </c>
      <c r="L95" s="512" t="n">
        <v>0.3696385676441366</v>
      </c>
      <c r="M95" s="512" t="n">
        <v>0.06147503718699213</v>
      </c>
      <c r="N95" s="513" t="n">
        <v>0.237502712213988</v>
      </c>
      <c r="O95" s="513" t="n">
        <v>7.509319274948086</v>
      </c>
      <c r="P95" s="513" t="n">
        <v>15.02721729827064</v>
      </c>
      <c r="Q95" s="513" t="n">
        <v>22.5585960509321</v>
      </c>
      <c r="R95" s="513" t="n">
        <v>2.054767917443467</v>
      </c>
      <c r="S95" s="513" t="n">
        <v>23.13437709</v>
      </c>
      <c r="T95" s="512" t="n">
        <v>0.1076397374145599</v>
      </c>
      <c r="U95" s="512" t="n">
        <v>0.5587284748870998</v>
      </c>
      <c r="V95" s="512" t="n">
        <v>0.4184202999074465</v>
      </c>
      <c r="W95" s="512" t="n">
        <v>1.566481433905706</v>
      </c>
      <c r="X95" s="512" t="n">
        <v>0.1593362325156308</v>
      </c>
      <c r="Y95" s="512" t="n">
        <v>0.5782618108947731</v>
      </c>
      <c r="Z95" s="512" t="n">
        <v>0.3793353641624158</v>
      </c>
      <c r="AA95" s="514" t="n">
        <v>0.3306378575708055</v>
      </c>
    </row>
    <row r="96" ht="14" customHeight="1">
      <c r="A96" s="125" t="inlineStr">
        <is>
          <t>Total Market</t>
        </is>
      </c>
      <c r="B96" s="296" t="n">
        <v>6062</v>
      </c>
      <c r="C96" s="512" t="n">
        <v>0.09966282036000002</v>
      </c>
      <c r="D96" s="512" t="n">
        <v>0.1208202748741714</v>
      </c>
      <c r="E96" s="512" t="n">
        <v>0.08728270994558283</v>
      </c>
      <c r="F96" s="512" t="n">
        <v>0.1932445563330725</v>
      </c>
      <c r="G96" s="513" t="n">
        <v>0.8167518764285684</v>
      </c>
      <c r="H96" s="513" t="n">
        <v>1.002779668</v>
      </c>
      <c r="I96" s="512" t="n">
        <v>0.0892203596244</v>
      </c>
      <c r="J96" s="512" t="n">
        <v>0.525326392</v>
      </c>
      <c r="K96" s="512" t="n">
        <v>0.0578</v>
      </c>
      <c r="L96" s="512" t="n">
        <v>0.2815127907823082</v>
      </c>
      <c r="M96" s="512" t="n">
        <v>0.07630726667234705</v>
      </c>
      <c r="N96" s="513" t="n">
        <v>0.8431269668834348</v>
      </c>
      <c r="O96" s="513" t="n">
        <v>3.64615550043554</v>
      </c>
      <c r="P96" s="513" t="n">
        <v>18.59758005696112</v>
      </c>
      <c r="Q96" s="513" t="n">
        <v>28.26574274666995</v>
      </c>
      <c r="R96" s="513" t="n">
        <v>4.308601916726718</v>
      </c>
      <c r="S96" s="513" t="n">
        <v>48.85612744</v>
      </c>
      <c r="T96" s="512" t="n">
        <v>-0.2170198547706505</v>
      </c>
      <c r="U96" s="512" t="n">
        <v>0.05875142977484411</v>
      </c>
      <c r="V96" s="512" t="n">
        <v>0.04214832041393187</v>
      </c>
      <c r="W96" s="512" t="n">
        <v>0.4772723193371768</v>
      </c>
      <c r="X96" s="512" t="n">
        <v>0.1593362325156308</v>
      </c>
      <c r="Y96" s="512" t="n">
        <v>0.3793353641624157</v>
      </c>
      <c r="Z96" s="512" t="n">
        <v>0.3793353641624158</v>
      </c>
      <c r="AA96" s="514" t="n">
        <v>0.1226407794397139</v>
      </c>
    </row>
    <row r="97" ht="14" customHeight="1">
      <c r="A97" s="125" t="inlineStr">
        <is>
          <t>Total Market (without financials)</t>
        </is>
      </c>
      <c r="B97" s="296" t="n">
        <v>4935</v>
      </c>
      <c r="C97" s="512" t="n">
        <v>0.1024629822400811</v>
      </c>
      <c r="D97" s="512" t="n">
        <v>0.1193423474545378</v>
      </c>
      <c r="E97" s="512" t="n">
        <v>0.1500847297514602</v>
      </c>
      <c r="F97" s="512" t="n">
        <v>0.1933559769489341</v>
      </c>
      <c r="G97" s="513" t="n">
        <v>0.9767930643706536</v>
      </c>
      <c r="H97" s="513" t="n">
        <v>1.085781677698481</v>
      </c>
      <c r="I97" s="512" t="n">
        <v>0.09281434664434421</v>
      </c>
      <c r="J97" s="512" t="n">
        <v>0.5739628547189463</v>
      </c>
      <c r="K97" s="512" t="n">
        <v>0.0578</v>
      </c>
      <c r="L97" s="512" t="n">
        <v>0.1617090500446805</v>
      </c>
      <c r="M97" s="512" t="n">
        <v>0.08481551413740654</v>
      </c>
      <c r="N97" s="513" t="n">
        <v>1.560659810415914</v>
      </c>
      <c r="O97" s="513" t="n">
        <v>2.987722286202415</v>
      </c>
      <c r="P97" s="513" t="n">
        <v>15.83110227372288</v>
      </c>
      <c r="Q97" s="513" t="n">
        <v>24.411761199615</v>
      </c>
      <c r="R97" s="513" t="n">
        <v>5.097031735559836</v>
      </c>
      <c r="S97" s="513" t="n">
        <v>53.28276287454916</v>
      </c>
      <c r="T97" s="512" t="n">
        <v>0.08252203941622305</v>
      </c>
      <c r="U97" s="512" t="n">
        <v>0.06078159317458977</v>
      </c>
      <c r="V97" s="512" t="n">
        <v>0.0434739032018408</v>
      </c>
      <c r="W97" s="512" t="n">
        <v>0.5079011864198951</v>
      </c>
      <c r="X97" s="512" t="n">
        <v>0.1640737540709641</v>
      </c>
      <c r="Y97" s="512" t="n">
        <v>0.396826479404532</v>
      </c>
      <c r="Z97" s="512" t="n">
        <v>0.396826479404532</v>
      </c>
      <c r="AA97" s="514" t="n">
        <v>0.1213209947335242</v>
      </c>
    </row>
  </sheetData>
  <pageMargins left="0.75" right="0.75" top="1" bottom="1" header="0.5" footer="0.5"/>
  <pageSetup orientation="portrait" horizontalDpi="4294967292" verticalDpi="4294967292"/>
</worksheet>
</file>

<file path=xl/worksheets/sheet15.xml><?xml version="1.0" encoding="utf-8"?>
<worksheet xmlns="http://schemas.openxmlformats.org/spreadsheetml/2006/main">
  <sheetPr>
    <outlinePr summaryBelow="1" summaryRight="1"/>
    <pageSetUpPr/>
  </sheetPr>
  <dimension ref="A1:T97"/>
  <sheetViews>
    <sheetView workbookViewId="0">
      <selection activeCell="G47" sqref="G47"/>
    </sheetView>
  </sheetViews>
  <sheetFormatPr baseColWidth="10" defaultRowHeight="13"/>
  <cols>
    <col width="41" customWidth="1" min="1" max="1"/>
    <col width="14.83203125" customWidth="1" min="3" max="18"/>
  </cols>
  <sheetData>
    <row r="1" ht="16" customFormat="1" customHeight="1" s="2">
      <c r="A1" s="374" t="n"/>
      <c r="B1" s="126" t="n"/>
      <c r="C1" s="696" t="inlineStr">
        <is>
          <t>Revenue Growth Rate = Last 3 years</t>
        </is>
      </c>
      <c r="D1" s="749" t="n"/>
      <c r="E1" s="749" t="n"/>
      <c r="F1" s="696" t="inlineStr">
        <is>
          <t>Pre-tax Operating Margin</t>
        </is>
      </c>
      <c r="G1" s="749" t="n"/>
      <c r="H1" s="749" t="n"/>
      <c r="I1" s="697" t="inlineStr">
        <is>
          <t>Sales to Invested Capital</t>
        </is>
      </c>
      <c r="J1" s="749" t="n"/>
      <c r="K1" s="749" t="n"/>
      <c r="L1" s="696" t="inlineStr">
        <is>
          <t>Cost of Capital</t>
        </is>
      </c>
      <c r="M1" s="749" t="n"/>
      <c r="N1" s="749" t="n"/>
      <c r="O1" s="126" t="inlineStr">
        <is>
          <t>Beta</t>
        </is>
      </c>
      <c r="P1" s="696" t="inlineStr">
        <is>
          <t>Debt to Capital Ratio</t>
        </is>
      </c>
      <c r="Q1" s="749" t="n"/>
      <c r="R1" s="749" t="n"/>
      <c r="S1" s="515" t="n"/>
      <c r="T1" s="515" t="n"/>
    </row>
    <row r="2" ht="17" customHeight="1">
      <c r="A2" s="372" t="inlineStr">
        <is>
          <t>Industry Group</t>
        </is>
      </c>
      <c r="B2" s="373" t="inlineStr">
        <is>
          <t>count</t>
        </is>
      </c>
      <c r="C2" s="373" t="inlineStr">
        <is>
          <t>First Quartlie</t>
        </is>
      </c>
      <c r="D2" s="373" t="inlineStr">
        <is>
          <t>Median</t>
        </is>
      </c>
      <c r="E2" s="373" t="inlineStr">
        <is>
          <t>Third Quartile</t>
        </is>
      </c>
      <c r="F2" s="373" t="inlineStr">
        <is>
          <t>First Quartlie</t>
        </is>
      </c>
      <c r="G2" s="373" t="inlineStr">
        <is>
          <t>Median</t>
        </is>
      </c>
      <c r="H2" s="373" t="inlineStr">
        <is>
          <t>Third Quartile</t>
        </is>
      </c>
      <c r="I2" s="373" t="inlineStr">
        <is>
          <t>First Quartlie</t>
        </is>
      </c>
      <c r="J2" s="373" t="inlineStr">
        <is>
          <t>Median</t>
        </is>
      </c>
      <c r="K2" s="373" t="inlineStr">
        <is>
          <t>Third Quartile</t>
        </is>
      </c>
      <c r="L2" s="373" t="inlineStr">
        <is>
          <t>First Quartlie</t>
        </is>
      </c>
      <c r="M2" s="373" t="inlineStr">
        <is>
          <t>Median</t>
        </is>
      </c>
      <c r="N2" s="373" t="inlineStr">
        <is>
          <t>Third Quartile</t>
        </is>
      </c>
      <c r="O2" s="373" t="inlineStr">
        <is>
          <t>median(Beta)</t>
        </is>
      </c>
      <c r="P2" s="373" t="inlineStr">
        <is>
          <t>First Quartlie</t>
        </is>
      </c>
      <c r="Q2" s="373" t="inlineStr">
        <is>
          <t>Median</t>
        </is>
      </c>
      <c r="R2" s="373" t="inlineStr">
        <is>
          <t>Third Quartile</t>
        </is>
      </c>
    </row>
    <row r="3">
      <c r="A3" s="516" t="inlineStr">
        <is>
          <t>Advertising</t>
        </is>
      </c>
      <c r="B3" s="517" t="n">
        <v>417</v>
      </c>
      <c r="C3" s="518" t="n">
        <v>0.0156</v>
      </c>
      <c r="D3" s="518" t="n">
        <v>0.06909999999999999</v>
      </c>
      <c r="E3" s="518" t="n">
        <v>0.157</v>
      </c>
      <c r="F3" s="518" t="n">
        <v>-0.03453947368421053</v>
      </c>
      <c r="G3" s="518" t="n">
        <v>0.03694427497401345</v>
      </c>
      <c r="H3" s="518" t="n">
        <v>0.1051159366948841</v>
      </c>
      <c r="I3" s="519" t="n">
        <v>1.205708661417323</v>
      </c>
      <c r="J3" s="519" t="n">
        <v>2.965672481710748</v>
      </c>
      <c r="K3" s="519" t="n">
        <v>6.382022471910113</v>
      </c>
      <c r="L3" s="863" t="n">
        <v>0.101457612564645</v>
      </c>
      <c r="M3" s="863" t="n">
        <v>0.1077848942326783</v>
      </c>
      <c r="N3" s="863" t="n">
        <v>0.1100560452215359</v>
      </c>
      <c r="O3" s="519" t="n">
        <v>1.090695975879595</v>
      </c>
      <c r="P3" s="863" t="n">
        <v>0.01532442125855885</v>
      </c>
      <c r="Q3" s="863" t="n">
        <v>0.1050295857988166</v>
      </c>
      <c r="R3" s="863" t="n">
        <v>0.315249751902084</v>
      </c>
      <c r="S3" s="863" t="n">
        <v>0.09155285786545272</v>
      </c>
      <c r="T3" s="863" t="n">
        <v>0.2810652842279661</v>
      </c>
    </row>
    <row r="4">
      <c r="A4" s="516" t="inlineStr">
        <is>
          <t>Aerospace/Defense</t>
        </is>
      </c>
      <c r="B4" s="517" t="n">
        <v>300</v>
      </c>
      <c r="C4" s="518" t="n">
        <v>0.0766</v>
      </c>
      <c r="D4" s="518" t="n">
        <v>0.148</v>
      </c>
      <c r="E4" s="518" t="n">
        <v>0.25</v>
      </c>
      <c r="F4" s="518" t="n">
        <v>-0.04434968017057569</v>
      </c>
      <c r="G4" s="518" t="n">
        <v>0.06680596340637</v>
      </c>
      <c r="H4" s="518" t="n">
        <v>0.1338742393509128</v>
      </c>
      <c r="I4" s="519" t="n">
        <v>0.6856809007860635</v>
      </c>
      <c r="J4" s="519" t="n">
        <v>1.262120209504658</v>
      </c>
      <c r="K4" s="519" t="n">
        <v>2.152642971859507</v>
      </c>
      <c r="L4" s="863" t="n">
        <v>0.08370858269585674</v>
      </c>
      <c r="M4" s="863" t="n">
        <v>0.08989193315271361</v>
      </c>
      <c r="N4" s="863" t="n">
        <v>0.09274528150765018</v>
      </c>
      <c r="O4" s="519" t="n">
        <v>0.9510688233504102</v>
      </c>
      <c r="P4" s="863" t="n">
        <v>0.009488771256106525</v>
      </c>
      <c r="Q4" s="863" t="n">
        <v>0.07353692374900625</v>
      </c>
      <c r="R4" s="863" t="n">
        <v>0.2128378378378378</v>
      </c>
      <c r="S4" s="863" t="n">
        <v>0.09774436090225563</v>
      </c>
      <c r="T4" s="863" t="n">
        <v>0.2356830085000429</v>
      </c>
    </row>
    <row r="5">
      <c r="A5" s="516" t="inlineStr">
        <is>
          <t>Air Transport</t>
        </is>
      </c>
      <c r="B5" s="517" t="n">
        <v>151</v>
      </c>
      <c r="C5" s="518" t="n">
        <v>0.0544</v>
      </c>
      <c r="D5" s="518" t="n">
        <v>0.09710000000000001</v>
      </c>
      <c r="E5" s="518" t="n">
        <v>0.144</v>
      </c>
      <c r="F5" s="518" t="n">
        <v>0.02561537845258934</v>
      </c>
      <c r="G5" s="518" t="n">
        <v>0.09685341594811739</v>
      </c>
      <c r="H5" s="518" t="n">
        <v>0.1682291666666667</v>
      </c>
      <c r="I5" s="519" t="n">
        <v>0.6639400921658986</v>
      </c>
      <c r="J5" s="519" t="n">
        <v>1.107456678611752</v>
      </c>
      <c r="K5" s="519" t="n">
        <v>2.124830623306233</v>
      </c>
      <c r="L5" s="863" t="n">
        <v>0.07969284224728979</v>
      </c>
      <c r="M5" s="863" t="n">
        <v>0.08586440590183238</v>
      </c>
      <c r="N5" s="863" t="n">
        <v>0.1002569390867696</v>
      </c>
      <c r="O5" s="519" t="n">
        <v>1.24355532475262</v>
      </c>
      <c r="P5" s="863" t="n">
        <v>0.1750368088291699</v>
      </c>
      <c r="Q5" s="863" t="n">
        <v>0.4271086120153892</v>
      </c>
      <c r="R5" s="863" t="n">
        <v>0.6055812869585482</v>
      </c>
      <c r="S5" s="863" t="n">
        <v>0.4367579355464017</v>
      </c>
      <c r="T5" s="863" t="n">
        <v>0.626528890763391</v>
      </c>
    </row>
    <row r="6">
      <c r="A6" s="516" t="inlineStr">
        <is>
          <t>Apparel</t>
        </is>
      </c>
      <c r="B6" s="517" t="n">
        <v>1194</v>
      </c>
      <c r="C6" s="518" t="n">
        <v>0.0215</v>
      </c>
      <c r="D6" s="518" t="n">
        <v>0.0698</v>
      </c>
      <c r="E6" s="518" t="n">
        <v>0.135</v>
      </c>
      <c r="F6" s="518" t="n">
        <v>-0.01725888324873097</v>
      </c>
      <c r="G6" s="518" t="n">
        <v>0.04076576576576577</v>
      </c>
      <c r="H6" s="518" t="n">
        <v>0.08798621315176487</v>
      </c>
      <c r="I6" s="519" t="n">
        <v>0.6521428571428572</v>
      </c>
      <c r="J6" s="519" t="n">
        <v>1.259373320656487</v>
      </c>
      <c r="K6" s="519" t="n">
        <v>1.921167387594056</v>
      </c>
      <c r="L6" s="863" t="n">
        <v>0.08495429204336157</v>
      </c>
      <c r="M6" s="863" t="n">
        <v>0.09779035796381207</v>
      </c>
      <c r="N6" s="863" t="n">
        <v>0.1019375734072223</v>
      </c>
      <c r="O6" s="519" t="n">
        <v>0.6996936296941912</v>
      </c>
      <c r="P6" s="863" t="n">
        <v>0.05079365079365079</v>
      </c>
      <c r="Q6" s="863" t="n">
        <v>0.2260843765648429</v>
      </c>
      <c r="R6" s="863" t="n">
        <v>0.5189094107299912</v>
      </c>
      <c r="S6" s="863" t="n">
        <v>0.2344753747323341</v>
      </c>
      <c r="T6" s="863" t="n">
        <v>0.5126404494382022</v>
      </c>
    </row>
    <row r="7">
      <c r="A7" s="516" t="inlineStr">
        <is>
          <t>Auto &amp; Truck</t>
        </is>
      </c>
      <c r="B7" s="517" t="n">
        <v>162</v>
      </c>
      <c r="C7" s="518" t="n">
        <v>0.008960000000000001</v>
      </c>
      <c r="D7" s="518" t="n">
        <v>0.0561</v>
      </c>
      <c r="E7" s="518" t="n">
        <v>0.183</v>
      </c>
      <c r="F7" s="518" t="n">
        <v>-0.227202586523624</v>
      </c>
      <c r="G7" s="518" t="n">
        <v>0.02102153974406314</v>
      </c>
      <c r="H7" s="518" t="n">
        <v>0.08495968111226923</v>
      </c>
      <c r="I7" s="519" t="n">
        <v>0.611888111888112</v>
      </c>
      <c r="J7" s="519" t="n">
        <v>1.317757191773647</v>
      </c>
      <c r="K7" s="519" t="n">
        <v>2.915119537801365</v>
      </c>
      <c r="L7" s="863" t="n">
        <v>0.08977339019354219</v>
      </c>
      <c r="M7" s="863" t="n">
        <v>0.09754930690946662</v>
      </c>
      <c r="N7" s="863" t="n">
        <v>0.111895887838483</v>
      </c>
      <c r="O7" s="519" t="n">
        <v>1.427983043714252</v>
      </c>
      <c r="P7" s="863" t="n">
        <v>0.01849183648722869</v>
      </c>
      <c r="Q7" s="863" t="n">
        <v>0.160300037649512</v>
      </c>
      <c r="R7" s="863" t="n">
        <v>0.4819505246670988</v>
      </c>
      <c r="S7" s="863" t="n">
        <v>0.1307709829343942</v>
      </c>
      <c r="T7" s="863" t="n">
        <v>0.3792389746855596</v>
      </c>
    </row>
    <row r="8">
      <c r="A8" s="516" t="inlineStr">
        <is>
          <t>Auto Parts</t>
        </is>
      </c>
      <c r="B8" s="517" t="n">
        <v>780</v>
      </c>
      <c r="C8" s="518" t="n">
        <v>0.0174</v>
      </c>
      <c r="D8" s="518" t="n">
        <v>0.05860000000000001</v>
      </c>
      <c r="E8" s="518" t="n">
        <v>0.181</v>
      </c>
      <c r="F8" s="518" t="n">
        <v>0.02078257130571879</v>
      </c>
      <c r="G8" s="518" t="n">
        <v>0.05191441441441442</v>
      </c>
      <c r="H8" s="518" t="n">
        <v>0.09109267307607884</v>
      </c>
      <c r="I8" s="519" t="n">
        <v>1.043083900226758</v>
      </c>
      <c r="J8" s="519" t="n">
        <v>1.611982881597718</v>
      </c>
      <c r="K8" s="519" t="n">
        <v>2.356597054962077</v>
      </c>
      <c r="L8" s="863" t="n">
        <v>0.1000781892761156</v>
      </c>
      <c r="M8" s="863" t="n">
        <v>0.1062405419602088</v>
      </c>
      <c r="N8" s="863" t="n">
        <v>0.1135535810598545</v>
      </c>
      <c r="O8" s="519" t="n">
        <v>1.253960620311174</v>
      </c>
      <c r="P8" s="863" t="n">
        <v>0.04601300891351481</v>
      </c>
      <c r="Q8" s="863" t="n">
        <v>0.1923987442130563</v>
      </c>
      <c r="R8" s="863" t="n">
        <v>0.444976076555024</v>
      </c>
      <c r="S8" s="863" t="n">
        <v>0.1815564473913802</v>
      </c>
      <c r="T8" s="863" t="n">
        <v>0.4199553239017125</v>
      </c>
    </row>
    <row r="9">
      <c r="A9" s="516" t="inlineStr">
        <is>
          <t>Bank (Money Center)</t>
        </is>
      </c>
      <c r="B9" s="517" t="n">
        <v>621</v>
      </c>
      <c r="C9" s="518" t="n">
        <v>0.0186</v>
      </c>
      <c r="D9" s="518" t="n">
        <v>0.05860000000000001</v>
      </c>
      <c r="E9" s="518" t="n">
        <v>0.116</v>
      </c>
      <c r="F9" s="518" t="n">
        <v>0</v>
      </c>
      <c r="G9" s="518" t="n">
        <v>0</v>
      </c>
      <c r="H9" s="518" t="n">
        <v>0</v>
      </c>
      <c r="I9" s="519" t="n">
        <v>0.1491833286398198</v>
      </c>
      <c r="J9" s="519" t="n">
        <v>0.2804228286007067</v>
      </c>
      <c r="K9" s="519" t="n">
        <v>0.5122923588039867</v>
      </c>
      <c r="L9" s="863" t="n">
        <v>0.06543905665141708</v>
      </c>
      <c r="M9" s="863" t="n">
        <v>0.07417162906886267</v>
      </c>
      <c r="N9" s="863" t="n">
        <v>0.1000637638890302</v>
      </c>
      <c r="O9" s="519" t="n">
        <v>0.7491171689049244</v>
      </c>
      <c r="P9" s="863" t="n">
        <v>0.2606709638126173</v>
      </c>
      <c r="Q9" s="863" t="n">
        <v>0.5076020100031077</v>
      </c>
      <c r="R9" s="863" t="n">
        <v>0.704890658617257</v>
      </c>
      <c r="S9" s="863" t="n">
        <v>0.5234223734713223</v>
      </c>
      <c r="T9" s="863" t="n">
        <v>0.719745038947034</v>
      </c>
    </row>
    <row r="10">
      <c r="A10" s="516" t="inlineStr">
        <is>
          <t>Banks (Regional)</t>
        </is>
      </c>
      <c r="B10" s="517" t="n">
        <v>849</v>
      </c>
      <c r="C10" s="518" t="n">
        <v>0.012</v>
      </c>
      <c r="D10" s="518" t="n">
        <v>0.0483</v>
      </c>
      <c r="E10" s="518" t="n">
        <v>0.103</v>
      </c>
      <c r="F10" s="518" t="n">
        <v>0</v>
      </c>
      <c r="G10" s="518" t="n">
        <v>0</v>
      </c>
      <c r="H10" s="518" t="n">
        <v>0.001050821767673455</v>
      </c>
      <c r="I10" s="519" t="n">
        <v>0.1527152022156804</v>
      </c>
      <c r="J10" s="519" t="n">
        <v>0.2954048140043763</v>
      </c>
      <c r="K10" s="519" t="n">
        <v>0.4848931466470154</v>
      </c>
      <c r="L10" s="863" t="n">
        <v>0.05491202524696669</v>
      </c>
      <c r="M10" s="863" t="n">
        <v>0.05651697674081438</v>
      </c>
      <c r="N10" s="863" t="n">
        <v>0.05832090673185682</v>
      </c>
      <c r="O10" s="519" t="n">
        <v>0.5108979365760816</v>
      </c>
      <c r="P10" s="863" t="n">
        <v>0.129245509418616</v>
      </c>
      <c r="Q10" s="863" t="n">
        <v>0.3633292837806369</v>
      </c>
      <c r="R10" s="863" t="n">
        <v>0.6399301452832695</v>
      </c>
      <c r="S10" s="863" t="n">
        <v>0.4039039106036102</v>
      </c>
      <c r="T10" s="863" t="n">
        <v>0.6485657379990399</v>
      </c>
    </row>
    <row r="11">
      <c r="A11" s="516" t="inlineStr">
        <is>
          <t>Beverage (Alcoholic)</t>
        </is>
      </c>
      <c r="B11" s="517" t="n">
        <v>216</v>
      </c>
      <c r="C11" s="518" t="n">
        <v>0.0102</v>
      </c>
      <c r="D11" s="518" t="n">
        <v>0.04940000000000001</v>
      </c>
      <c r="E11" s="518" t="n">
        <v>0.1</v>
      </c>
      <c r="F11" s="518" t="n">
        <v>0.01355191256830601</v>
      </c>
      <c r="G11" s="518" t="n">
        <v>0.08995059338868232</v>
      </c>
      <c r="H11" s="518" t="n">
        <v>0.1741130091984232</v>
      </c>
      <c r="I11" s="519" t="n">
        <v>0.586053412462908</v>
      </c>
      <c r="J11" s="519" t="n">
        <v>1.16471158411141</v>
      </c>
      <c r="K11" s="519" t="n">
        <v>2.169957413859853</v>
      </c>
      <c r="L11" s="863" t="n">
        <v>0.07639529873561129</v>
      </c>
      <c r="M11" s="863" t="n">
        <v>0.08208543244301032</v>
      </c>
      <c r="N11" s="863" t="n">
        <v>0.09517866655803306</v>
      </c>
      <c r="O11" s="519" t="n">
        <v>0.7292764715545256</v>
      </c>
      <c r="P11" s="863" t="n">
        <v>0.003138075313807531</v>
      </c>
      <c r="Q11" s="863" t="n">
        <v>0.07053695264513574</v>
      </c>
      <c r="R11" s="863" t="n">
        <v>0.2938271604938272</v>
      </c>
      <c r="S11" s="863" t="n">
        <v>0.06227857542420288</v>
      </c>
      <c r="T11" s="863" t="n">
        <v>0.2591483387927001</v>
      </c>
    </row>
    <row r="12">
      <c r="A12" s="516" t="inlineStr">
        <is>
          <t>Beverage (Soft)</t>
        </is>
      </c>
      <c r="B12" s="517" t="n">
        <v>101</v>
      </c>
      <c r="C12" s="518" t="n">
        <v>0.0326</v>
      </c>
      <c r="D12" s="518" t="n">
        <v>0.0612</v>
      </c>
      <c r="E12" s="518" t="n">
        <v>0.121</v>
      </c>
      <c r="F12" s="518" t="n">
        <v>-0.08970873786407767</v>
      </c>
      <c r="G12" s="518" t="n">
        <v>0.07810945273631842</v>
      </c>
      <c r="H12" s="518" t="n">
        <v>0.1376079367995591</v>
      </c>
      <c r="I12" s="519" t="n">
        <v>1.209404677086246</v>
      </c>
      <c r="J12" s="519" t="n">
        <v>1.843188287921919</v>
      </c>
      <c r="K12" s="519" t="n">
        <v>2.898466373715915</v>
      </c>
      <c r="L12" s="863" t="n">
        <v>0.07421564215721099</v>
      </c>
      <c r="M12" s="863" t="n">
        <v>0.07932565172123435</v>
      </c>
      <c r="N12" s="863" t="n">
        <v>0.08836354831506919</v>
      </c>
      <c r="O12" s="519" t="n">
        <v>0.4294442713313782</v>
      </c>
      <c r="P12" s="863" t="n">
        <v>0.004554047087128373</v>
      </c>
      <c r="Q12" s="863" t="n">
        <v>0.05412683090579162</v>
      </c>
      <c r="R12" s="863" t="n">
        <v>0.2550823716877843</v>
      </c>
      <c r="S12" s="863" t="n">
        <v>0.06902099769083329</v>
      </c>
      <c r="T12" s="863" t="n">
        <v>0.3184342766463898</v>
      </c>
    </row>
    <row r="13">
      <c r="A13" s="516" t="inlineStr">
        <is>
          <t>Broadcasting</t>
        </is>
      </c>
      <c r="B13" s="517" t="n">
        <v>126</v>
      </c>
      <c r="C13" s="518" t="n">
        <v>-0.00561</v>
      </c>
      <c r="D13" s="518" t="n">
        <v>0.0165</v>
      </c>
      <c r="E13" s="518" t="n">
        <v>0.0417</v>
      </c>
      <c r="F13" s="518" t="n">
        <v>-0.01848126728689967</v>
      </c>
      <c r="G13" s="518" t="n">
        <v>0.05218840531758583</v>
      </c>
      <c r="H13" s="518" t="n">
        <v>0.1342235377997219</v>
      </c>
      <c r="I13" s="519" t="n">
        <v>0.5537899017363027</v>
      </c>
      <c r="J13" s="519" t="n">
        <v>0.8920127795527156</v>
      </c>
      <c r="K13" s="519" t="n">
        <v>1.488725457124479</v>
      </c>
      <c r="L13" s="863" t="n">
        <v>0.07585431628454445</v>
      </c>
      <c r="M13" s="863" t="n">
        <v>0.08143671370191286</v>
      </c>
      <c r="N13" s="863" t="n">
        <v>0.09293921734063078</v>
      </c>
      <c r="O13" s="519" t="n">
        <v>0.9154409361623687</v>
      </c>
      <c r="P13" s="863" t="n">
        <v>0.0281287927464839</v>
      </c>
      <c r="Q13" s="863" t="n">
        <v>0.2355889724310777</v>
      </c>
      <c r="R13" s="863" t="n">
        <v>0.6146362098138748</v>
      </c>
      <c r="S13" s="863" t="n">
        <v>0.2767555555555556</v>
      </c>
      <c r="T13" s="863" t="n">
        <v>0.5826664199589694</v>
      </c>
    </row>
    <row r="14">
      <c r="A14" s="516" t="inlineStr">
        <is>
          <t>Brokerage &amp; Investment Banking</t>
        </is>
      </c>
      <c r="B14" s="517" t="n">
        <v>606</v>
      </c>
      <c r="C14" s="518" t="n">
        <v>0.0185</v>
      </c>
      <c r="D14" s="518" t="n">
        <v>0.08259999999999999</v>
      </c>
      <c r="E14" s="518" t="n">
        <v>0.157</v>
      </c>
      <c r="F14" s="518" t="n">
        <v>0</v>
      </c>
      <c r="G14" s="518" t="n">
        <v>0</v>
      </c>
      <c r="H14" s="518" t="n">
        <v>0</v>
      </c>
      <c r="I14" s="519" t="n">
        <v>0.09056402470300988</v>
      </c>
      <c r="J14" s="519" t="n">
        <v>0.2640449438202247</v>
      </c>
      <c r="K14" s="519" t="n">
        <v>0.9599395313681028</v>
      </c>
      <c r="L14" s="863" t="n">
        <v>0.06446881587098943</v>
      </c>
      <c r="M14" s="863" t="n">
        <v>0.07240516125419928</v>
      </c>
      <c r="N14" s="863" t="n">
        <v>0.07403275386718135</v>
      </c>
      <c r="O14" s="519" t="n">
        <v>0.8399942239151442</v>
      </c>
      <c r="P14" s="863" t="n">
        <v>0.008264462809917356</v>
      </c>
      <c r="Q14" s="863" t="n">
        <v>0.1235230934479055</v>
      </c>
      <c r="R14" s="863" t="n">
        <v>0.5231826433081849</v>
      </c>
      <c r="S14" s="863" t="n">
        <v>0.1421616358325219</v>
      </c>
      <c r="T14" s="863" t="n">
        <v>0.535271943995692</v>
      </c>
    </row>
    <row r="15">
      <c r="A15" s="516" t="inlineStr">
        <is>
          <t>Building Materials</t>
        </is>
      </c>
      <c r="B15" s="517" t="n">
        <v>462</v>
      </c>
      <c r="C15" s="518" t="n">
        <v>0.00515</v>
      </c>
      <c r="D15" s="518" t="n">
        <v>0.0433</v>
      </c>
      <c r="E15" s="518" t="n">
        <v>0.1</v>
      </c>
      <c r="F15" s="518" t="n">
        <v>0.01496419148134188</v>
      </c>
      <c r="G15" s="518" t="n">
        <v>0.06401776234548358</v>
      </c>
      <c r="H15" s="518" t="n">
        <v>0.1213483146067416</v>
      </c>
      <c r="I15" s="519" t="n">
        <v>0.8894783377541998</v>
      </c>
      <c r="J15" s="519" t="n">
        <v>1.375401412973667</v>
      </c>
      <c r="K15" s="519" t="n">
        <v>2.21868787276342</v>
      </c>
      <c r="L15" s="863" t="n">
        <v>0.08699761212089249</v>
      </c>
      <c r="M15" s="863" t="n">
        <v>0.09321560538076921</v>
      </c>
      <c r="N15" s="863" t="n">
        <v>0.1090872345750292</v>
      </c>
      <c r="O15" s="519" t="n">
        <v>0.9460925983472226</v>
      </c>
      <c r="P15" s="863" t="n">
        <v>0.05445335584634868</v>
      </c>
      <c r="Q15" s="863" t="n">
        <v>0.172106824925816</v>
      </c>
      <c r="R15" s="863" t="n">
        <v>0.383975560932203</v>
      </c>
      <c r="S15" s="863" t="n">
        <v>0.1734767025089606</v>
      </c>
      <c r="T15" s="863" t="n">
        <v>0.3712599755647405</v>
      </c>
    </row>
    <row r="16">
      <c r="A16" s="516" t="inlineStr">
        <is>
          <t>Business &amp; Consumer Services</t>
        </is>
      </c>
      <c r="B16" s="517" t="n">
        <v>974</v>
      </c>
      <c r="C16" s="518" t="n">
        <v>0.0259</v>
      </c>
      <c r="D16" s="518" t="n">
        <v>0.06509999999999999</v>
      </c>
      <c r="E16" s="518" t="n">
        <v>0.118</v>
      </c>
      <c r="F16" s="518" t="n">
        <v>-0.001862673676224222</v>
      </c>
      <c r="G16" s="518" t="n">
        <v>0.05923682616596003</v>
      </c>
      <c r="H16" s="518" t="n">
        <v>0.1304347826086956</v>
      </c>
      <c r="I16" s="519" t="n">
        <v>1.016190148122632</v>
      </c>
      <c r="J16" s="519" t="n">
        <v>2.583050847457627</v>
      </c>
      <c r="K16" s="519" t="n">
        <v>5.798192771084337</v>
      </c>
      <c r="L16" s="863" t="n">
        <v>0.08690215301261088</v>
      </c>
      <c r="M16" s="863" t="n">
        <v>0.09365774727205475</v>
      </c>
      <c r="N16" s="863" t="n">
        <v>0.09605810938980001</v>
      </c>
      <c r="O16" s="519" t="n">
        <v>0.9320168951708875</v>
      </c>
      <c r="P16" s="863" t="n">
        <v>0.01574622145819398</v>
      </c>
      <c r="Q16" s="863" t="n">
        <v>0.1194274988268419</v>
      </c>
      <c r="R16" s="863" t="n">
        <v>0.3229706390328151</v>
      </c>
      <c r="S16" s="863" t="n">
        <v>0.1105722599418041</v>
      </c>
      <c r="T16" s="863" t="n">
        <v>0.305747072235142</v>
      </c>
    </row>
    <row r="17">
      <c r="A17" s="516" t="inlineStr">
        <is>
          <t>Cable TV</t>
        </is>
      </c>
      <c r="B17" s="517" t="n">
        <v>45</v>
      </c>
      <c r="C17" s="518" t="n">
        <v>-0.02</v>
      </c>
      <c r="D17" s="518" t="n">
        <v>0.0129</v>
      </c>
      <c r="E17" s="518" t="n">
        <v>0.0326</v>
      </c>
      <c r="F17" s="518" t="n">
        <v>-0.04848042244817707</v>
      </c>
      <c r="G17" s="518" t="n">
        <v>0.04015813566375364</v>
      </c>
      <c r="H17" s="518" t="n">
        <v>0.2024825847361216</v>
      </c>
      <c r="I17" s="519" t="n">
        <v>0.3052684119532115</v>
      </c>
      <c r="J17" s="519" t="n">
        <v>0.6857752993037433</v>
      </c>
      <c r="K17" s="519" t="n">
        <v>1.369561989606533</v>
      </c>
      <c r="L17" s="863" t="n">
        <v>0.07162719448743241</v>
      </c>
      <c r="M17" s="863" t="n">
        <v>0.07646232794920187</v>
      </c>
      <c r="N17" s="863" t="n">
        <v>0.08874840082573207</v>
      </c>
      <c r="O17" s="519" t="n">
        <v>0.8905053178268506</v>
      </c>
      <c r="P17" s="863" t="n">
        <v>0.03172010074195086</v>
      </c>
      <c r="Q17" s="863" t="n">
        <v>0.3383438777652759</v>
      </c>
      <c r="R17" s="863" t="n">
        <v>0.6772972510062516</v>
      </c>
      <c r="S17" s="863" t="n">
        <v>0.379735935706085</v>
      </c>
      <c r="T17" s="863" t="n">
        <v>0.6462093862815883</v>
      </c>
    </row>
    <row r="18">
      <c r="A18" s="516" t="inlineStr">
        <is>
          <t>Chemical (Basic)</t>
        </is>
      </c>
      <c r="B18" s="517" t="n">
        <v>897</v>
      </c>
      <c r="C18" s="518" t="n">
        <v>0.04019999999999999</v>
      </c>
      <c r="D18" s="518" t="n">
        <v>0.08500000000000001</v>
      </c>
      <c r="E18" s="518" t="n">
        <v>0.157</v>
      </c>
      <c r="F18" s="518" t="n">
        <v>-0.0001840560679525005</v>
      </c>
      <c r="G18" s="518" t="n">
        <v>0.04854368932038836</v>
      </c>
      <c r="H18" s="518" t="n">
        <v>0.1015455950540958</v>
      </c>
      <c r="I18" s="519" t="n">
        <v>0.738274464389114</v>
      </c>
      <c r="J18" s="519" t="n">
        <v>1.206098557037844</v>
      </c>
      <c r="K18" s="519" t="n">
        <v>1.754530477759473</v>
      </c>
      <c r="L18" s="863" t="n">
        <v>0.08895032145916501</v>
      </c>
      <c r="M18" s="863" t="n">
        <v>0.09253614151809211</v>
      </c>
      <c r="N18" s="863" t="n">
        <v>0.1079171103243796</v>
      </c>
      <c r="O18" s="519" t="n">
        <v>1.17207611158207</v>
      </c>
      <c r="P18" s="863" t="n">
        <v>0.0255206452389551</v>
      </c>
      <c r="Q18" s="863" t="n">
        <v>0.1722659042172981</v>
      </c>
      <c r="R18" s="863" t="n">
        <v>0.3816091954022989</v>
      </c>
      <c r="S18" s="863" t="n">
        <v>0.1499659168370825</v>
      </c>
      <c r="T18" s="863" t="n">
        <v>0.3632183908045977</v>
      </c>
    </row>
    <row r="19">
      <c r="A19" s="516" t="inlineStr">
        <is>
          <t>Chemical (Diversified)</t>
        </is>
      </c>
      <c r="B19" s="517" t="n">
        <v>64</v>
      </c>
      <c r="C19" s="518" t="n">
        <v>0.009650000000000001</v>
      </c>
      <c r="D19" s="518" t="n">
        <v>0.0493</v>
      </c>
      <c r="E19" s="518" t="n">
        <v>0.09939999999999999</v>
      </c>
      <c r="F19" s="518" t="n">
        <v>0.04532374100719425</v>
      </c>
      <c r="G19" s="518" t="n">
        <v>0.07865168539325845</v>
      </c>
      <c r="H19" s="518" t="n">
        <v>0.1051007869486784</v>
      </c>
      <c r="I19" s="519" t="n">
        <v>0.868350204609089</v>
      </c>
      <c r="J19" s="519" t="n">
        <v>1.186671448015061</v>
      </c>
      <c r="K19" s="519" t="n">
        <v>1.740828694197812</v>
      </c>
      <c r="L19" s="863" t="n">
        <v>0.08266266778996094</v>
      </c>
      <c r="M19" s="863" t="n">
        <v>0.08801332285376696</v>
      </c>
      <c r="N19" s="863" t="n">
        <v>0.1066171485616705</v>
      </c>
      <c r="O19" s="519" t="n">
        <v>1.029523688746231</v>
      </c>
      <c r="P19" s="863" t="n">
        <v>0.07648591049017286</v>
      </c>
      <c r="Q19" s="863" t="n">
        <v>0.2505843852267415</v>
      </c>
      <c r="R19" s="863" t="n">
        <v>0.4853821904849833</v>
      </c>
      <c r="S19" s="863" t="n">
        <v>0.2523215812603154</v>
      </c>
      <c r="T19" s="863" t="n">
        <v>0.450165689523324</v>
      </c>
    </row>
    <row r="20">
      <c r="A20" s="516" t="inlineStr">
        <is>
          <t>Chemical (Specialty)</t>
        </is>
      </c>
      <c r="B20" s="517" t="n">
        <v>951</v>
      </c>
      <c r="C20" s="518" t="n">
        <v>0.027</v>
      </c>
      <c r="D20" s="518" t="n">
        <v>0.0848</v>
      </c>
      <c r="E20" s="518" t="n">
        <v>0.177</v>
      </c>
      <c r="F20" s="518" t="n">
        <v>0</v>
      </c>
      <c r="G20" s="518" t="n">
        <v>0.06395348837209303</v>
      </c>
      <c r="H20" s="518" t="n">
        <v>0.1294843049327354</v>
      </c>
      <c r="I20" s="519" t="n">
        <v>0.6494565217391303</v>
      </c>
      <c r="J20" s="519" t="n">
        <v>1.07919492711571</v>
      </c>
      <c r="K20" s="519" t="n">
        <v>1.658571088414375</v>
      </c>
      <c r="L20" s="863" t="n">
        <v>0.08955264698190776</v>
      </c>
      <c r="M20" s="863" t="n">
        <v>0.0937052336776583</v>
      </c>
      <c r="N20" s="863" t="n">
        <v>0.1107985779148255</v>
      </c>
      <c r="O20" s="519" t="n">
        <v>1.016562156450707</v>
      </c>
      <c r="P20" s="863" t="n">
        <v>0.02142588648039093</v>
      </c>
      <c r="Q20" s="863" t="n">
        <v>0.1387002909796314</v>
      </c>
      <c r="R20" s="863" t="n">
        <v>0.3273273273273273</v>
      </c>
      <c r="S20" s="863" t="n">
        <v>0.1187143597719025</v>
      </c>
      <c r="T20" s="863" t="n">
        <v>0.2811981486333072</v>
      </c>
    </row>
    <row r="21">
      <c r="A21" s="516" t="inlineStr">
        <is>
          <t>Coal &amp; Related Energy</t>
        </is>
      </c>
      <c r="B21" s="517" t="n">
        <v>216</v>
      </c>
      <c r="C21" s="518" t="n">
        <v>-0.02</v>
      </c>
      <c r="D21" s="518" t="n">
        <v>0.0366</v>
      </c>
      <c r="E21" s="518" t="n">
        <v>0.164</v>
      </c>
      <c r="F21" s="518" t="n">
        <v>-0.09700214132762312</v>
      </c>
      <c r="G21" s="518" t="n">
        <v>0.09229466553767994</v>
      </c>
      <c r="H21" s="518" t="n">
        <v>0.1997054940591043</v>
      </c>
      <c r="I21" s="519" t="n">
        <v>0</v>
      </c>
      <c r="J21" s="519" t="n">
        <v>0.6295336787564767</v>
      </c>
      <c r="K21" s="519" t="n">
        <v>1.4210273643783</v>
      </c>
      <c r="L21" s="863" t="n">
        <v>0.09272678230376681</v>
      </c>
      <c r="M21" s="863" t="n">
        <v>0.09490912199103131</v>
      </c>
      <c r="N21" s="863" t="n">
        <v>0.1157205710770768</v>
      </c>
      <c r="O21" s="519" t="n">
        <v>1.112655079401575</v>
      </c>
      <c r="P21" s="863" t="n">
        <v>0.0002850834475199831</v>
      </c>
      <c r="Q21" s="863" t="n">
        <v>0.05479013136815124</v>
      </c>
      <c r="R21" s="863" t="n">
        <v>0.2661448140900196</v>
      </c>
      <c r="S21" s="863" t="n">
        <v>0.0551744706233224</v>
      </c>
      <c r="T21" s="863" t="n">
        <v>0.2618323925314807</v>
      </c>
    </row>
    <row r="22">
      <c r="A22" s="516" t="inlineStr">
        <is>
          <t>Computer Services</t>
        </is>
      </c>
      <c r="B22" s="517" t="n">
        <v>1182</v>
      </c>
      <c r="C22" s="518" t="n">
        <v>0.0291</v>
      </c>
      <c r="D22" s="518" t="n">
        <v>0.07969999999999999</v>
      </c>
      <c r="E22" s="518" t="n">
        <v>0.143</v>
      </c>
      <c r="F22" s="518" t="n">
        <v>0.003316831683168317</v>
      </c>
      <c r="G22" s="518" t="n">
        <v>0.04666666666666666</v>
      </c>
      <c r="H22" s="518" t="n">
        <v>0.1001683501683502</v>
      </c>
      <c r="I22" s="519" t="n">
        <v>1.428571428571429</v>
      </c>
      <c r="J22" s="519" t="n">
        <v>3.073684210526316</v>
      </c>
      <c r="K22" s="519" t="n">
        <v>6.375377187688593</v>
      </c>
      <c r="L22" s="863" t="n">
        <v>0.09401546772382438</v>
      </c>
      <c r="M22" s="863" t="n">
        <v>0.09736065125309958</v>
      </c>
      <c r="N22" s="863" t="n">
        <v>0.1099440562463375</v>
      </c>
      <c r="O22" s="519" t="n">
        <v>0.9951989115818127</v>
      </c>
      <c r="P22" s="863" t="n">
        <v>0.01083707025411061</v>
      </c>
      <c r="Q22" s="863" t="n">
        <v>0.07706650093225606</v>
      </c>
      <c r="R22" s="863" t="n">
        <v>0.2453738175788774</v>
      </c>
      <c r="S22" s="863" t="n">
        <v>0.07269527548395832</v>
      </c>
      <c r="T22" s="863" t="n">
        <v>0.2246674268339035</v>
      </c>
    </row>
    <row r="23">
      <c r="A23" s="516" t="inlineStr">
        <is>
          <t>Computers/Peripherals</t>
        </is>
      </c>
      <c r="B23" s="517" t="n">
        <v>342</v>
      </c>
      <c r="C23" s="518" t="n">
        <v>0.0268</v>
      </c>
      <c r="D23" s="518" t="n">
        <v>0.07339999999999999</v>
      </c>
      <c r="E23" s="518" t="n">
        <v>0.213</v>
      </c>
      <c r="F23" s="518" t="n">
        <v>-0.05116279069767442</v>
      </c>
      <c r="G23" s="518" t="n">
        <v>0.03363349842413327</v>
      </c>
      <c r="H23" s="518" t="n">
        <v>0.08521400778210117</v>
      </c>
      <c r="I23" s="519" t="n">
        <v>0.865561362407641</v>
      </c>
      <c r="J23" s="519" t="n">
        <v>1.655909640984268</v>
      </c>
      <c r="K23" s="519" t="n">
        <v>2.989467609291588</v>
      </c>
      <c r="L23" s="863" t="n">
        <v>0.1046466129455298</v>
      </c>
      <c r="M23" s="863" t="n">
        <v>0.1085772923609996</v>
      </c>
      <c r="N23" s="863" t="n">
        <v>0.1104774522621956</v>
      </c>
      <c r="O23" s="519" t="n">
        <v>1.234262241333496</v>
      </c>
      <c r="P23" s="863" t="n">
        <v>0.01600177797533059</v>
      </c>
      <c r="Q23" s="863" t="n">
        <v>0.1050779399490176</v>
      </c>
      <c r="R23" s="863" t="n">
        <v>0.2967976229778805</v>
      </c>
      <c r="S23" s="863" t="n">
        <v>0.09428129829984543</v>
      </c>
      <c r="T23" s="863" t="n">
        <v>0.2658627449327959</v>
      </c>
    </row>
    <row r="24">
      <c r="A24" s="516" t="inlineStr">
        <is>
          <t>Construction Supplies</t>
        </is>
      </c>
      <c r="B24" s="517" t="n">
        <v>804</v>
      </c>
      <c r="C24" s="518" t="n">
        <v>0.0144</v>
      </c>
      <c r="D24" s="518" t="n">
        <v>0.0535</v>
      </c>
      <c r="E24" s="518" t="n">
        <v>0.125</v>
      </c>
      <c r="F24" s="518" t="n">
        <v>0.007349397590361446</v>
      </c>
      <c r="G24" s="518" t="n">
        <v>0.07145514311528417</v>
      </c>
      <c r="H24" s="518" t="n">
        <v>0.1252873563218391</v>
      </c>
      <c r="I24" s="519" t="n">
        <v>0.6607058823529413</v>
      </c>
      <c r="J24" s="519" t="n">
        <v>1.107250755287009</v>
      </c>
      <c r="K24" s="519" t="n">
        <v>1.7921333680646</v>
      </c>
      <c r="L24" s="863" t="n">
        <v>0.07943898882980904</v>
      </c>
      <c r="M24" s="863" t="n">
        <v>0.08333547353244004</v>
      </c>
      <c r="N24" s="863" t="n">
        <v>0.09734670804555701</v>
      </c>
      <c r="O24" s="519" t="n">
        <v>0.9988863313531698</v>
      </c>
      <c r="P24" s="863" t="n">
        <v>0.03357314148681055</v>
      </c>
      <c r="Q24" s="863" t="n">
        <v>0.1784591194968553</v>
      </c>
      <c r="R24" s="863" t="n">
        <v>0.4005263500479662</v>
      </c>
      <c r="S24" s="863" t="n">
        <v>0.1816526610644258</v>
      </c>
      <c r="T24" s="863" t="n">
        <v>0.3883037694013304</v>
      </c>
    </row>
    <row r="25">
      <c r="A25" s="516" t="inlineStr">
        <is>
          <t>Diversified</t>
        </is>
      </c>
      <c r="B25" s="517" t="n">
        <v>335</v>
      </c>
      <c r="C25" s="518" t="n">
        <v>0.0129</v>
      </c>
      <c r="D25" s="518" t="n">
        <v>0.0564</v>
      </c>
      <c r="E25" s="518" t="n">
        <v>0.09300000000000001</v>
      </c>
      <c r="F25" s="518" t="n">
        <v>0.02293729372937293</v>
      </c>
      <c r="G25" s="518" t="n">
        <v>0.09683426443202979</v>
      </c>
      <c r="H25" s="518" t="n">
        <v>0.1886503067484663</v>
      </c>
      <c r="I25" s="519" t="n">
        <v>0.2202281852903731</v>
      </c>
      <c r="J25" s="519" t="n">
        <v>0.6865318012277647</v>
      </c>
      <c r="K25" s="519" t="n">
        <v>1.66366169480413</v>
      </c>
      <c r="L25" s="863" t="n">
        <v>0.07733139435579917</v>
      </c>
      <c r="M25" s="863" t="n">
        <v>0.08552988817025928</v>
      </c>
      <c r="N25" s="863" t="n">
        <v>0.1007893433303033</v>
      </c>
      <c r="O25" s="519" t="n">
        <v>0.8178934950919782</v>
      </c>
      <c r="P25" s="863" t="n">
        <v>0.07401966785000204</v>
      </c>
      <c r="Q25" s="863" t="n">
        <v>0.328422584523232</v>
      </c>
      <c r="R25" s="863" t="n">
        <v>0.6011273209549072</v>
      </c>
      <c r="S25" s="863" t="n">
        <v>0.3084745762711865</v>
      </c>
      <c r="T25" s="863" t="n">
        <v>0.5882079851439183</v>
      </c>
    </row>
    <row r="26">
      <c r="A26" s="516" t="inlineStr">
        <is>
          <t>Drugs (Biotechnology)</t>
        </is>
      </c>
      <c r="B26" s="517" t="n">
        <v>1223</v>
      </c>
      <c r="C26" s="518" t="n">
        <v>-0.0202</v>
      </c>
      <c r="D26" s="518" t="n">
        <v>0.171</v>
      </c>
      <c r="E26" s="518" t="n">
        <v>0.539</v>
      </c>
      <c r="F26" s="518" t="n">
        <v>-11.81102362204724</v>
      </c>
      <c r="G26" s="518" t="n">
        <v>-1.879581151832461</v>
      </c>
      <c r="H26" s="518" t="n">
        <v>-0.1042598509052183</v>
      </c>
      <c r="I26" s="519" t="n">
        <v>0.0008110946746561971</v>
      </c>
      <c r="J26" s="519" t="n">
        <v>0.1742563024311253</v>
      </c>
      <c r="K26" s="519" t="n">
        <v>0.7575932555722369</v>
      </c>
      <c r="L26" s="863" t="n">
        <v>0.09532048182109752</v>
      </c>
      <c r="M26" s="863" t="n">
        <v>0.09570121719792442</v>
      </c>
      <c r="N26" s="863" t="n">
        <v>0.1045557590510647</v>
      </c>
      <c r="O26" s="519" t="n">
        <v>1.212613939262022</v>
      </c>
      <c r="P26" s="863" t="n">
        <v>0.003092595961433509</v>
      </c>
      <c r="Q26" s="863" t="n">
        <v>0.04470118829012212</v>
      </c>
      <c r="R26" s="863" t="n">
        <v>0.1832775639496713</v>
      </c>
      <c r="S26" s="863" t="n">
        <v>0.04044835875256449</v>
      </c>
      <c r="T26" s="863" t="n">
        <v>0.1668740494953684</v>
      </c>
    </row>
    <row r="27">
      <c r="A27" s="516" t="inlineStr">
        <is>
          <t>Drugs (Pharmaceutical)</t>
        </is>
      </c>
      <c r="B27" s="517" t="n">
        <v>1271</v>
      </c>
      <c r="C27" s="518" t="n">
        <v>0.04940000000000001</v>
      </c>
      <c r="D27" s="518" t="n">
        <v>0.102</v>
      </c>
      <c r="E27" s="518" t="n">
        <v>0.202</v>
      </c>
      <c r="F27" s="518" t="n">
        <v>-0.1827861579414375</v>
      </c>
      <c r="G27" s="518" t="n">
        <v>0.05795918367346939</v>
      </c>
      <c r="H27" s="518" t="n">
        <v>0.1504531722054381</v>
      </c>
      <c r="I27" s="519" t="n">
        <v>0.4596742643673505</v>
      </c>
      <c r="J27" s="519" t="n">
        <v>0.8685015290519876</v>
      </c>
      <c r="K27" s="519" t="n">
        <v>1.474219317356572</v>
      </c>
      <c r="L27" s="863" t="n">
        <v>0.08408258263289964</v>
      </c>
      <c r="M27" s="863" t="n">
        <v>0.09066900750770936</v>
      </c>
      <c r="N27" s="863" t="n">
        <v>0.1022873826499568</v>
      </c>
      <c r="O27" s="519" t="n">
        <v>0.9672221009294519</v>
      </c>
      <c r="P27" s="863" t="n">
        <v>0.004556962025316456</v>
      </c>
      <c r="Q27" s="863" t="n">
        <v>0.07526881720430109</v>
      </c>
      <c r="R27" s="863" t="n">
        <v>0.2635085122131754</v>
      </c>
      <c r="S27" s="863" t="n">
        <v>0.07834131618660192</v>
      </c>
      <c r="T27" s="863" t="n">
        <v>0.2569625761531766</v>
      </c>
    </row>
    <row r="28">
      <c r="A28" s="516" t="inlineStr">
        <is>
          <t>Education</t>
        </is>
      </c>
      <c r="B28" s="517" t="n">
        <v>272</v>
      </c>
      <c r="C28" s="518" t="n">
        <v>0.03700000000000001</v>
      </c>
      <c r="D28" s="518" t="n">
        <v>0.07719999999999999</v>
      </c>
      <c r="E28" s="518" t="n">
        <v>0.116</v>
      </c>
      <c r="F28" s="518" t="n">
        <v>-0.0005617521557379836</v>
      </c>
      <c r="G28" s="518" t="n">
        <v>0.0845959595959596</v>
      </c>
      <c r="H28" s="518" t="n">
        <v>0.1958586626139818</v>
      </c>
      <c r="I28" s="519" t="n">
        <v>0.4359877848249941</v>
      </c>
      <c r="J28" s="519" t="n">
        <v>1.135348755479287</v>
      </c>
      <c r="K28" s="519" t="n">
        <v>2.273202614379085</v>
      </c>
      <c r="L28" s="863" t="n">
        <v>0.07835024335450255</v>
      </c>
      <c r="M28" s="863" t="n">
        <v>0.08409686280235916</v>
      </c>
      <c r="N28" s="863" t="n">
        <v>0.09475475696113045</v>
      </c>
      <c r="O28" s="519" t="n">
        <v>0.6769448379132121</v>
      </c>
      <c r="P28" s="863" t="n">
        <v>0.01816443594646271</v>
      </c>
      <c r="Q28" s="863" t="n">
        <v>0.1112487402930773</v>
      </c>
      <c r="R28" s="863" t="n">
        <v>0.3770856507230256</v>
      </c>
      <c r="S28" s="863" t="n">
        <v>0.1311944764013264</v>
      </c>
      <c r="T28" s="863" t="n">
        <v>0.3860010719479272</v>
      </c>
    </row>
    <row r="29">
      <c r="A29" s="516" t="inlineStr">
        <is>
          <t>Electrical Equipment</t>
        </is>
      </c>
      <c r="B29" s="517" t="n">
        <v>1101</v>
      </c>
      <c r="C29" s="518" t="n">
        <v>0.051</v>
      </c>
      <c r="D29" s="518" t="n">
        <v>0.124</v>
      </c>
      <c r="E29" s="518" t="n">
        <v>0.239</v>
      </c>
      <c r="F29" s="518" t="n">
        <v>-0.02767433369843009</v>
      </c>
      <c r="G29" s="518" t="n">
        <v>0.04816568047337279</v>
      </c>
      <c r="H29" s="518" t="n">
        <v>0.1019685039370079</v>
      </c>
      <c r="I29" s="519" t="n">
        <v>0.7694006309148265</v>
      </c>
      <c r="J29" s="519" t="n">
        <v>1.331175610774692</v>
      </c>
      <c r="K29" s="519" t="n">
        <v>2.136968928344959</v>
      </c>
      <c r="L29" s="863" t="n">
        <v>0.09744735631322499</v>
      </c>
      <c r="M29" s="863" t="n">
        <v>0.1019452409954584</v>
      </c>
      <c r="N29" s="863" t="n">
        <v>0.105929769014109</v>
      </c>
      <c r="O29" s="519" t="n">
        <v>1.156612738347347</v>
      </c>
      <c r="P29" s="863" t="n">
        <v>0.01809905117095377</v>
      </c>
      <c r="Q29" s="863" t="n">
        <v>0.1078066914498141</v>
      </c>
      <c r="R29" s="863" t="n">
        <v>0.2967146851449389</v>
      </c>
      <c r="S29" s="863" t="n">
        <v>0.1031278245332282</v>
      </c>
      <c r="T29" s="863" t="n">
        <v>0.2700361010830325</v>
      </c>
    </row>
    <row r="30">
      <c r="A30" s="516" t="inlineStr">
        <is>
          <t>Electronics (Consumer &amp; Office)</t>
        </is>
      </c>
      <c r="B30" s="517" t="n">
        <v>125</v>
      </c>
      <c r="C30" s="518" t="n">
        <v>0.0139</v>
      </c>
      <c r="D30" s="518" t="n">
        <v>0.0673</v>
      </c>
      <c r="E30" s="518" t="n">
        <v>0.187</v>
      </c>
      <c r="F30" s="518" t="n">
        <v>-0.05631578947368421</v>
      </c>
      <c r="G30" s="518" t="n">
        <v>0.02878113055504133</v>
      </c>
      <c r="H30" s="518" t="n">
        <v>0.07245762711864406</v>
      </c>
      <c r="I30" s="519" t="n">
        <v>1.030765775881428</v>
      </c>
      <c r="J30" s="519" t="n">
        <v>1.83217486263022</v>
      </c>
      <c r="K30" s="519" t="n">
        <v>2.732577515919776</v>
      </c>
      <c r="L30" s="863" t="n">
        <v>0.09392793420273049</v>
      </c>
      <c r="M30" s="863" t="n">
        <v>0.1011205023817685</v>
      </c>
      <c r="N30" s="863" t="n">
        <v>0.1036247925917843</v>
      </c>
      <c r="O30" s="519" t="n">
        <v>1.251077456098283</v>
      </c>
      <c r="P30" s="863" t="n">
        <v>0.02607770090473656</v>
      </c>
      <c r="Q30" s="863" t="n">
        <v>0.155641592920354</v>
      </c>
      <c r="R30" s="863" t="n">
        <v>0.3360239162929746</v>
      </c>
      <c r="S30" s="863" t="n">
        <v>0.1316793893129771</v>
      </c>
      <c r="T30" s="863" t="n">
        <v>0.3392369444674336</v>
      </c>
    </row>
    <row r="31">
      <c r="A31" s="516" t="inlineStr">
        <is>
          <t>Electronics (General)</t>
        </is>
      </c>
      <c r="B31" s="517" t="n">
        <v>1480</v>
      </c>
      <c r="C31" s="518" t="n">
        <v>0.04650000000000001</v>
      </c>
      <c r="D31" s="518" t="n">
        <v>0.119</v>
      </c>
      <c r="E31" s="518" t="n">
        <v>0.222</v>
      </c>
      <c r="F31" s="518" t="n">
        <v>-0.05125786163522013</v>
      </c>
      <c r="G31" s="518" t="n">
        <v>0.04127995567253082</v>
      </c>
      <c r="H31" s="518" t="n">
        <v>0.100197376059445</v>
      </c>
      <c r="I31" s="519" t="n">
        <v>0.7045774097797221</v>
      </c>
      <c r="J31" s="519" t="n">
        <v>1.202244409604753</v>
      </c>
      <c r="K31" s="519" t="n">
        <v>1.979303857008467</v>
      </c>
      <c r="L31" s="863" t="n">
        <v>0.1053822826622754</v>
      </c>
      <c r="M31" s="863" t="n">
        <v>0.110174079698686</v>
      </c>
      <c r="N31" s="863" t="n">
        <v>0.1125728593711409</v>
      </c>
      <c r="O31" s="519" t="n">
        <v>1.323902646942076</v>
      </c>
      <c r="P31" s="863" t="n">
        <v>0.01662572863584705</v>
      </c>
      <c r="Q31" s="863" t="n">
        <v>0.08550602747406785</v>
      </c>
      <c r="R31" s="863" t="n">
        <v>0.2505133470225873</v>
      </c>
      <c r="S31" s="863" t="n">
        <v>0.08892330910679534</v>
      </c>
      <c r="T31" s="863" t="n">
        <v>0.2288732394366197</v>
      </c>
    </row>
    <row r="32">
      <c r="A32" s="516" t="inlineStr">
        <is>
          <t>Engineering/Construction</t>
        </is>
      </c>
      <c r="B32" s="517" t="n">
        <v>1327</v>
      </c>
      <c r="C32" s="518" t="n">
        <v>0.0284</v>
      </c>
      <c r="D32" s="518" t="n">
        <v>0.07000000000000002</v>
      </c>
      <c r="E32" s="518" t="n">
        <v>0.143</v>
      </c>
      <c r="F32" s="518" t="n">
        <v>0.001977939477939478</v>
      </c>
      <c r="G32" s="518" t="n">
        <v>0.04555494202098288</v>
      </c>
      <c r="H32" s="518" t="n">
        <v>0.09400544959128065</v>
      </c>
      <c r="I32" s="519" t="n">
        <v>0.8901979264844487</v>
      </c>
      <c r="J32" s="519" t="n">
        <v>1.830564784053156</v>
      </c>
      <c r="K32" s="519" t="n">
        <v>3.394711293215515</v>
      </c>
      <c r="L32" s="863" t="n">
        <v>0.0826381178614119</v>
      </c>
      <c r="M32" s="863" t="n">
        <v>0.08643149552605721</v>
      </c>
      <c r="N32" s="863" t="n">
        <v>0.09953047666082</v>
      </c>
      <c r="O32" s="519" t="n">
        <v>0.9003298446067396</v>
      </c>
      <c r="P32" s="863" t="n">
        <v>0.03999139969898947</v>
      </c>
      <c r="Q32" s="863" t="n">
        <v>0.189127972819932</v>
      </c>
      <c r="R32" s="863" t="n">
        <v>0.4833836858006043</v>
      </c>
      <c r="S32" s="863" t="n">
        <v>0.1936026936026936</v>
      </c>
      <c r="T32" s="863" t="n">
        <v>0.474145990650845</v>
      </c>
    </row>
    <row r="33">
      <c r="A33" s="516" t="inlineStr">
        <is>
          <t>Entertainment</t>
        </is>
      </c>
      <c r="B33" s="517" t="n">
        <v>748</v>
      </c>
      <c r="C33" s="518" t="n">
        <v>0.018</v>
      </c>
      <c r="D33" s="518" t="n">
        <v>0.07450000000000001</v>
      </c>
      <c r="E33" s="518" t="n">
        <v>0.156</v>
      </c>
      <c r="F33" s="518" t="n">
        <v>-0.2334739803094233</v>
      </c>
      <c r="G33" s="518" t="n">
        <v>0.001223443223443224</v>
      </c>
      <c r="H33" s="518" t="n">
        <v>0.108656330749354</v>
      </c>
      <c r="I33" s="519" t="n">
        <v>0.4675090252707581</v>
      </c>
      <c r="J33" s="519" t="n">
        <v>1.018115942028986</v>
      </c>
      <c r="K33" s="519" t="n">
        <v>2.45850007410701</v>
      </c>
      <c r="L33" s="863" t="n">
        <v>0.08985827989162551</v>
      </c>
      <c r="M33" s="863" t="n">
        <v>0.09774500675379778</v>
      </c>
      <c r="N33" s="863" t="n">
        <v>0.1013551584775372</v>
      </c>
      <c r="O33" s="519" t="n">
        <v>0.9596119782350816</v>
      </c>
      <c r="P33" s="863" t="n">
        <v>0.001426533523537803</v>
      </c>
      <c r="Q33" s="863" t="n">
        <v>0.04773665335949658</v>
      </c>
      <c r="R33" s="863" t="n">
        <v>0.2413793103448276</v>
      </c>
      <c r="S33" s="863" t="n">
        <v>0.05105333080280888</v>
      </c>
      <c r="T33" s="863" t="n">
        <v>0.2607937200174444</v>
      </c>
    </row>
    <row r="34">
      <c r="A34" s="516" t="inlineStr">
        <is>
          <t>Environmental &amp; Waste Services</t>
        </is>
      </c>
      <c r="B34" s="517" t="n">
        <v>391</v>
      </c>
      <c r="C34" s="518" t="n">
        <v>0.0459</v>
      </c>
      <c r="D34" s="518" t="n">
        <v>0.0916</v>
      </c>
      <c r="E34" s="518" t="n">
        <v>0.192</v>
      </c>
      <c r="F34" s="518" t="n">
        <v>-0.04222222222222222</v>
      </c>
      <c r="G34" s="518" t="n">
        <v>0.0602655771195097</v>
      </c>
      <c r="H34" s="518" t="n">
        <v>0.1416267942583732</v>
      </c>
      <c r="I34" s="519" t="n">
        <v>0.396349177661305</v>
      </c>
      <c r="J34" s="519" t="n">
        <v>1.01407379231647</v>
      </c>
      <c r="K34" s="519" t="n">
        <v>2.214514096047217</v>
      </c>
      <c r="L34" s="863" t="n">
        <v>0.08062411637343692</v>
      </c>
      <c r="M34" s="863" t="n">
        <v>0.08529287688053072</v>
      </c>
      <c r="N34" s="863" t="n">
        <v>0.08807580251707406</v>
      </c>
      <c r="O34" s="519" t="n">
        <v>0.9371993670491123</v>
      </c>
      <c r="P34" s="863" t="n">
        <v>0.0385241454150841</v>
      </c>
      <c r="Q34" s="863" t="n">
        <v>0.1856771585330638</v>
      </c>
      <c r="R34" s="863" t="n">
        <v>0.4186351706036746</v>
      </c>
      <c r="S34" s="863" t="n">
        <v>0.1798759476223294</v>
      </c>
      <c r="T34" s="863" t="n">
        <v>0.3918840579710145</v>
      </c>
    </row>
    <row r="35">
      <c r="A35" s="516" t="inlineStr">
        <is>
          <t>Farming/Agriculture</t>
        </is>
      </c>
      <c r="B35" s="517" t="n">
        <v>429</v>
      </c>
      <c r="C35" s="518" t="n">
        <v>0.005739999999999999</v>
      </c>
      <c r="D35" s="518" t="n">
        <v>0.0538</v>
      </c>
      <c r="E35" s="518" t="n">
        <v>0.0944</v>
      </c>
      <c r="F35" s="518" t="n">
        <v>-0.01142546245919478</v>
      </c>
      <c r="G35" s="518" t="n">
        <v>0.06377649325626204</v>
      </c>
      <c r="H35" s="518" t="n">
        <v>0.1445086705202312</v>
      </c>
      <c r="I35" s="519" t="n">
        <v>0.5585725368502714</v>
      </c>
      <c r="J35" s="519" t="n">
        <v>1.039967373572594</v>
      </c>
      <c r="K35" s="519" t="n">
        <v>1.907006025721738</v>
      </c>
      <c r="L35" s="863" t="n">
        <v>0.07378588484700468</v>
      </c>
      <c r="M35" s="863" t="n">
        <v>0.08062949153356352</v>
      </c>
      <c r="N35" s="863" t="n">
        <v>0.08856446240978157</v>
      </c>
      <c r="O35" s="519" t="n">
        <v>0.7159066011577342</v>
      </c>
      <c r="P35" s="863" t="n">
        <v>0.02283653846153846</v>
      </c>
      <c r="Q35" s="863" t="n">
        <v>0.171759234222054</v>
      </c>
      <c r="R35" s="863" t="n">
        <v>0.4201680672268908</v>
      </c>
      <c r="S35" s="863" t="n">
        <v>0.1963117595325861</v>
      </c>
      <c r="T35" s="863" t="n">
        <v>0.4301220869697113</v>
      </c>
    </row>
    <row r="36">
      <c r="A36" s="516" t="inlineStr">
        <is>
          <t>Financial Svcs. (Non-bank &amp; Insurance)</t>
        </is>
      </c>
      <c r="B36" s="517" t="n">
        <v>1117</v>
      </c>
      <c r="C36" s="518" t="n">
        <v>0.04769999999999999</v>
      </c>
      <c r="D36" s="518" t="n">
        <v>0.08900000000000001</v>
      </c>
      <c r="E36" s="518" t="n">
        <v>0.167</v>
      </c>
      <c r="F36" s="518" t="n">
        <v>0</v>
      </c>
      <c r="G36" s="518" t="n">
        <v>0</v>
      </c>
      <c r="H36" s="518" t="n">
        <v>0.158273381294964</v>
      </c>
      <c r="I36" s="519" t="n">
        <v>0.09357060849598164</v>
      </c>
      <c r="J36" s="519" t="n">
        <v>0.2302103250478011</v>
      </c>
      <c r="K36" s="519" t="n">
        <v>0.7907010376369356</v>
      </c>
      <c r="L36" s="863" t="n">
        <v>0.05617049085253012</v>
      </c>
      <c r="M36" s="863" t="n">
        <v>0.06208798426029732</v>
      </c>
      <c r="N36" s="863" t="n">
        <v>0.06515170324447403</v>
      </c>
      <c r="O36" s="519" t="n">
        <v>0.7586099572242931</v>
      </c>
      <c r="P36" s="863" t="n">
        <v>0.02014904775048303</v>
      </c>
      <c r="Q36" s="863" t="n">
        <v>0.2453962688321164</v>
      </c>
      <c r="R36" s="863" t="n">
        <v>0.6401900095997881</v>
      </c>
      <c r="S36" s="863" t="n">
        <v>0.2651596214555194</v>
      </c>
      <c r="T36" s="863" t="n">
        <v>0.6133630430316536</v>
      </c>
    </row>
    <row r="37">
      <c r="A37" s="516" t="inlineStr">
        <is>
          <t>Food Processing</t>
        </is>
      </c>
      <c r="B37" s="517" t="n">
        <v>1424</v>
      </c>
      <c r="C37" s="518" t="n">
        <v>0.024</v>
      </c>
      <c r="D37" s="518" t="n">
        <v>0.0592</v>
      </c>
      <c r="E37" s="518" t="n">
        <v>0.119</v>
      </c>
      <c r="F37" s="518" t="n">
        <v>0.01336505190311419</v>
      </c>
      <c r="G37" s="518" t="n">
        <v>0.05523546830465789</v>
      </c>
      <c r="H37" s="518" t="n">
        <v>0.1042693926638605</v>
      </c>
      <c r="I37" s="519" t="n">
        <v>1.008557645744639</v>
      </c>
      <c r="J37" s="519" t="n">
        <v>1.689924214882967</v>
      </c>
      <c r="K37" s="519" t="n">
        <v>2.594607520774795</v>
      </c>
      <c r="L37" s="863" t="n">
        <v>0.07528004514923227</v>
      </c>
      <c r="M37" s="863" t="n">
        <v>0.08200679988452543</v>
      </c>
      <c r="N37" s="863" t="n">
        <v>0.09050452661707573</v>
      </c>
      <c r="O37" s="519" t="n">
        <v>0.6027635751507316</v>
      </c>
      <c r="P37" s="863" t="n">
        <v>0.03976125792128923</v>
      </c>
      <c r="Q37" s="863" t="n">
        <v>0.1940765711533831</v>
      </c>
      <c r="R37" s="863" t="n">
        <v>0.4367816091954023</v>
      </c>
      <c r="S37" s="863" t="n">
        <v>0.186600058771672</v>
      </c>
      <c r="T37" s="863" t="n">
        <v>0.4144678327898014</v>
      </c>
    </row>
    <row r="38">
      <c r="A38" s="516" t="inlineStr">
        <is>
          <t>Food Wholesalers</t>
        </is>
      </c>
      <c r="B38" s="517" t="n">
        <v>188</v>
      </c>
      <c r="C38" s="518" t="n">
        <v>0.012</v>
      </c>
      <c r="D38" s="518" t="n">
        <v>0.0463</v>
      </c>
      <c r="E38" s="518" t="n">
        <v>0.0636</v>
      </c>
      <c r="F38" s="518" t="n">
        <v>0.004897796425042043</v>
      </c>
      <c r="G38" s="518" t="n">
        <v>0.02397980647875473</v>
      </c>
      <c r="H38" s="518" t="n">
        <v>0.04921700223713647</v>
      </c>
      <c r="I38" s="519" t="n">
        <v>1.34393434213901</v>
      </c>
      <c r="J38" s="519" t="n">
        <v>3.359986837775585</v>
      </c>
      <c r="K38" s="519" t="n">
        <v>6.830716600878923</v>
      </c>
      <c r="L38" s="863" t="n">
        <v>0.06856925381178691</v>
      </c>
      <c r="M38" s="863" t="n">
        <v>0.07239088921648648</v>
      </c>
      <c r="N38" s="863" t="n">
        <v>0.08227572287877415</v>
      </c>
      <c r="O38" s="519" t="n">
        <v>0.5466218678462207</v>
      </c>
      <c r="P38" s="863" t="n">
        <v>0.02766476810414972</v>
      </c>
      <c r="Q38" s="863" t="n">
        <v>0.1841498048832026</v>
      </c>
      <c r="R38" s="863" t="n">
        <v>0.3972366148531951</v>
      </c>
      <c r="S38" s="863" t="n">
        <v>0.2057237660721692</v>
      </c>
      <c r="T38" s="863" t="n">
        <v>0.4149102987877452</v>
      </c>
    </row>
    <row r="39">
      <c r="A39" s="516" t="inlineStr">
        <is>
          <t>Furn/Home Furnishings</t>
        </is>
      </c>
      <c r="B39" s="517" t="n">
        <v>380</v>
      </c>
      <c r="C39" s="518" t="n">
        <v>0.009360000000000002</v>
      </c>
      <c r="D39" s="518" t="n">
        <v>0.0613</v>
      </c>
      <c r="E39" s="518" t="n">
        <v>0.126</v>
      </c>
      <c r="F39" s="518" t="n">
        <v>-0.0008040935672514619</v>
      </c>
      <c r="G39" s="518" t="n">
        <v>0.05095367847411444</v>
      </c>
      <c r="H39" s="518" t="n">
        <v>0.1005540166204986</v>
      </c>
      <c r="I39" s="519" t="n">
        <v>1.044223199814772</v>
      </c>
      <c r="J39" s="519" t="n">
        <v>1.529232527137688</v>
      </c>
      <c r="K39" s="519" t="n">
        <v>2.395681764843933</v>
      </c>
      <c r="L39" s="863" t="n">
        <v>0.09177153609912532</v>
      </c>
      <c r="M39" s="863" t="n">
        <v>0.0947312274827297</v>
      </c>
      <c r="N39" s="863" t="n">
        <v>0.1097763633042348</v>
      </c>
      <c r="O39" s="519" t="n">
        <v>0.8862653945944315</v>
      </c>
      <c r="P39" s="863" t="n">
        <v>0.02390074803867907</v>
      </c>
      <c r="Q39" s="863" t="n">
        <v>0.1435537945748247</v>
      </c>
      <c r="R39" s="863" t="n">
        <v>0.3495934959349593</v>
      </c>
      <c r="S39" s="863" t="n">
        <v>0.1353670162059104</v>
      </c>
      <c r="T39" s="863" t="n">
        <v>0.3419068178480217</v>
      </c>
    </row>
    <row r="40">
      <c r="A40" s="516" t="inlineStr">
        <is>
          <t>Green &amp; Renewable Energy</t>
        </is>
      </c>
      <c r="B40" s="517" t="n">
        <v>260</v>
      </c>
      <c r="C40" s="518" t="n">
        <v>0.0114</v>
      </c>
      <c r="D40" s="518" t="n">
        <v>0.08220000000000001</v>
      </c>
      <c r="E40" s="518" t="n">
        <v>0.199</v>
      </c>
      <c r="F40" s="518" t="n">
        <v>-0.01313904406286595</v>
      </c>
      <c r="G40" s="518" t="n">
        <v>0.2006605258964922</v>
      </c>
      <c r="H40" s="518" t="n">
        <v>0.3992055610724926</v>
      </c>
      <c r="I40" s="519" t="n">
        <v>0.1228305600286277</v>
      </c>
      <c r="J40" s="519" t="n">
        <v>0.1982796072638804</v>
      </c>
      <c r="K40" s="519" t="n">
        <v>0.3817610062893081</v>
      </c>
      <c r="L40" s="863" t="n">
        <v>0.07095630130843826</v>
      </c>
      <c r="M40" s="863" t="n">
        <v>0.0797618728434028</v>
      </c>
      <c r="N40" s="863" t="n">
        <v>0.08776503783966126</v>
      </c>
      <c r="O40" s="519" t="n">
        <v>0.8555765461747501</v>
      </c>
      <c r="P40" s="863" t="n">
        <v>0.09142212189616253</v>
      </c>
      <c r="Q40" s="863" t="n">
        <v>0.4145804470738009</v>
      </c>
      <c r="R40" s="863" t="n">
        <v>0.5903128153380424</v>
      </c>
      <c r="S40" s="863" t="n">
        <v>0.3509316770186335</v>
      </c>
      <c r="T40" s="863" t="n">
        <v>0.5596026490066225</v>
      </c>
    </row>
    <row r="41">
      <c r="A41" s="516" t="inlineStr">
        <is>
          <t>Healthcare Products</t>
        </is>
      </c>
      <c r="B41" s="517" t="n">
        <v>850</v>
      </c>
      <c r="C41" s="518" t="n">
        <v>0.0608</v>
      </c>
      <c r="D41" s="518" t="n">
        <v>0.138</v>
      </c>
      <c r="E41" s="518" t="n">
        <v>0.279</v>
      </c>
      <c r="F41" s="518" t="n">
        <v>-0.7735913218748358</v>
      </c>
      <c r="G41" s="518" t="n">
        <v>-0.005343283582089552</v>
      </c>
      <c r="H41" s="518" t="n">
        <v>0.1272923408845739</v>
      </c>
      <c r="I41" s="519" t="n">
        <v>0.498297642154835</v>
      </c>
      <c r="J41" s="519" t="n">
        <v>0.9425435765009684</v>
      </c>
      <c r="K41" s="519" t="n">
        <v>1.520953629410672</v>
      </c>
      <c r="L41" s="863" t="n">
        <v>0.09056989857420612</v>
      </c>
      <c r="M41" s="863" t="n">
        <v>0.09615781762806723</v>
      </c>
      <c r="N41" s="863" t="n">
        <v>0.09986843339003557</v>
      </c>
      <c r="O41" s="519" t="n">
        <v>1.051104953276581</v>
      </c>
      <c r="P41" s="863" t="n">
        <v>0.006761732610296578</v>
      </c>
      <c r="Q41" s="863" t="n">
        <v>0.0699885888170407</v>
      </c>
      <c r="R41" s="863" t="n">
        <v>0.2070910556003223</v>
      </c>
      <c r="S41" s="863" t="n">
        <v>0.05722857251357612</v>
      </c>
      <c r="T41" s="863" t="n">
        <v>0.1807511737089202</v>
      </c>
    </row>
    <row r="42">
      <c r="A42" s="516" t="inlineStr">
        <is>
          <t>Healthcare Support Services</t>
        </is>
      </c>
      <c r="B42" s="517" t="n">
        <v>480</v>
      </c>
      <c r="C42" s="518" t="n">
        <v>0.0412</v>
      </c>
      <c r="D42" s="518" t="n">
        <v>0.08220000000000001</v>
      </c>
      <c r="E42" s="518" t="n">
        <v>0.177</v>
      </c>
      <c r="F42" s="518" t="n">
        <v>-0.03627739874100501</v>
      </c>
      <c r="G42" s="518" t="n">
        <v>0.03353756524399612</v>
      </c>
      <c r="H42" s="518" t="n">
        <v>0.09198089407649096</v>
      </c>
      <c r="I42" s="519" t="n">
        <v>1.113636363636364</v>
      </c>
      <c r="J42" s="519" t="n">
        <v>2.054631120653665</v>
      </c>
      <c r="K42" s="519" t="n">
        <v>4.573629361123698</v>
      </c>
      <c r="L42" s="863" t="n">
        <v>0.08092347756529628</v>
      </c>
      <c r="M42" s="863" t="n">
        <v>0.08662510345051172</v>
      </c>
      <c r="N42" s="863" t="n">
        <v>0.09149369529090003</v>
      </c>
      <c r="O42" s="519" t="n">
        <v>0.7738585660804816</v>
      </c>
      <c r="P42" s="863" t="n">
        <v>0.03044203502919099</v>
      </c>
      <c r="Q42" s="863" t="n">
        <v>0.1535674605009015</v>
      </c>
      <c r="R42" s="863" t="n">
        <v>0.3841678658804301</v>
      </c>
      <c r="S42" s="863" t="n">
        <v>0.1449073723056781</v>
      </c>
      <c r="T42" s="863" t="n">
        <v>0.3641329710996463</v>
      </c>
    </row>
    <row r="43">
      <c r="A43" s="516" t="inlineStr">
        <is>
          <t>Heathcare Information and Technology</t>
        </is>
      </c>
      <c r="B43" s="517" t="n">
        <v>435</v>
      </c>
      <c r="C43" s="518" t="n">
        <v>0.0438</v>
      </c>
      <c r="D43" s="518" t="n">
        <v>0.101</v>
      </c>
      <c r="E43" s="518" t="n">
        <v>0.207</v>
      </c>
      <c r="F43" s="518" t="n">
        <v>-0.8692307692307691</v>
      </c>
      <c r="G43" s="518" t="n">
        <v>-0.0544426494345719</v>
      </c>
      <c r="H43" s="518" t="n">
        <v>0.117816091954023</v>
      </c>
      <c r="I43" s="519" t="n">
        <v>0.4921077065923863</v>
      </c>
      <c r="J43" s="519" t="n">
        <v>0.9439658123069666</v>
      </c>
      <c r="K43" s="519" t="n">
        <v>2.026924053848107</v>
      </c>
      <c r="L43" s="863" t="n">
        <v>0.09601012633892697</v>
      </c>
      <c r="M43" s="863" t="n">
        <v>0.1002772633056202</v>
      </c>
      <c r="N43" s="863" t="n">
        <v>0.1065601304141733</v>
      </c>
      <c r="O43" s="519" t="n">
        <v>1.20583652113588</v>
      </c>
      <c r="P43" s="863" t="n">
        <v>0.00535253571566098</v>
      </c>
      <c r="Q43" s="863" t="n">
        <v>0.0511556489413286</v>
      </c>
      <c r="R43" s="863" t="n">
        <v>0.1799450549450549</v>
      </c>
      <c r="S43" s="863" t="n">
        <v>0.04266597149808829</v>
      </c>
      <c r="T43" s="863" t="n">
        <v>0.1622699386503068</v>
      </c>
    </row>
    <row r="44">
      <c r="A44" s="516" t="inlineStr">
        <is>
          <t>Homebuilding</t>
        </is>
      </c>
      <c r="B44" s="517" t="n">
        <v>165</v>
      </c>
      <c r="C44" s="518" t="n">
        <v>0.0509</v>
      </c>
      <c r="D44" s="518" t="n">
        <v>0.07519999999999999</v>
      </c>
      <c r="E44" s="518" t="n">
        <v>0.142</v>
      </c>
      <c r="F44" s="518" t="n">
        <v>0.02020706890396287</v>
      </c>
      <c r="G44" s="518" t="n">
        <v>0.07511608850040974</v>
      </c>
      <c r="H44" s="518" t="n">
        <v>0.1424206086085521</v>
      </c>
      <c r="I44" s="519" t="n">
        <v>0.7996929541047189</v>
      </c>
      <c r="J44" s="519" t="n">
        <v>1.370423174129998</v>
      </c>
      <c r="K44" s="519" t="n">
        <v>2.385464581416743</v>
      </c>
      <c r="L44" s="863" t="n">
        <v>0.08578922042131085</v>
      </c>
      <c r="M44" s="863" t="n">
        <v>0.08917327246636429</v>
      </c>
      <c r="N44" s="863" t="n">
        <v>0.09766792720836882</v>
      </c>
      <c r="O44" s="519" t="n">
        <v>0.958419873088148</v>
      </c>
      <c r="P44" s="863" t="n">
        <v>0.1405992756009219</v>
      </c>
      <c r="Q44" s="863" t="n">
        <v>0.3682413204325555</v>
      </c>
      <c r="R44" s="863" t="n">
        <v>0.5939221906829187</v>
      </c>
      <c r="S44" s="863" t="n">
        <v>0.3219512195121951</v>
      </c>
      <c r="T44" s="863" t="n">
        <v>0.5981087470449173</v>
      </c>
    </row>
    <row r="45">
      <c r="A45" s="516" t="inlineStr">
        <is>
          <t>Hospitals/Healthcare Facilities</t>
        </is>
      </c>
      <c r="B45" s="517" t="n">
        <v>245</v>
      </c>
      <c r="C45" s="518" t="n">
        <v>0.0538</v>
      </c>
      <c r="D45" s="518" t="n">
        <v>0.099</v>
      </c>
      <c r="E45" s="518" t="n">
        <v>0.147</v>
      </c>
      <c r="F45" s="518" t="n">
        <v>0.03713438845702142</v>
      </c>
      <c r="G45" s="518" t="n">
        <v>0.1006655574043261</v>
      </c>
      <c r="H45" s="518" t="n">
        <v>0.1708611539120014</v>
      </c>
      <c r="I45" s="519" t="n">
        <v>0.7240865026099926</v>
      </c>
      <c r="J45" s="519" t="n">
        <v>1.176470588235294</v>
      </c>
      <c r="K45" s="519" t="n">
        <v>1.752728481832682</v>
      </c>
      <c r="L45" s="863" t="n">
        <v>0.07025899675186452</v>
      </c>
      <c r="M45" s="863" t="n">
        <v>0.07613434127233666</v>
      </c>
      <c r="N45" s="863" t="n">
        <v>0.08637888500170129</v>
      </c>
      <c r="O45" s="519" t="n">
        <v>0.6599291900480359</v>
      </c>
      <c r="P45" s="863" t="n">
        <v>0.0365705982077985</v>
      </c>
      <c r="Q45" s="863" t="n">
        <v>0.1714697406340058</v>
      </c>
      <c r="R45" s="863" t="n">
        <v>0.3957055214723926</v>
      </c>
      <c r="S45" s="863" t="n">
        <v>0.1539429463692439</v>
      </c>
      <c r="T45" s="863" t="n">
        <v>0.3725906564672215</v>
      </c>
    </row>
    <row r="46">
      <c r="A46" s="516" t="inlineStr">
        <is>
          <t>Hotel/Gaming</t>
        </is>
      </c>
      <c r="B46" s="517" t="n">
        <v>660</v>
      </c>
      <c r="C46" s="518" t="n">
        <v>0.0365</v>
      </c>
      <c r="D46" s="518" t="n">
        <v>0.0791</v>
      </c>
      <c r="E46" s="518" t="n">
        <v>0.151</v>
      </c>
      <c r="F46" s="518" t="n">
        <v>-0.005426356589147287</v>
      </c>
      <c r="G46" s="518" t="n">
        <v>0.09417582417582418</v>
      </c>
      <c r="H46" s="518" t="n">
        <v>0.1988199458594803</v>
      </c>
      <c r="I46" s="519" t="n">
        <v>0.265658747300216</v>
      </c>
      <c r="J46" s="519" t="n">
        <v>0.5883310415393324</v>
      </c>
      <c r="K46" s="519" t="n">
        <v>1.45124716553288</v>
      </c>
      <c r="L46" s="863" t="n">
        <v>0.08104568360647274</v>
      </c>
      <c r="M46" s="863" t="n">
        <v>0.086253113218549</v>
      </c>
      <c r="N46" s="863" t="n">
        <v>0.09991847477145178</v>
      </c>
      <c r="O46" s="519" t="n">
        <v>0.8448189556555283</v>
      </c>
      <c r="P46" s="863" t="n">
        <v>0.02151612394129097</v>
      </c>
      <c r="Q46" s="863" t="n">
        <v>0.1962047004052888</v>
      </c>
      <c r="R46" s="863" t="n">
        <v>0.4893917056598936</v>
      </c>
      <c r="S46" s="863" t="n">
        <v>0.214228829307141</v>
      </c>
      <c r="T46" s="863" t="n">
        <v>0.4977238239757207</v>
      </c>
    </row>
    <row r="47">
      <c r="A47" s="516" t="inlineStr">
        <is>
          <t>Household Products</t>
        </is>
      </c>
      <c r="B47" s="517" t="n">
        <v>554</v>
      </c>
      <c r="C47" s="518" t="n">
        <v>0.0178</v>
      </c>
      <c r="D47" s="518" t="n">
        <v>0.0674</v>
      </c>
      <c r="E47" s="518" t="n">
        <v>0.132</v>
      </c>
      <c r="F47" s="518" t="n">
        <v>-0.02104838709677419</v>
      </c>
      <c r="G47" s="518" t="n">
        <v>0.05615384615384615</v>
      </c>
      <c r="H47" s="518" t="n">
        <v>0.126690080386041</v>
      </c>
      <c r="I47" s="519" t="n">
        <v>0.804476430912996</v>
      </c>
      <c r="J47" s="519" t="n">
        <v>1.500524658971669</v>
      </c>
      <c r="K47" s="519" t="n">
        <v>2.492449664429531</v>
      </c>
      <c r="L47" s="863" t="n">
        <v>0.07509751830440489</v>
      </c>
      <c r="M47" s="863" t="n">
        <v>0.08044449730852361</v>
      </c>
      <c r="N47" s="863" t="n">
        <v>0.0863297860033056</v>
      </c>
      <c r="O47" s="519" t="n">
        <v>0.7762208004464943</v>
      </c>
      <c r="P47" s="863" t="n">
        <v>0.005901748358316477</v>
      </c>
      <c r="Q47" s="863" t="n">
        <v>0.07760951865873444</v>
      </c>
      <c r="R47" s="863" t="n">
        <v>0.2584745762711865</v>
      </c>
      <c r="S47" s="863" t="n">
        <v>0.1096886819901076</v>
      </c>
      <c r="T47" s="863" t="n">
        <v>0.2581050281408437</v>
      </c>
    </row>
    <row r="48">
      <c r="A48" s="516" t="inlineStr">
        <is>
          <t>Information Services</t>
        </is>
      </c>
      <c r="B48" s="517" t="n">
        <v>85</v>
      </c>
      <c r="C48" s="518" t="n">
        <v>0.0311</v>
      </c>
      <c r="D48" s="518" t="n">
        <v>0.0595</v>
      </c>
      <c r="E48" s="518" t="n">
        <v>0.128</v>
      </c>
      <c r="F48" s="518" t="n">
        <v>0.03551841211804649</v>
      </c>
      <c r="G48" s="518" t="n">
        <v>0.09261323544625956</v>
      </c>
      <c r="H48" s="518" t="n">
        <v>0.1409657583443234</v>
      </c>
      <c r="I48" s="519" t="n">
        <v>1.422937009381581</v>
      </c>
      <c r="J48" s="519" t="n">
        <v>2.403743315508021</v>
      </c>
      <c r="K48" s="519" t="n">
        <v>4.290544449337927</v>
      </c>
      <c r="L48" s="863" t="n">
        <v>0.08994574484590701</v>
      </c>
      <c r="M48" s="863" t="n">
        <v>0.09950123747253915</v>
      </c>
      <c r="N48" s="863" t="n">
        <v>0.1186627776648875</v>
      </c>
      <c r="O48" s="519" t="n">
        <v>0.9699579285017491</v>
      </c>
      <c r="P48" s="863" t="n">
        <v>0.009692372524230934</v>
      </c>
      <c r="Q48" s="863" t="n">
        <v>0.08699397071490095</v>
      </c>
      <c r="R48" s="863" t="n">
        <v>0.2702273929138022</v>
      </c>
      <c r="S48" s="863" t="n">
        <v>0.1065832553788588</v>
      </c>
      <c r="T48" s="863" t="n">
        <v>0.2978148486736188</v>
      </c>
    </row>
    <row r="49">
      <c r="A49" s="516" t="inlineStr">
        <is>
          <t>Insurance (General)</t>
        </is>
      </c>
      <c r="B49" s="517" t="n">
        <v>199</v>
      </c>
      <c r="C49" s="518" t="n">
        <v>0.0462</v>
      </c>
      <c r="D49" s="518" t="n">
        <v>0.09699999999999999</v>
      </c>
      <c r="E49" s="518" t="n">
        <v>0.171</v>
      </c>
      <c r="F49" s="518" t="n">
        <v>0.04933712121212121</v>
      </c>
      <c r="G49" s="518" t="n">
        <v>0.1011019283746556</v>
      </c>
      <c r="H49" s="518" t="n">
        <v>0.1788247891848481</v>
      </c>
      <c r="I49" s="519" t="n">
        <v>1.086439333862014</v>
      </c>
      <c r="J49" s="519" t="n">
        <v>1.928316104724181</v>
      </c>
      <c r="K49" s="519" t="n">
        <v>3.231505336768495</v>
      </c>
      <c r="L49" s="863" t="n">
        <v>0.07610442145380067</v>
      </c>
      <c r="M49" s="863" t="n">
        <v>0.07974385557987712</v>
      </c>
      <c r="N49" s="863" t="n">
        <v>0.093560111260202</v>
      </c>
      <c r="O49" s="519" t="n">
        <v>0.5189270159523364</v>
      </c>
      <c r="P49" s="863" t="n">
        <v>0.0004089096001172722</v>
      </c>
      <c r="Q49" s="863" t="n">
        <v>0.04377880184331797</v>
      </c>
      <c r="R49" s="863" t="n">
        <v>0.2176983173076923</v>
      </c>
      <c r="S49" s="863" t="n">
        <v>0.06206252916472236</v>
      </c>
      <c r="T49" s="863" t="n">
        <v>0.2705702257941064</v>
      </c>
    </row>
    <row r="50">
      <c r="A50" s="516" t="inlineStr">
        <is>
          <t>Insurance (Life)</t>
        </is>
      </c>
      <c r="B50" s="517" t="n">
        <v>137</v>
      </c>
      <c r="C50" s="518" t="n">
        <v>0.0212</v>
      </c>
      <c r="D50" s="518" t="n">
        <v>0.0601</v>
      </c>
      <c r="E50" s="518" t="n">
        <v>0.145</v>
      </c>
      <c r="F50" s="518" t="n">
        <v>0.02086313781592752</v>
      </c>
      <c r="G50" s="518" t="n">
        <v>0.1194070115488869</v>
      </c>
      <c r="H50" s="518" t="n">
        <v>0.2257448261899514</v>
      </c>
      <c r="I50" s="519" t="n">
        <v>0.7386022434289702</v>
      </c>
      <c r="J50" s="519" t="n">
        <v>1.377923053215087</v>
      </c>
      <c r="K50" s="519" t="n">
        <v>2.985028553789165</v>
      </c>
      <c r="L50" s="863" t="n">
        <v>0.07916576532620573</v>
      </c>
      <c r="M50" s="863" t="n">
        <v>0.08573160956513162</v>
      </c>
      <c r="N50" s="863" t="n">
        <v>0.1263594999187625</v>
      </c>
      <c r="O50" s="519" t="n">
        <v>0.8309393851302918</v>
      </c>
      <c r="P50" s="863" t="n">
        <v>0.005688608442086142</v>
      </c>
      <c r="Q50" s="863" t="n">
        <v>0.1027568922305764</v>
      </c>
      <c r="R50" s="863" t="n">
        <v>0.4105247564558776</v>
      </c>
      <c r="S50" s="863" t="n">
        <v>0.09100923246055261</v>
      </c>
      <c r="T50" s="863" t="n">
        <v>0.427281744363936</v>
      </c>
    </row>
    <row r="51">
      <c r="A51" s="516" t="inlineStr">
        <is>
          <t>Insurance (Prop/Cas.)</t>
        </is>
      </c>
      <c r="B51" s="517" t="n">
        <v>240</v>
      </c>
      <c r="C51" s="518" t="n">
        <v>0.0452</v>
      </c>
      <c r="D51" s="518" t="n">
        <v>0.07539999999999999</v>
      </c>
      <c r="E51" s="518" t="n">
        <v>0.119</v>
      </c>
      <c r="F51" s="518" t="n">
        <v>0.06262670232696017</v>
      </c>
      <c r="G51" s="518" t="n">
        <v>0.1299962337386428</v>
      </c>
      <c r="H51" s="518" t="n">
        <v>0.2025558668762386</v>
      </c>
      <c r="I51" s="519" t="n">
        <v>0.9505813953488372</v>
      </c>
      <c r="J51" s="519" t="n">
        <v>1.620302767282626</v>
      </c>
      <c r="K51" s="519" t="n">
        <v>3.022871664548921</v>
      </c>
      <c r="L51" s="863" t="n">
        <v>0.07439193735943959</v>
      </c>
      <c r="M51" s="863" t="n">
        <v>0.08657743233151297</v>
      </c>
      <c r="N51" s="863" t="n">
        <v>0.1228894994714055</v>
      </c>
      <c r="O51" s="519" t="n">
        <v>0.4868583160248079</v>
      </c>
      <c r="P51" s="863" t="n">
        <v>0.00111905804505425</v>
      </c>
      <c r="Q51" s="863" t="n">
        <v>0.0290588882773803</v>
      </c>
      <c r="R51" s="863" t="n">
        <v>0.1395905942178136</v>
      </c>
      <c r="S51" s="863" t="n">
        <v>0.03089834064466908</v>
      </c>
      <c r="T51" s="863" t="n">
        <v>0.1547687035979441</v>
      </c>
    </row>
    <row r="52">
      <c r="A52" s="516" t="inlineStr">
        <is>
          <t>Investments &amp; Asset Management</t>
        </is>
      </c>
      <c r="B52" s="517" t="n">
        <v>1291</v>
      </c>
      <c r="C52" s="518" t="n">
        <v>0.0314</v>
      </c>
      <c r="D52" s="518" t="n">
        <v>0.0906</v>
      </c>
      <c r="E52" s="518" t="n">
        <v>0.178</v>
      </c>
      <c r="F52" s="518" t="n">
        <v>0</v>
      </c>
      <c r="G52" s="518" t="n">
        <v>0.2058823529411765</v>
      </c>
      <c r="H52" s="518" t="n">
        <v>0.6680672268907564</v>
      </c>
      <c r="I52" s="519" t="n">
        <v>0.007268920131618307</v>
      </c>
      <c r="J52" s="519" t="n">
        <v>0.1262206148282098</v>
      </c>
      <c r="K52" s="519" t="n">
        <v>0.647498132935026</v>
      </c>
      <c r="L52" s="863" t="n">
        <v>0.06792836558116531</v>
      </c>
      <c r="M52" s="863" t="n">
        <v>0.07059870831169367</v>
      </c>
      <c r="N52" s="863" t="n">
        <v>0.07883570984525384</v>
      </c>
      <c r="O52" s="519" t="n">
        <v>0.6326550754770353</v>
      </c>
      <c r="P52" s="863" t="n">
        <v>0</v>
      </c>
      <c r="Q52" s="863" t="n">
        <v>0.01248581157775255</v>
      </c>
      <c r="R52" s="863" t="n">
        <v>0.1418789221456607</v>
      </c>
      <c r="S52" s="863" t="n">
        <v>0.009400720677596503</v>
      </c>
      <c r="T52" s="863" t="n">
        <v>0.1041009463722397</v>
      </c>
    </row>
    <row r="53">
      <c r="A53" s="516" t="inlineStr">
        <is>
          <t>Machinery</t>
        </is>
      </c>
      <c r="B53" s="517" t="n">
        <v>1548</v>
      </c>
      <c r="C53" s="518" t="n">
        <v>0.0269</v>
      </c>
      <c r="D53" s="518" t="n">
        <v>0.07620000000000002</v>
      </c>
      <c r="E53" s="518" t="n">
        <v>0.16</v>
      </c>
      <c r="F53" s="518" t="n">
        <v>0.002226134585289515</v>
      </c>
      <c r="G53" s="518" t="n">
        <v>0.06604477611940299</v>
      </c>
      <c r="H53" s="518" t="n">
        <v>0.1246973365617434</v>
      </c>
      <c r="I53" s="519" t="n">
        <v>0.8152492668621703</v>
      </c>
      <c r="J53" s="519" t="n">
        <v>1.288097297268124</v>
      </c>
      <c r="K53" s="519" t="n">
        <v>1.935312767951505</v>
      </c>
      <c r="L53" s="863" t="n">
        <v>0.09366150029588337</v>
      </c>
      <c r="M53" s="863" t="n">
        <v>0.09848919641326509</v>
      </c>
      <c r="N53" s="863" t="n">
        <v>0.1002093455137177</v>
      </c>
      <c r="O53" s="519" t="n">
        <v>1.119459631634788</v>
      </c>
      <c r="P53" s="863" t="n">
        <v>0.01513374002815579</v>
      </c>
      <c r="Q53" s="863" t="n">
        <v>0.103601780655605</v>
      </c>
      <c r="R53" s="863" t="n">
        <v>0.2762376237623763</v>
      </c>
      <c r="S53" s="863" t="n">
        <v>0.09326991556310313</v>
      </c>
      <c r="T53" s="863" t="n">
        <v>0.2458333333333333</v>
      </c>
    </row>
    <row r="54">
      <c r="A54" s="516" t="inlineStr">
        <is>
          <t>Metals &amp; Mining</t>
        </is>
      </c>
      <c r="B54" s="517" t="n">
        <v>1832</v>
      </c>
      <c r="C54" s="518" t="n">
        <v>0.036</v>
      </c>
      <c r="D54" s="518" t="n">
        <v>0.09710000000000001</v>
      </c>
      <c r="E54" s="518" t="n">
        <v>0.186</v>
      </c>
      <c r="F54" s="518" t="n">
        <v>-6.930091185410333</v>
      </c>
      <c r="G54" s="518" t="n">
        <v>0.0078952608522501</v>
      </c>
      <c r="H54" s="518" t="n">
        <v>0.08091379698401981</v>
      </c>
      <c r="I54" s="519" t="n">
        <v>0</v>
      </c>
      <c r="J54" s="519" t="n">
        <v>0</v>
      </c>
      <c r="K54" s="519" t="n">
        <v>0.5641233909558031</v>
      </c>
      <c r="L54" s="863" t="n">
        <v>0.08833757680388753</v>
      </c>
      <c r="M54" s="863" t="n">
        <v>0.08841672207118731</v>
      </c>
      <c r="N54" s="863" t="n">
        <v>0.09093837681668654</v>
      </c>
      <c r="O54" s="519" t="n">
        <v>1.057260723515617</v>
      </c>
      <c r="P54" s="863" t="n">
        <v>0</v>
      </c>
      <c r="Q54" s="863" t="n">
        <v>0.004775341871065769</v>
      </c>
      <c r="R54" s="863" t="n">
        <v>0.1425389755011136</v>
      </c>
      <c r="S54" s="863" t="n">
        <v>0.003813376662134828</v>
      </c>
      <c r="T54" s="863" t="n">
        <v>0.1134593993325917</v>
      </c>
    </row>
    <row r="55">
      <c r="A55" s="516" t="inlineStr">
        <is>
          <t>Office Equipment &amp; Services</t>
        </is>
      </c>
      <c r="B55" s="517" t="n">
        <v>140</v>
      </c>
      <c r="C55" s="518" t="n">
        <v>0.0138</v>
      </c>
      <c r="D55" s="518" t="n">
        <v>0.0432</v>
      </c>
      <c r="E55" s="518" t="n">
        <v>0.119</v>
      </c>
      <c r="F55" s="518" t="n">
        <v>-0.00404040404040404</v>
      </c>
      <c r="G55" s="518" t="n">
        <v>0.05318918918918919</v>
      </c>
      <c r="H55" s="518" t="n">
        <v>0.09057301293900186</v>
      </c>
      <c r="I55" s="519" t="n">
        <v>0.9883720930232558</v>
      </c>
      <c r="J55" s="519" t="n">
        <v>1.597277822257806</v>
      </c>
      <c r="K55" s="519" t="n">
        <v>2.655246414684942</v>
      </c>
      <c r="L55" s="863" t="n">
        <v>0.08137147042512451</v>
      </c>
      <c r="M55" s="863" t="n">
        <v>0.08609809573235228</v>
      </c>
      <c r="N55" s="863" t="n">
        <v>0.09870421640455462</v>
      </c>
      <c r="O55" s="519" t="n">
        <v>0.6894999176338221</v>
      </c>
      <c r="P55" s="863" t="n">
        <v>0.01624865814384698</v>
      </c>
      <c r="Q55" s="863" t="n">
        <v>0.1452991452991453</v>
      </c>
      <c r="R55" s="863" t="n">
        <v>0.3948103701070326</v>
      </c>
      <c r="S55" s="863" t="n">
        <v>0</v>
      </c>
      <c r="T55" s="863" t="n">
        <v>0</v>
      </c>
    </row>
    <row r="56">
      <c r="A56" s="516" t="inlineStr">
        <is>
          <t>Oil/Gas (Integrated)</t>
        </is>
      </c>
      <c r="B56" s="517" t="n">
        <v>36</v>
      </c>
      <c r="C56" s="518" t="n">
        <v>-0.0518</v>
      </c>
      <c r="D56" s="518" t="n">
        <v>-0.0146</v>
      </c>
      <c r="E56" s="518" t="n">
        <v>0.005180000000000001</v>
      </c>
      <c r="F56" s="518" t="n">
        <v>0.05897211353226313</v>
      </c>
      <c r="G56" s="518" t="n">
        <v>0.1034195752825497</v>
      </c>
      <c r="H56" s="518" t="n">
        <v>0.1719550539277706</v>
      </c>
      <c r="I56" s="519" t="n">
        <v>0.8546252384846007</v>
      </c>
      <c r="J56" s="519" t="n">
        <v>1.515300911624154</v>
      </c>
      <c r="K56" s="519" t="n">
        <v>2.055161594828921</v>
      </c>
      <c r="L56" s="863" t="n">
        <v>0.08482596862311181</v>
      </c>
      <c r="M56" s="863" t="n">
        <v>0.09337023632206887</v>
      </c>
      <c r="N56" s="863" t="n">
        <v>0.1120212489728603</v>
      </c>
      <c r="O56" s="519" t="n">
        <v>0.8425873126575824</v>
      </c>
      <c r="P56" s="863" t="n">
        <v>0.1057340989616319</v>
      </c>
      <c r="Q56" s="863" t="n">
        <v>0.3259299589026661</v>
      </c>
      <c r="R56" s="863" t="n">
        <v>0.4708444648550989</v>
      </c>
      <c r="S56" s="863" t="n">
        <v>0.105760780132343</v>
      </c>
      <c r="T56" s="863" t="n">
        <v>0.3366779870330349</v>
      </c>
    </row>
    <row r="57">
      <c r="A57" s="516" t="inlineStr">
        <is>
          <t>Oil/Gas (Production and Exploration)</t>
        </is>
      </c>
      <c r="B57" s="517" t="n">
        <v>548</v>
      </c>
      <c r="C57" s="518" t="n">
        <v>-0.00353</v>
      </c>
      <c r="D57" s="518" t="n">
        <v>0.07190000000000002</v>
      </c>
      <c r="E57" s="518" t="n">
        <v>0.208</v>
      </c>
      <c r="F57" s="518" t="n">
        <v>-0.2791164658634538</v>
      </c>
      <c r="G57" s="518" t="n">
        <v>0.1432333088736966</v>
      </c>
      <c r="H57" s="518" t="n">
        <v>0.3492329149232915</v>
      </c>
      <c r="I57" s="519" t="n">
        <v>0.09224759615384616</v>
      </c>
      <c r="J57" s="519" t="n">
        <v>0.4237637105529143</v>
      </c>
      <c r="K57" s="519" t="n">
        <v>0.7615305957698725</v>
      </c>
      <c r="L57" s="863" t="n">
        <v>0.08585793533510749</v>
      </c>
      <c r="M57" s="863" t="n">
        <v>0.08744674570503419</v>
      </c>
      <c r="N57" s="863" t="n">
        <v>0.09449262015817608</v>
      </c>
      <c r="O57" s="519" t="n">
        <v>0.9352540223211345</v>
      </c>
      <c r="P57" s="863" t="n">
        <v>0</v>
      </c>
      <c r="Q57" s="863" t="n">
        <v>0.1134769645933109</v>
      </c>
      <c r="R57" s="863" t="n">
        <v>0.3752849977200182</v>
      </c>
      <c r="S57" s="863" t="n">
        <v>0.2992817331685361</v>
      </c>
      <c r="T57" s="863" t="n">
        <v>0.4267425320056899</v>
      </c>
    </row>
    <row r="58">
      <c r="A58" s="516" t="inlineStr">
        <is>
          <t>Oil/Gas Distribution</t>
        </is>
      </c>
      <c r="B58" s="517" t="n">
        <v>179</v>
      </c>
      <c r="C58" s="518" t="n">
        <v>-0.0272</v>
      </c>
      <c r="D58" s="518" t="n">
        <v>0.0449</v>
      </c>
      <c r="E58" s="518" t="n">
        <v>0.119</v>
      </c>
      <c r="F58" s="518" t="n">
        <v>0.02412436048799685</v>
      </c>
      <c r="G58" s="518" t="n">
        <v>0.115933044017359</v>
      </c>
      <c r="H58" s="518" t="n">
        <v>0.3135430038510912</v>
      </c>
      <c r="I58" s="519" t="n">
        <v>0.3219327212681138</v>
      </c>
      <c r="J58" s="519" t="n">
        <v>0.8292903080221145</v>
      </c>
      <c r="K58" s="519" t="n">
        <v>1.962524654832347</v>
      </c>
      <c r="L58" s="863" t="n">
        <v>0.07031265058164096</v>
      </c>
      <c r="M58" s="863" t="n">
        <v>0.07527945286258669</v>
      </c>
      <c r="N58" s="863" t="n">
        <v>0.08692579315054327</v>
      </c>
      <c r="O58" s="519" t="n">
        <v>0.6786993461744923</v>
      </c>
      <c r="P58" s="863" t="n">
        <v>0.08256880733944955</v>
      </c>
      <c r="Q58" s="863" t="n">
        <v>0.3124398331372339</v>
      </c>
      <c r="R58" s="863" t="n">
        <v>0.5140845070422535</v>
      </c>
      <c r="S58" s="863" t="n">
        <v>0.08250559784674974</v>
      </c>
      <c r="T58" s="863" t="n">
        <v>0.3440615388583619</v>
      </c>
    </row>
    <row r="59">
      <c r="A59" s="516" t="inlineStr">
        <is>
          <t>Oilfield Svcs/Equip.</t>
        </is>
      </c>
      <c r="B59" s="517" t="n">
        <v>437</v>
      </c>
      <c r="C59" s="518" t="n">
        <v>-0.033</v>
      </c>
      <c r="D59" s="518" t="n">
        <v>0.0428</v>
      </c>
      <c r="E59" s="518" t="n">
        <v>0.118</v>
      </c>
      <c r="F59" s="518" t="n">
        <v>0.006055045871559633</v>
      </c>
      <c r="G59" s="518" t="n">
        <v>0.04103634044491367</v>
      </c>
      <c r="H59" s="518" t="n">
        <v>0.1168976053011063</v>
      </c>
      <c r="I59" s="519" t="n">
        <v>0.8614609571788415</v>
      </c>
      <c r="J59" s="519" t="n">
        <v>1.708557535774593</v>
      </c>
      <c r="K59" s="519" t="n">
        <v>3.268983657282683</v>
      </c>
      <c r="L59" s="863" t="n">
        <v>0.07972369524710038</v>
      </c>
      <c r="M59" s="863" t="n">
        <v>0.08614467254602473</v>
      </c>
      <c r="N59" s="863" t="n">
        <v>0.09884752803170471</v>
      </c>
      <c r="O59" s="519" t="n">
        <v>0.9115884610364846</v>
      </c>
      <c r="P59" s="863" t="n">
        <v>0.05992949471210342</v>
      </c>
      <c r="Q59" s="863" t="n">
        <v>0.2096472666977118</v>
      </c>
      <c r="R59" s="863" t="n">
        <v>0.5138665203319404</v>
      </c>
      <c r="S59" s="863" t="n">
        <v>0.3349514563106796</v>
      </c>
      <c r="T59" s="863" t="n">
        <v>0.4731300696837039</v>
      </c>
    </row>
    <row r="60">
      <c r="A60" s="516" t="inlineStr">
        <is>
          <t>Packaging &amp; Container</t>
        </is>
      </c>
      <c r="B60" s="517" t="n">
        <v>438</v>
      </c>
      <c r="C60" s="518" t="n">
        <v>0.0138</v>
      </c>
      <c r="D60" s="518" t="n">
        <v>0.05110000000000001</v>
      </c>
      <c r="E60" s="518" t="n">
        <v>0.0864</v>
      </c>
      <c r="F60" s="518" t="n">
        <v>0.01709796672828096</v>
      </c>
      <c r="G60" s="518" t="n">
        <v>0.05626242544731611</v>
      </c>
      <c r="H60" s="518" t="n">
        <v>0.09318024052651949</v>
      </c>
      <c r="I60" s="519" t="n">
        <v>0.9564315352697095</v>
      </c>
      <c r="J60" s="519" t="n">
        <v>1.39935414424112</v>
      </c>
      <c r="K60" s="519" t="n">
        <v>1.855028180405952</v>
      </c>
      <c r="L60" s="863" t="n">
        <v>0.07607341568994674</v>
      </c>
      <c r="M60" s="863" t="n">
        <v>0.08549372239286479</v>
      </c>
      <c r="N60" s="863" t="n">
        <v>0.09037369035116227</v>
      </c>
      <c r="O60" s="519" t="n">
        <v>0.7482607359257706</v>
      </c>
      <c r="P60" s="863" t="n">
        <v>0.05817174515235457</v>
      </c>
      <c r="Q60" s="863" t="n">
        <v>0.236328125</v>
      </c>
      <c r="R60" s="863" t="n">
        <v>0.4414608827188899</v>
      </c>
      <c r="S60" s="863" t="n">
        <v>0.23349736237184</v>
      </c>
      <c r="T60" s="863" t="n">
        <v>0.5015295330990963</v>
      </c>
    </row>
    <row r="61">
      <c r="A61" s="516" t="inlineStr">
        <is>
          <t>Paper/Forest Products</t>
        </is>
      </c>
      <c r="B61" s="517" t="n">
        <v>269</v>
      </c>
      <c r="C61" s="518" t="n">
        <v>0.0183</v>
      </c>
      <c r="D61" s="518" t="n">
        <v>0.0601</v>
      </c>
      <c r="E61" s="518" t="n">
        <v>0.1</v>
      </c>
      <c r="F61" s="518" t="n">
        <v>-0.01086271567891973</v>
      </c>
      <c r="G61" s="518" t="n">
        <v>0.03466599190283401</v>
      </c>
      <c r="H61" s="518" t="n">
        <v>0.08566666666666667</v>
      </c>
      <c r="I61" s="519" t="n">
        <v>0.6273204715208283</v>
      </c>
      <c r="J61" s="519" t="n">
        <v>1.032213993002873</v>
      </c>
      <c r="K61" s="519" t="n">
        <v>1.501366709825924</v>
      </c>
      <c r="L61" s="863" t="n">
        <v>0.07569721927793333</v>
      </c>
      <c r="M61" s="863" t="n">
        <v>0.08134245921918297</v>
      </c>
      <c r="N61" s="863" t="n">
        <v>0.09263150990262278</v>
      </c>
      <c r="O61" s="519" t="n">
        <v>0.8510564832292156</v>
      </c>
      <c r="P61" s="863" t="n">
        <v>0.1096634093376764</v>
      </c>
      <c r="Q61" s="863" t="n">
        <v>0.2993348115299335</v>
      </c>
      <c r="R61" s="863" t="n">
        <v>0.5626549165277767</v>
      </c>
      <c r="S61" s="863" t="n">
        <v>0.2171394085697043</v>
      </c>
      <c r="T61" s="863" t="n">
        <v>0.4521004491920656</v>
      </c>
    </row>
    <row r="62">
      <c r="A62" s="516" t="inlineStr">
        <is>
          <t>Power</t>
        </is>
      </c>
      <c r="B62" s="517" t="n">
        <v>492</v>
      </c>
      <c r="C62" s="518" t="n">
        <v>-0.0106</v>
      </c>
      <c r="D62" s="518" t="n">
        <v>0.0344</v>
      </c>
      <c r="E62" s="518" t="n">
        <v>0.06709999999999999</v>
      </c>
      <c r="F62" s="518" t="n">
        <v>0.04879310344827587</v>
      </c>
      <c r="G62" s="518" t="n">
        <v>0.1160150519803559</v>
      </c>
      <c r="H62" s="518" t="n">
        <v>0.2159285714285714</v>
      </c>
      <c r="I62" s="519" t="n">
        <v>0.3745572386766147</v>
      </c>
      <c r="J62" s="519" t="n">
        <v>0.6683804627249358</v>
      </c>
      <c r="K62" s="519" t="n">
        <v>1.290661070304302</v>
      </c>
      <c r="L62" s="863" t="n">
        <v>0.06541223442996474</v>
      </c>
      <c r="M62" s="863" t="n">
        <v>0.06928404023640908</v>
      </c>
      <c r="N62" s="863" t="n">
        <v>0.07876854031100314</v>
      </c>
      <c r="O62" s="519" t="n">
        <v>0.6317382711508865</v>
      </c>
      <c r="P62" s="863" t="n">
        <v>0.1358939442486383</v>
      </c>
      <c r="Q62" s="863" t="n">
        <v>0.389898349493376</v>
      </c>
      <c r="R62" s="863" t="n">
        <v>0.6079070981210856</v>
      </c>
      <c r="S62" s="863" t="n">
        <v>0.2732919254658385</v>
      </c>
      <c r="T62" s="863" t="n">
        <v>0.5063546130461853</v>
      </c>
    </row>
    <row r="63">
      <c r="A63" s="516" t="inlineStr">
        <is>
          <t>Precious Metals</t>
        </is>
      </c>
      <c r="B63" s="517" t="n">
        <v>823</v>
      </c>
      <c r="C63" s="518" t="n">
        <v>0.111</v>
      </c>
      <c r="D63" s="518" t="n">
        <v>0.219</v>
      </c>
      <c r="E63" s="518" t="n">
        <v>0.358</v>
      </c>
      <c r="F63" s="518" t="n">
        <v>-7.237762237762237</v>
      </c>
      <c r="G63" s="518" t="n">
        <v>-0.002751722993751978</v>
      </c>
      <c r="H63" s="518" t="n">
        <v>0.1880650994575045</v>
      </c>
      <c r="I63" s="519" t="n">
        <v>0</v>
      </c>
      <c r="J63" s="519" t="n">
        <v>0</v>
      </c>
      <c r="K63" s="519" t="n">
        <v>0.2529085231483996</v>
      </c>
      <c r="L63" s="863" t="n">
        <v>0.0903186106009605</v>
      </c>
      <c r="M63" s="863" t="n">
        <v>0.09062491126523738</v>
      </c>
      <c r="N63" s="863" t="n">
        <v>0.09062491126523738</v>
      </c>
      <c r="O63" s="519" t="n">
        <v>1.14752317053801</v>
      </c>
      <c r="P63" s="863" t="n">
        <v>0</v>
      </c>
      <c r="Q63" s="863" t="n">
        <v>0.002320185614849188</v>
      </c>
      <c r="R63" s="863" t="n">
        <v>0.08417508417508418</v>
      </c>
      <c r="S63" s="863" t="n">
        <v>0.3868421052631579</v>
      </c>
      <c r="T63" s="863" t="n">
        <v>0.5883763685811745</v>
      </c>
    </row>
    <row r="64">
      <c r="A64" s="516" t="inlineStr">
        <is>
          <t>Publishing &amp; Newspapers</t>
        </is>
      </c>
      <c r="B64" s="517" t="n">
        <v>321</v>
      </c>
      <c r="C64" s="518" t="n">
        <v>0.008880000000000001</v>
      </c>
      <c r="D64" s="518" t="n">
        <v>0.0501</v>
      </c>
      <c r="E64" s="518" t="n">
        <v>0.0784</v>
      </c>
      <c r="F64" s="518" t="n">
        <v>-0.02698094282848545</v>
      </c>
      <c r="G64" s="518" t="n">
        <v>0.0417458432304038</v>
      </c>
      <c r="H64" s="518" t="n">
        <v>0.09598091392916132</v>
      </c>
      <c r="I64" s="519" t="n">
        <v>0.7122111377699204</v>
      </c>
      <c r="J64" s="519" t="n">
        <v>1.394521668029436</v>
      </c>
      <c r="K64" s="519" t="n">
        <v>2.486029101644875</v>
      </c>
      <c r="L64" s="863" t="n">
        <v>0.09275839413997658</v>
      </c>
      <c r="M64" s="863" t="n">
        <v>0.09665236289230636</v>
      </c>
      <c r="N64" s="863" t="n">
        <v>0.1110312878821443</v>
      </c>
      <c r="O64" s="519" t="n">
        <v>0.7440703817964889</v>
      </c>
      <c r="P64" s="863" t="n">
        <v>0.010144842549698</v>
      </c>
      <c r="Q64" s="863" t="n">
        <v>0.1092211280214861</v>
      </c>
      <c r="R64" s="863" t="n">
        <v>0.3788998299672403</v>
      </c>
      <c r="S64" s="863" t="n">
        <v>0.004542379433652266</v>
      </c>
      <c r="T64" s="863" t="n">
        <v>0.08717346639272086</v>
      </c>
    </row>
    <row r="65">
      <c r="A65" s="516" t="inlineStr">
        <is>
          <t>R.E.I.T.</t>
        </is>
      </c>
      <c r="B65" s="517" t="n">
        <v>650</v>
      </c>
      <c r="C65" s="518" t="n">
        <v>-0.0112</v>
      </c>
      <c r="D65" s="518" t="n">
        <v>0.0323</v>
      </c>
      <c r="E65" s="518" t="n">
        <v>0.07930000000000001</v>
      </c>
      <c r="F65" s="518" t="n">
        <v>0.1669731518940787</v>
      </c>
      <c r="G65" s="518" t="n">
        <v>0.485610214617168</v>
      </c>
      <c r="H65" s="518" t="n">
        <v>0.6495248742314141</v>
      </c>
      <c r="I65" s="519" t="n">
        <v>0.06236893611072277</v>
      </c>
      <c r="J65" s="519" t="n">
        <v>0.08578987150415723</v>
      </c>
      <c r="K65" s="519" t="n">
        <v>0.126983036896624</v>
      </c>
      <c r="L65" s="863" t="n">
        <v>0.0641760032969674</v>
      </c>
      <c r="M65" s="863" t="n">
        <v>0.06752358092304805</v>
      </c>
      <c r="N65" s="863" t="n">
        <v>0.07840109884682278</v>
      </c>
      <c r="O65" s="519" t="n">
        <v>0.7491978649183715</v>
      </c>
      <c r="P65" s="863" t="n">
        <v>0.25</v>
      </c>
      <c r="Q65" s="863" t="n">
        <v>0.4372286541244573</v>
      </c>
      <c r="R65" s="863" t="n">
        <v>0.5918195747225232</v>
      </c>
      <c r="S65" s="863" t="n">
        <v>0.05970392061168049</v>
      </c>
      <c r="T65" s="863" t="n">
        <v>0.3124888967845088</v>
      </c>
    </row>
    <row r="66">
      <c r="A66" s="516" t="inlineStr">
        <is>
          <t>Real Estate (Development)</t>
        </is>
      </c>
      <c r="B66" s="517" t="n">
        <v>879</v>
      </c>
      <c r="C66" s="518" t="n">
        <v>-0.03759999999999999</v>
      </c>
      <c r="D66" s="518" t="n">
        <v>0.05930000000000001</v>
      </c>
      <c r="E66" s="518" t="n">
        <v>0.209</v>
      </c>
      <c r="F66" s="518" t="n">
        <v>-0.08619246861924686</v>
      </c>
      <c r="G66" s="518" t="n">
        <v>0.08092175777063237</v>
      </c>
      <c r="H66" s="518" t="n">
        <v>0.2158013544018059</v>
      </c>
      <c r="I66" s="519" t="n">
        <v>0.1053595968850206</v>
      </c>
      <c r="J66" s="519" t="n">
        <v>0.2512935232983132</v>
      </c>
      <c r="K66" s="519" t="n">
        <v>0.5282535617096207</v>
      </c>
      <c r="L66" s="863" t="n">
        <v>0.0685333903029991</v>
      </c>
      <c r="M66" s="863" t="n">
        <v>0.07585354683794621</v>
      </c>
      <c r="N66" s="863" t="n">
        <v>0.07823644926842302</v>
      </c>
      <c r="O66" s="519" t="n">
        <v>0.827552155912436</v>
      </c>
      <c r="P66" s="863" t="n">
        <v>0.1120561343823092</v>
      </c>
      <c r="Q66" s="863" t="n">
        <v>0.4106951871657754</v>
      </c>
      <c r="R66" s="863" t="n">
        <v>0.7159536797779692</v>
      </c>
      <c r="S66" s="863" t="n">
        <v>0.4142739680973524</v>
      </c>
      <c r="T66" s="863" t="n">
        <v>0.5959334565619223</v>
      </c>
    </row>
    <row r="67">
      <c r="A67" s="516" t="inlineStr">
        <is>
          <t>Real Estate (General/Diversified)</t>
        </is>
      </c>
      <c r="B67" s="517" t="n">
        <v>309</v>
      </c>
      <c r="C67" s="518" t="n">
        <v>0.0178</v>
      </c>
      <c r="D67" s="518" t="n">
        <v>0.0736</v>
      </c>
      <c r="E67" s="518" t="n">
        <v>0.168</v>
      </c>
      <c r="F67" s="518" t="n">
        <v>0.01161904761904762</v>
      </c>
      <c r="G67" s="518" t="n">
        <v>0.153446033810143</v>
      </c>
      <c r="H67" s="518" t="n">
        <v>0.3271362173757598</v>
      </c>
      <c r="I67" s="519" t="n">
        <v>0.08183221821924858</v>
      </c>
      <c r="J67" s="519" t="n">
        <v>0.1717803720063859</v>
      </c>
      <c r="K67" s="519" t="n">
        <v>0.4400594756914623</v>
      </c>
      <c r="L67" s="863" t="n">
        <v>0.06944009643811216</v>
      </c>
      <c r="M67" s="863" t="n">
        <v>0.07364340957246779</v>
      </c>
      <c r="N67" s="863" t="n">
        <v>0.0835728538695145</v>
      </c>
      <c r="O67" s="519" t="n">
        <v>0.817377001223953</v>
      </c>
      <c r="P67" s="863" t="n">
        <v>0.1186535242700391</v>
      </c>
      <c r="Q67" s="863" t="n">
        <v>0.4507969507969508</v>
      </c>
      <c r="R67" s="863" t="n">
        <v>0.6511904761904762</v>
      </c>
      <c r="S67" s="863" t="n">
        <v>0.4099531955432216</v>
      </c>
      <c r="T67" s="863" t="n">
        <v>0.7240853658536586</v>
      </c>
    </row>
    <row r="68">
      <c r="A68" s="516" t="inlineStr">
        <is>
          <t>Real Estate (Operations &amp; Services)</t>
        </is>
      </c>
      <c r="B68" s="517" t="n">
        <v>749</v>
      </c>
      <c r="C68" s="518" t="n">
        <v>0.0234</v>
      </c>
      <c r="D68" s="518" t="n">
        <v>0.08160000000000001</v>
      </c>
      <c r="E68" s="518" t="n">
        <v>0.133</v>
      </c>
      <c r="F68" s="518" t="n">
        <v>0.04144198151775543</v>
      </c>
      <c r="G68" s="518" t="n">
        <v>0.2744860943168077</v>
      </c>
      <c r="H68" s="518" t="n">
        <v>0.5676709708273554</v>
      </c>
      <c r="I68" s="519" t="n">
        <v>0.06566164154103853</v>
      </c>
      <c r="J68" s="519" t="n">
        <v>0.1144818119423473</v>
      </c>
      <c r="K68" s="519" t="n">
        <v>0.5173463177115034</v>
      </c>
      <c r="L68" s="863" t="n">
        <v>0.06836495232022036</v>
      </c>
      <c r="M68" s="863" t="n">
        <v>0.07414937115132067</v>
      </c>
      <c r="N68" s="863" t="n">
        <v>0.08216780652223193</v>
      </c>
      <c r="O68" s="519" t="n">
        <v>0.7151929070084392</v>
      </c>
      <c r="P68" s="863" t="n">
        <v>0.0190707530104915</v>
      </c>
      <c r="Q68" s="863" t="n">
        <v>0.3096671949286847</v>
      </c>
      <c r="R68" s="863" t="n">
        <v>0.5900273868186989</v>
      </c>
      <c r="S68" s="863" t="n">
        <v>0.42452597882295</v>
      </c>
      <c r="T68" s="863" t="n">
        <v>0.6352691218130312</v>
      </c>
    </row>
    <row r="69">
      <c r="A69" s="516" t="inlineStr">
        <is>
          <t>Recreation</t>
        </is>
      </c>
      <c r="B69" s="517" t="n">
        <v>320</v>
      </c>
      <c r="C69" s="518" t="n">
        <v>0.0227</v>
      </c>
      <c r="D69" s="518" t="n">
        <v>0.0717</v>
      </c>
      <c r="E69" s="518" t="n">
        <v>0.139</v>
      </c>
      <c r="F69" s="518" t="n">
        <v>-0.02114285714285714</v>
      </c>
      <c r="G69" s="518" t="n">
        <v>0.06435506241331485</v>
      </c>
      <c r="H69" s="518" t="n">
        <v>0.1460928652321631</v>
      </c>
      <c r="I69" s="519" t="n">
        <v>0.6115937900583962</v>
      </c>
      <c r="J69" s="519" t="n">
        <v>1.122429906542056</v>
      </c>
      <c r="K69" s="519" t="n">
        <v>2.042821158690177</v>
      </c>
      <c r="L69" s="863" t="n">
        <v>0.08454372793538013</v>
      </c>
      <c r="M69" s="863" t="n">
        <v>0.08986644042308164</v>
      </c>
      <c r="N69" s="863" t="n">
        <v>0.0926549032070566</v>
      </c>
      <c r="O69" s="519" t="n">
        <v>1.004090340527191</v>
      </c>
      <c r="P69" s="863" t="n">
        <v>0.03489839964165004</v>
      </c>
      <c r="Q69" s="863" t="n">
        <v>0.1673622704507513</v>
      </c>
      <c r="R69" s="863" t="n">
        <v>0.4184874001071009</v>
      </c>
      <c r="S69" s="863" t="n">
        <v>0.3230815467842116</v>
      </c>
      <c r="T69" s="863" t="n">
        <v>0.5860375169212918</v>
      </c>
    </row>
    <row r="70">
      <c r="A70" s="516" t="inlineStr">
        <is>
          <t>Reinsurance</t>
        </is>
      </c>
      <c r="B70" s="517" t="n">
        <v>33</v>
      </c>
      <c r="C70" s="518" t="n">
        <v>0.0331</v>
      </c>
      <c r="D70" s="518" t="n">
        <v>0.075</v>
      </c>
      <c r="E70" s="518" t="n">
        <v>0.156</v>
      </c>
      <c r="F70" s="518" t="n">
        <v>0.1134314903846154</v>
      </c>
      <c r="G70" s="518" t="n">
        <v>0.1529037688207238</v>
      </c>
      <c r="H70" s="518" t="n">
        <v>0.2439095127610209</v>
      </c>
      <c r="I70" s="519" t="n">
        <v>0.9684276336355112</v>
      </c>
      <c r="J70" s="519" t="n">
        <v>1.296103936056466</v>
      </c>
      <c r="K70" s="519" t="n">
        <v>1.922069640864476</v>
      </c>
      <c r="L70" s="863" t="n">
        <v>0.1007207046095276</v>
      </c>
      <c r="M70" s="863" t="n">
        <v>0.1084292222039559</v>
      </c>
      <c r="N70" s="863" t="n">
        <v>0.1193688387310139</v>
      </c>
      <c r="O70" s="519" t="n">
        <v>1.222510498132245</v>
      </c>
      <c r="P70" s="863" t="n">
        <v>4.594212243100365e-05</v>
      </c>
      <c r="Q70" s="863" t="n">
        <v>0.05889115496461918</v>
      </c>
      <c r="R70" s="863" t="n">
        <v>0.1844178702260416</v>
      </c>
      <c r="S70" s="863" t="n">
        <v>0.156282814140707</v>
      </c>
      <c r="T70" s="863" t="n">
        <v>0.3943298969072165</v>
      </c>
    </row>
    <row r="71">
      <c r="A71" s="516" t="inlineStr">
        <is>
          <t>Restaurant/Dining</t>
        </is>
      </c>
      <c r="B71" s="517" t="n">
        <v>401</v>
      </c>
      <c r="C71" s="518" t="n">
        <v>0.0381</v>
      </c>
      <c r="D71" s="518" t="n">
        <v>0.07010000000000001</v>
      </c>
      <c r="E71" s="518" t="n">
        <v>0.125</v>
      </c>
      <c r="F71" s="518" t="n">
        <v>0.0006215765236778254</v>
      </c>
      <c r="G71" s="518" t="n">
        <v>0.04403470715835141</v>
      </c>
      <c r="H71" s="518" t="n">
        <v>0.08618396749168822</v>
      </c>
      <c r="I71" s="519" t="n">
        <v>1.208322563970018</v>
      </c>
      <c r="J71" s="519" t="n">
        <v>2.061150365526486</v>
      </c>
      <c r="K71" s="519" t="n">
        <v>3.602803738317758</v>
      </c>
      <c r="L71" s="863" t="n">
        <v>0.0820507101818729</v>
      </c>
      <c r="M71" s="863" t="n">
        <v>0.08745031839973863</v>
      </c>
      <c r="N71" s="863" t="n">
        <v>0.08992476131825143</v>
      </c>
      <c r="O71" s="519" t="n">
        <v>0.728831477637815</v>
      </c>
      <c r="P71" s="863" t="n">
        <v>0.08559276980329612</v>
      </c>
      <c r="Q71" s="863" t="n">
        <v>0.2554285714285714</v>
      </c>
      <c r="R71" s="863" t="n">
        <v>0.4610778443113773</v>
      </c>
      <c r="S71" s="863" t="n">
        <v>0.152100714304619</v>
      </c>
      <c r="T71" s="863" t="n">
        <v>0.2899927316218258</v>
      </c>
    </row>
    <row r="72">
      <c r="A72" s="516" t="inlineStr">
        <is>
          <t>Retail (Automotive)</t>
        </is>
      </c>
      <c r="B72" s="517" t="n">
        <v>208</v>
      </c>
      <c r="C72" s="518" t="n">
        <v>0.009490000000000002</v>
      </c>
      <c r="D72" s="518" t="n">
        <v>0.0544</v>
      </c>
      <c r="E72" s="518" t="n">
        <v>0.108</v>
      </c>
      <c r="F72" s="518" t="n">
        <v>0.006834078415434963</v>
      </c>
      <c r="G72" s="518" t="n">
        <v>0.02924463219127876</v>
      </c>
      <c r="H72" s="518" t="n">
        <v>0.05715220349235843</v>
      </c>
      <c r="I72" s="519" t="n">
        <v>1.298408637625249</v>
      </c>
      <c r="J72" s="519" t="n">
        <v>2.487384980706441</v>
      </c>
      <c r="K72" s="519" t="n">
        <v>4.070552147239263</v>
      </c>
      <c r="L72" s="863" t="n">
        <v>0.0761304998429204</v>
      </c>
      <c r="M72" s="863" t="n">
        <v>0.08126027036669453</v>
      </c>
      <c r="N72" s="863" t="n">
        <v>0.09473388800366522</v>
      </c>
      <c r="O72" s="519" t="n">
        <v>0.8136543079984765</v>
      </c>
      <c r="P72" s="863" t="n">
        <v>0.1361916771752837</v>
      </c>
      <c r="Q72" s="863" t="n">
        <v>0.3502123095856885</v>
      </c>
      <c r="R72" s="863" t="n">
        <v>0.6014150943396227</v>
      </c>
      <c r="S72" s="863" t="n">
        <v>0.2356647763074984</v>
      </c>
      <c r="T72" s="863" t="n">
        <v>0.4376</v>
      </c>
    </row>
    <row r="73">
      <c r="A73" s="516" t="inlineStr">
        <is>
          <t>Retail (Building Supply)</t>
        </is>
      </c>
      <c r="B73" s="517" t="n">
        <v>117</v>
      </c>
      <c r="C73" s="518" t="n">
        <v>0.0114</v>
      </c>
      <c r="D73" s="518" t="n">
        <v>0.0486</v>
      </c>
      <c r="E73" s="518" t="n">
        <v>0.0819</v>
      </c>
      <c r="F73" s="518" t="n">
        <v>0.01075268817204301</v>
      </c>
      <c r="G73" s="518" t="n">
        <v>0.04589058854031631</v>
      </c>
      <c r="H73" s="518" t="n">
        <v>0.1012197516524865</v>
      </c>
      <c r="I73" s="519" t="n">
        <v>1.222376523799378</v>
      </c>
      <c r="J73" s="519" t="n">
        <v>1.848504022417066</v>
      </c>
      <c r="K73" s="519" t="n">
        <v>3.515074668920823</v>
      </c>
      <c r="L73" s="863" t="n">
        <v>0.08513728587161926</v>
      </c>
      <c r="M73" s="863" t="n">
        <v>0.09163534789321121</v>
      </c>
      <c r="N73" s="863" t="n">
        <v>0.1054424890939501</v>
      </c>
      <c r="O73" s="519" t="n">
        <v>0.9646312145173789</v>
      </c>
      <c r="P73" s="863" t="n">
        <v>0.1117092866756393</v>
      </c>
      <c r="Q73" s="863" t="n">
        <v>0.2873471790200045</v>
      </c>
      <c r="R73" s="863" t="n">
        <v>0.5093109869646183</v>
      </c>
      <c r="S73" s="863" t="n">
        <v>0.368595825426945</v>
      </c>
      <c r="T73" s="863" t="n">
        <v>0.6178806116033259</v>
      </c>
    </row>
    <row r="74">
      <c r="A74" s="516" t="inlineStr">
        <is>
          <t>Retail (Distributors)</t>
        </is>
      </c>
      <c r="B74" s="517" t="n">
        <v>1038</v>
      </c>
      <c r="C74" s="518" t="n">
        <v>0.0148</v>
      </c>
      <c r="D74" s="518" t="n">
        <v>0.04269999999999999</v>
      </c>
      <c r="E74" s="518" t="n">
        <v>0.07950000000000002</v>
      </c>
      <c r="F74" s="518" t="n">
        <v>0</v>
      </c>
      <c r="G74" s="518" t="n">
        <v>0.03271333127460656</v>
      </c>
      <c r="H74" s="518" t="n">
        <v>0.08278291501541171</v>
      </c>
      <c r="I74" s="519" t="n">
        <v>0.7444089456869011</v>
      </c>
      <c r="J74" s="519" t="n">
        <v>1.774758296315652</v>
      </c>
      <c r="K74" s="519" t="n">
        <v>3.277265973254086</v>
      </c>
      <c r="L74" s="863" t="n">
        <v>0.07219563814855148</v>
      </c>
      <c r="M74" s="863" t="n">
        <v>0.07661994506724643</v>
      </c>
      <c r="N74" s="863" t="n">
        <v>0.08764066074929254</v>
      </c>
      <c r="O74" s="519" t="n">
        <v>0.7568314083954484</v>
      </c>
      <c r="P74" s="863" t="n">
        <v>0.02399647758127247</v>
      </c>
      <c r="Q74" s="863" t="n">
        <v>0.1789659524809184</v>
      </c>
      <c r="R74" s="863" t="n">
        <v>0.4305966910528655</v>
      </c>
      <c r="S74" s="863" t="n">
        <v>0.2986592589363452</v>
      </c>
      <c r="T74" s="863" t="n">
        <v>0.5114114779525815</v>
      </c>
    </row>
    <row r="75">
      <c r="A75" s="516" t="inlineStr">
        <is>
          <t>Retail (General)</t>
        </is>
      </c>
      <c r="B75" s="517" t="n">
        <v>253</v>
      </c>
      <c r="C75" s="518" t="n">
        <v>0.0307</v>
      </c>
      <c r="D75" s="518" t="n">
        <v>0.05930000000000001</v>
      </c>
      <c r="E75" s="518" t="n">
        <v>0.103</v>
      </c>
      <c r="F75" s="518" t="n">
        <v>0.002047471467914403</v>
      </c>
      <c r="G75" s="518" t="n">
        <v>0.04230065239744716</v>
      </c>
      <c r="H75" s="518" t="n">
        <v>0.0884647253530727</v>
      </c>
      <c r="I75" s="519" t="n">
        <v>0.7369791666666667</v>
      </c>
      <c r="J75" s="519" t="n">
        <v>1.722022865726446</v>
      </c>
      <c r="K75" s="519" t="n">
        <v>3.251565762004176</v>
      </c>
      <c r="L75" s="863" t="n">
        <v>0.08680465122155173</v>
      </c>
      <c r="M75" s="863" t="n">
        <v>0.09277151348489059</v>
      </c>
      <c r="N75" s="863" t="n">
        <v>0.09643787407339022</v>
      </c>
      <c r="O75" s="519" t="n">
        <v>1.00262133073448</v>
      </c>
      <c r="P75" s="863" t="n">
        <v>0.0825529754461182</v>
      </c>
      <c r="Q75" s="863" t="n">
        <v>0.2969543147208122</v>
      </c>
      <c r="R75" s="863" t="n">
        <v>0.5932518086945386</v>
      </c>
      <c r="S75" s="863" t="n">
        <v>0.1592482690405539</v>
      </c>
      <c r="T75" s="863" t="n">
        <v>0.4309507286606523</v>
      </c>
    </row>
    <row r="76">
      <c r="A76" s="516" t="inlineStr">
        <is>
          <t>Retail (Grocery and Food)</t>
        </is>
      </c>
      <c r="B76" s="517" t="n">
        <v>204</v>
      </c>
      <c r="C76" s="518" t="n">
        <v>0.0264</v>
      </c>
      <c r="D76" s="518" t="n">
        <v>0.0481</v>
      </c>
      <c r="E76" s="518" t="n">
        <v>0.08749999999999999</v>
      </c>
      <c r="F76" s="518" t="n">
        <v>0.008217821782178218</v>
      </c>
      <c r="G76" s="518" t="n">
        <v>0.03187147084053438</v>
      </c>
      <c r="H76" s="518" t="n">
        <v>0.05071384233395407</v>
      </c>
      <c r="I76" s="519" t="n">
        <v>2.210760845899351</v>
      </c>
      <c r="J76" s="519" t="n">
        <v>3.207254873732237</v>
      </c>
      <c r="K76" s="519" t="n">
        <v>4.573337769613834</v>
      </c>
      <c r="L76" s="863" t="n">
        <v>0.06924579469179407</v>
      </c>
      <c r="M76" s="863" t="n">
        <v>0.07281469288205047</v>
      </c>
      <c r="N76" s="863" t="n">
        <v>0.08080222692691003</v>
      </c>
      <c r="O76" s="519" t="n">
        <v>0.6206046424218857</v>
      </c>
      <c r="P76" s="863" t="n">
        <v>0.0887078698101316</v>
      </c>
      <c r="Q76" s="863" t="n">
        <v>0.2992878407565233</v>
      </c>
      <c r="R76" s="863" t="n">
        <v>0.455702280912365</v>
      </c>
      <c r="S76" s="863" t="n">
        <v>0.2651075206691564</v>
      </c>
      <c r="T76" s="863" t="n">
        <v>0.5706764938141616</v>
      </c>
    </row>
    <row r="77">
      <c r="A77" s="516" t="inlineStr">
        <is>
          <t>Retail (REITs)</t>
        </is>
      </c>
      <c r="B77" s="517" t="n">
        <v>121</v>
      </c>
      <c r="C77" s="518" t="n">
        <v>0.0168</v>
      </c>
      <c r="D77" s="518" t="n">
        <v>0.039</v>
      </c>
      <c r="E77" s="518" t="n">
        <v>0.0682</v>
      </c>
      <c r="F77" s="518" t="n">
        <v>0.3973509933774835</v>
      </c>
      <c r="G77" s="518" t="n">
        <v>0.571076011846002</v>
      </c>
      <c r="H77" s="518" t="n">
        <v>0.6652683097360601</v>
      </c>
      <c r="I77" s="519" t="n">
        <v>0.07575162885626818</v>
      </c>
      <c r="J77" s="519" t="n">
        <v>0.1031173842404549</v>
      </c>
      <c r="K77" s="519" t="n">
        <v>0.1310819462227913</v>
      </c>
      <c r="L77" s="863" t="n">
        <v>0.06718399376300564</v>
      </c>
      <c r="M77" s="863" t="n">
        <v>0.07096991806431319</v>
      </c>
      <c r="N77" s="863" t="n">
        <v>0.08099624144102628</v>
      </c>
      <c r="O77" s="519" t="n">
        <v>0.9420159925156232</v>
      </c>
      <c r="P77" s="863" t="n">
        <v>0.3414350628764662</v>
      </c>
      <c r="Q77" s="863" t="n">
        <v>0.4588334386186566</v>
      </c>
      <c r="R77" s="863" t="n">
        <v>0.5473191046330037</v>
      </c>
      <c r="S77" s="863" t="n">
        <v>0.290221554273525</v>
      </c>
      <c r="T77" s="863" t="n">
        <v>0.4446999180973247</v>
      </c>
    </row>
    <row r="78">
      <c r="A78" s="516" t="inlineStr">
        <is>
          <t>Retail (Special Lines)</t>
        </is>
      </c>
      <c r="B78" s="517" t="n">
        <v>633</v>
      </c>
      <c r="C78" s="518" t="n">
        <v>0.0146</v>
      </c>
      <c r="D78" s="518" t="n">
        <v>0.05599999999999999</v>
      </c>
      <c r="E78" s="518" t="n">
        <v>0.11</v>
      </c>
      <c r="F78" s="518" t="n">
        <v>-0.001925192519251925</v>
      </c>
      <c r="G78" s="518" t="n">
        <v>0.03729656419529837</v>
      </c>
      <c r="H78" s="518" t="n">
        <v>0.08962264150943396</v>
      </c>
      <c r="I78" s="519" t="n">
        <v>1.462978466292775</v>
      </c>
      <c r="J78" s="519" t="n">
        <v>2.574310193618026</v>
      </c>
      <c r="K78" s="519" t="n">
        <v>4.410917460209413</v>
      </c>
      <c r="L78" s="863" t="n">
        <v>0.08690286184839173</v>
      </c>
      <c r="M78" s="863" t="n">
        <v>0.09384511362839007</v>
      </c>
      <c r="N78" s="863" t="n">
        <v>0.1013242597986624</v>
      </c>
      <c r="O78" s="519" t="n">
        <v>0.9535011421857146</v>
      </c>
      <c r="P78" s="863" t="n">
        <v>0.06536999776436396</v>
      </c>
      <c r="Q78" s="863" t="n">
        <v>0.2309389523520443</v>
      </c>
      <c r="R78" s="863" t="n">
        <v>0.4832789234811689</v>
      </c>
      <c r="S78" s="863" t="n">
        <v>0.4439813679823486</v>
      </c>
      <c r="T78" s="863" t="n">
        <v>0.5614740082079345</v>
      </c>
    </row>
    <row r="79">
      <c r="A79" s="516" t="inlineStr">
        <is>
          <t>Rubber&amp; Tires</t>
        </is>
      </c>
      <c r="B79" s="517" t="n">
        <v>92</v>
      </c>
      <c r="C79" s="518" t="n">
        <v>0.0277</v>
      </c>
      <c r="D79" s="518" t="n">
        <v>0.08070000000000001</v>
      </c>
      <c r="E79" s="518" t="n">
        <v>0.13</v>
      </c>
      <c r="F79" s="518" t="n">
        <v>0.04254430637240762</v>
      </c>
      <c r="G79" s="518" t="n">
        <v>0.07801253772927794</v>
      </c>
      <c r="H79" s="518" t="n">
        <v>0.1166682915732345</v>
      </c>
      <c r="I79" s="519" t="n">
        <v>1.057054983680643</v>
      </c>
      <c r="J79" s="519" t="n">
        <v>1.431439555745408</v>
      </c>
      <c r="K79" s="519" t="n">
        <v>1.870215207597038</v>
      </c>
      <c r="L79" s="863" t="n">
        <v>0.08721326905258538</v>
      </c>
      <c r="M79" s="863" t="n">
        <v>0.09924656296299406</v>
      </c>
      <c r="N79" s="863" t="n">
        <v>0.1072310135105586</v>
      </c>
      <c r="O79" s="519" t="n">
        <v>0.9830719695050654</v>
      </c>
      <c r="P79" s="863" t="n">
        <v>0.06715442905670237</v>
      </c>
      <c r="Q79" s="863" t="n">
        <v>0.2246778964868102</v>
      </c>
      <c r="R79" s="863" t="n">
        <v>0.5056810145679128</v>
      </c>
      <c r="S79" s="863" t="n">
        <v>0.2220438253318559</v>
      </c>
      <c r="T79" s="863" t="n">
        <v>0.4742031533716246</v>
      </c>
    </row>
    <row r="80" ht="17" customHeight="1">
      <c r="A80" s="516" t="inlineStr">
        <is>
          <t>Semiconductor</t>
        </is>
      </c>
      <c r="B80" s="517" t="n">
        <v>665</v>
      </c>
      <c r="C80" s="518" t="n">
        <v>0.0626</v>
      </c>
      <c r="D80" s="518" t="n">
        <v>0.156</v>
      </c>
      <c r="E80" s="518" t="n">
        <v>0.286</v>
      </c>
      <c r="F80" s="518" t="n">
        <v>-0.1523456790123457</v>
      </c>
      <c r="G80" s="518" t="n">
        <v>0.01852173913043478</v>
      </c>
      <c r="H80" s="518" t="n">
        <v>0.1085982355412407</v>
      </c>
      <c r="I80" s="519" t="n">
        <v>0.5697865353037768</v>
      </c>
      <c r="J80" s="519" t="n">
        <v>0.9467451008354364</v>
      </c>
      <c r="K80" s="519" t="n">
        <v>1.596578759800428</v>
      </c>
      <c r="L80" s="863" t="n">
        <v>0.1246994068110819</v>
      </c>
      <c r="M80" s="863" t="n">
        <v>0.1295443689642269</v>
      </c>
      <c r="N80" s="863" t="n">
        <v>0.1309863130034401</v>
      </c>
      <c r="O80" s="519" t="n">
        <v>1.655484948704496</v>
      </c>
      <c r="P80" s="863" t="n">
        <v>0.006540484989552919</v>
      </c>
      <c r="Q80" s="863" t="n">
        <v>0.05516775839856082</v>
      </c>
      <c r="R80" s="863" t="n">
        <v>0.19419699669127</v>
      </c>
      <c r="S80" s="863" t="n">
        <v>0.2307692307692308</v>
      </c>
      <c r="T80" s="863" t="n">
        <v>0.455307402258384</v>
      </c>
    </row>
    <row r="81">
      <c r="A81" s="516" t="inlineStr">
        <is>
          <t>Semiconductor Equip</t>
        </is>
      </c>
      <c r="B81" s="517" t="n">
        <v>375</v>
      </c>
      <c r="C81" s="518" t="n">
        <v>0.07519999999999999</v>
      </c>
      <c r="D81" s="518" t="n">
        <v>0.172</v>
      </c>
      <c r="E81" s="518" t="n">
        <v>0.283</v>
      </c>
      <c r="F81" s="518" t="n">
        <v>-0.01429799916714895</v>
      </c>
      <c r="G81" s="518" t="n">
        <v>0.07365345388389657</v>
      </c>
      <c r="H81" s="518" t="n">
        <v>0.1756476683937824</v>
      </c>
      <c r="I81" s="519" t="n">
        <v>0.5876602215946122</v>
      </c>
      <c r="J81" s="519" t="n">
        <v>0.9485294117647061</v>
      </c>
      <c r="K81" s="519" t="n">
        <v>1.499992622628389</v>
      </c>
      <c r="L81" s="863" t="n">
        <v>0.1353151385096109</v>
      </c>
      <c r="M81" s="863" t="n">
        <v>0.1434664098703845</v>
      </c>
      <c r="N81" s="863" t="n">
        <v>0.1467937038659387</v>
      </c>
      <c r="O81" s="519" t="n">
        <v>1.966726967212011</v>
      </c>
      <c r="P81" s="863" t="n">
        <v>0.01356564469713391</v>
      </c>
      <c r="Q81" s="863" t="n">
        <v>0.08860759493670886</v>
      </c>
      <c r="R81" s="863" t="n">
        <v>0.2800508131359503</v>
      </c>
      <c r="S81" s="863" t="n">
        <v>0.05124947056332062</v>
      </c>
      <c r="T81" s="863" t="n">
        <v>0.1706295691674356</v>
      </c>
    </row>
    <row r="82">
      <c r="A82" s="516" t="inlineStr">
        <is>
          <t>Shipbuilding &amp; Marine</t>
        </is>
      </c>
      <c r="B82" s="517" t="n">
        <v>357</v>
      </c>
      <c r="C82" s="518" t="n">
        <v>0.0261</v>
      </c>
      <c r="D82" s="518" t="n">
        <v>0.07490000000000001</v>
      </c>
      <c r="E82" s="518" t="n">
        <v>0.11</v>
      </c>
      <c r="F82" s="518" t="n">
        <v>0.04624757684851841</v>
      </c>
      <c r="G82" s="518" t="n">
        <v>0.132</v>
      </c>
      <c r="H82" s="518" t="n">
        <v>0.2511111111111111</v>
      </c>
      <c r="I82" s="519" t="n">
        <v>0.3453292496171516</v>
      </c>
      <c r="J82" s="519" t="n">
        <v>0.6311411913401558</v>
      </c>
      <c r="K82" s="519" t="n">
        <v>1.1161373852414</v>
      </c>
      <c r="L82" s="863" t="n">
        <v>0.08474547686832015</v>
      </c>
      <c r="M82" s="863" t="n">
        <v>0.09096834288230203</v>
      </c>
      <c r="N82" s="863" t="n">
        <v>0.1064453592736454</v>
      </c>
      <c r="O82" s="519" t="n">
        <v>0.7763802854079904</v>
      </c>
      <c r="P82" s="863" t="n">
        <v>0.07692307692307693</v>
      </c>
      <c r="Q82" s="863" t="n">
        <v>0.2629741587526083</v>
      </c>
      <c r="R82" s="863" t="n">
        <v>0.4972324723247232</v>
      </c>
      <c r="S82" s="863" t="n">
        <v>0.0654100751710984</v>
      </c>
      <c r="T82" s="863" t="n">
        <v>0.1733181299885975</v>
      </c>
    </row>
    <row r="83">
      <c r="A83" s="516" t="inlineStr">
        <is>
          <t>Shoe</t>
        </is>
      </c>
      <c r="B83" s="517" t="n">
        <v>82</v>
      </c>
      <c r="C83" s="518" t="n">
        <v>0.0312</v>
      </c>
      <c r="D83" s="518" t="n">
        <v>0.07830000000000001</v>
      </c>
      <c r="E83" s="518" t="n">
        <v>0.125</v>
      </c>
      <c r="F83" s="518" t="n">
        <v>-0.03153988868274583</v>
      </c>
      <c r="G83" s="518" t="n">
        <v>0.07028467876182649</v>
      </c>
      <c r="H83" s="518" t="n">
        <v>0.115572878897752</v>
      </c>
      <c r="I83" s="519" t="n">
        <v>0.9183078045222466</v>
      </c>
      <c r="J83" s="519" t="n">
        <v>1.436848686952897</v>
      </c>
      <c r="K83" s="519" t="n">
        <v>1.862416107382551</v>
      </c>
      <c r="L83" s="863" t="n">
        <v>0.08741955986401503</v>
      </c>
      <c r="M83" s="863" t="n">
        <v>0.09077975126179873</v>
      </c>
      <c r="N83" s="863" t="n">
        <v>0.1063275078494452</v>
      </c>
      <c r="O83" s="519" t="n">
        <v>0.7473567233366637</v>
      </c>
      <c r="P83" s="863" t="n">
        <v>0.01295622675440389</v>
      </c>
      <c r="Q83" s="863" t="n">
        <v>0.1170431211498973</v>
      </c>
      <c r="R83" s="863" t="n">
        <v>0.2664373723394489</v>
      </c>
      <c r="S83" s="863" t="n">
        <v>0.2547240480569283</v>
      </c>
      <c r="T83" s="863" t="n">
        <v>0.4810030608519839</v>
      </c>
    </row>
    <row r="84">
      <c r="A84" s="516" t="inlineStr">
        <is>
          <t>Software (Entertainment)</t>
        </is>
      </c>
      <c r="B84" s="517" t="n">
        <v>311</v>
      </c>
      <c r="C84" s="518" t="n">
        <v>0.0417</v>
      </c>
      <c r="D84" s="518" t="n">
        <v>0.0993</v>
      </c>
      <c r="E84" s="518" t="n">
        <v>0.166</v>
      </c>
      <c r="F84" s="518" t="n">
        <v>-0.1331179321486268</v>
      </c>
      <c r="G84" s="518" t="n">
        <v>0.03842857142857143</v>
      </c>
      <c r="H84" s="518" t="n">
        <v>0.1404358353510896</v>
      </c>
      <c r="I84" s="519" t="n">
        <v>1.191780821917808</v>
      </c>
      <c r="J84" s="519" t="n">
        <v>2.564951183187159</v>
      </c>
      <c r="K84" s="519" t="n">
        <v>6.656441717791412</v>
      </c>
      <c r="L84" s="863" t="n">
        <v>0.1041633657628393</v>
      </c>
      <c r="M84" s="863" t="n">
        <v>0.1109579774653532</v>
      </c>
      <c r="N84" s="863" t="n">
        <v>0.1168447966983314</v>
      </c>
      <c r="O84" s="519" t="n">
        <v>1.162721184090479</v>
      </c>
      <c r="P84" s="863" t="n">
        <v>0.001667450510923939</v>
      </c>
      <c r="Q84" s="863" t="n">
        <v>0.03552174087182455</v>
      </c>
      <c r="R84" s="863" t="n">
        <v>0.2267471091000503</v>
      </c>
      <c r="S84" s="863" t="n">
        <v>0.131530837550503</v>
      </c>
      <c r="T84" s="863" t="n">
        <v>0.3825658394619217</v>
      </c>
    </row>
    <row r="85">
      <c r="A85" s="516" t="inlineStr">
        <is>
          <t>Software (Internet)</t>
        </is>
      </c>
      <c r="B85" s="517" t="n">
        <v>147</v>
      </c>
      <c r="C85" s="518" t="n">
        <v>0.06660000000000001</v>
      </c>
      <c r="D85" s="518" t="n">
        <v>0.103</v>
      </c>
      <c r="E85" s="518" t="n">
        <v>0.198</v>
      </c>
      <c r="F85" s="518" t="n">
        <v>-0.09373868467366327</v>
      </c>
      <c r="G85" s="518" t="n">
        <v>0.03696078431372549</v>
      </c>
      <c r="H85" s="518" t="n">
        <v>0.1165898617511521</v>
      </c>
      <c r="I85" s="519" t="n">
        <v>0.7315968289920725</v>
      </c>
      <c r="J85" s="519" t="n">
        <v>1.623602571769625</v>
      </c>
      <c r="K85" s="519" t="n">
        <v>3.548109965635739</v>
      </c>
      <c r="L85" s="863" t="n">
        <v>0.1002076255646193</v>
      </c>
      <c r="M85" s="863" t="n">
        <v>0.1075600202166113</v>
      </c>
      <c r="N85" s="863" t="n">
        <v>0.1121880297267478</v>
      </c>
      <c r="O85" s="519" t="n">
        <v>1.262263262247972</v>
      </c>
      <c r="P85" s="863" t="n">
        <v>0.01543912933434574</v>
      </c>
      <c r="Q85" s="863" t="n">
        <v>0.08026755852842808</v>
      </c>
      <c r="R85" s="863" t="n">
        <v>0.2601431980906921</v>
      </c>
      <c r="S85" s="863" t="n">
        <v>0.04132231404958678</v>
      </c>
      <c r="T85" s="863" t="n">
        <v>0.1946710168569875</v>
      </c>
    </row>
    <row r="86">
      <c r="A86" s="516" t="inlineStr">
        <is>
          <t>Software (System &amp; Application)</t>
        </is>
      </c>
      <c r="B86" s="517" t="n">
        <v>1567</v>
      </c>
      <c r="C86" s="518" t="n">
        <v>0.0568</v>
      </c>
      <c r="D86" s="518" t="n">
        <v>0.123</v>
      </c>
      <c r="E86" s="518" t="n">
        <v>0.198</v>
      </c>
      <c r="F86" s="518" t="n">
        <v>-0.2655971479500891</v>
      </c>
      <c r="G86" s="518" t="n">
        <v>-0.00757532281205165</v>
      </c>
      <c r="H86" s="518" t="n">
        <v>0.108695652173913</v>
      </c>
      <c r="I86" s="519" t="n">
        <v>0.7590443686006828</v>
      </c>
      <c r="J86" s="519" t="n">
        <v>1.712990341021092</v>
      </c>
      <c r="K86" s="519" t="n">
        <v>4.014474725771797</v>
      </c>
      <c r="L86" s="863" t="n">
        <v>0.1010215891786288</v>
      </c>
      <c r="M86" s="863" t="n">
        <v>0.1090743297951594</v>
      </c>
      <c r="N86" s="863" t="n">
        <v>0.1131457914598493</v>
      </c>
      <c r="O86" s="519" t="n">
        <v>1.159419927833925</v>
      </c>
      <c r="P86" s="863" t="n">
        <v>0.002267573696145125</v>
      </c>
      <c r="Q86" s="863" t="n">
        <v>0.03050302666817751</v>
      </c>
      <c r="R86" s="863" t="n">
        <v>0.1342835708927232</v>
      </c>
      <c r="S86" s="863" t="n">
        <v>0.08799999999999999</v>
      </c>
      <c r="T86" s="863" t="n">
        <v>0.2553191489361702</v>
      </c>
    </row>
    <row r="87">
      <c r="A87" s="516" t="inlineStr">
        <is>
          <t>Steel</t>
        </is>
      </c>
      <c r="B87" s="517" t="n">
        <v>727</v>
      </c>
      <c r="C87" s="518" t="n">
        <v>-0.0239</v>
      </c>
      <c r="D87" s="518" t="n">
        <v>0.0291</v>
      </c>
      <c r="E87" s="518" t="n">
        <v>0.117</v>
      </c>
      <c r="F87" s="518" t="n">
        <v>-0.003966010014814967</v>
      </c>
      <c r="G87" s="518" t="n">
        <v>0.03367260390161154</v>
      </c>
      <c r="H87" s="518" t="n">
        <v>0.09313077939233817</v>
      </c>
      <c r="I87" s="519" t="n">
        <v>0.8123208910837555</v>
      </c>
      <c r="J87" s="519" t="n">
        <v>1.379839018781142</v>
      </c>
      <c r="K87" s="519" t="n">
        <v>2.061055127445168</v>
      </c>
      <c r="L87" s="863" t="n">
        <v>0.09051637351585733</v>
      </c>
      <c r="M87" s="863" t="n">
        <v>0.09709852014868048</v>
      </c>
      <c r="N87" s="863" t="n">
        <v>0.1155821388289146</v>
      </c>
      <c r="O87" s="519" t="n">
        <v>1.15347248409045</v>
      </c>
      <c r="P87" s="863" t="n">
        <v>0.04281551221699171</v>
      </c>
      <c r="Q87" s="863" t="n">
        <v>0.2372881355932203</v>
      </c>
      <c r="R87" s="863" t="n">
        <v>0.5164495210898923</v>
      </c>
      <c r="S87" s="863" t="n">
        <v>0.02940997381720757</v>
      </c>
      <c r="T87" s="863" t="n">
        <v>0.1448164582492941</v>
      </c>
    </row>
    <row r="88">
      <c r="A88" s="516" t="inlineStr">
        <is>
          <t>Telecom (Wireless)</t>
        </is>
      </c>
      <c r="B88" s="517" t="n">
        <v>98</v>
      </c>
      <c r="C88" s="518" t="n">
        <v>0.0156</v>
      </c>
      <c r="D88" s="518" t="n">
        <v>0.0413</v>
      </c>
      <c r="E88" s="518" t="n">
        <v>0.07440000000000002</v>
      </c>
      <c r="F88" s="518" t="n">
        <v>0.05471811878203196</v>
      </c>
      <c r="G88" s="518" t="n">
        <v>0.139948006932409</v>
      </c>
      <c r="H88" s="518" t="n">
        <v>0.2060475274296709</v>
      </c>
      <c r="I88" s="519" t="n">
        <v>0.5617141132682829</v>
      </c>
      <c r="J88" s="519" t="n">
        <v>0.9477611940298507</v>
      </c>
      <c r="K88" s="519" t="n">
        <v>1.531524926686217</v>
      </c>
      <c r="L88" s="863" t="n">
        <v>0.0738848348622294</v>
      </c>
      <c r="M88" s="863" t="n">
        <v>0.07931817492399171</v>
      </c>
      <c r="N88" s="863" t="n">
        <v>0.09053614755486447</v>
      </c>
      <c r="O88" s="519" t="n">
        <v>0.6348785254077843</v>
      </c>
      <c r="P88" s="863" t="n">
        <v>0.09780775716694771</v>
      </c>
      <c r="Q88" s="863" t="n">
        <v>0.2471961764962312</v>
      </c>
      <c r="R88" s="863" t="n">
        <v>0.4475703324808184</v>
      </c>
      <c r="S88" s="863" t="n">
        <v>0.2336756002251175</v>
      </c>
      <c r="T88" s="863" t="n">
        <v>0.4639865996649916</v>
      </c>
    </row>
    <row r="89">
      <c r="A89" s="516" t="inlineStr">
        <is>
          <t>Telecom. Equipment</t>
        </is>
      </c>
      <c r="B89" s="517" t="n">
        <v>440</v>
      </c>
      <c r="C89" s="518" t="n">
        <v>0.0331</v>
      </c>
      <c r="D89" s="518" t="n">
        <v>0.12</v>
      </c>
      <c r="E89" s="518" t="n">
        <v>0.218</v>
      </c>
      <c r="F89" s="518" t="n">
        <v>-0.1262745098039216</v>
      </c>
      <c r="G89" s="518" t="n">
        <v>0.005607170721770288</v>
      </c>
      <c r="H89" s="518" t="n">
        <v>0.07804708502884983</v>
      </c>
      <c r="I89" s="519" t="n">
        <v>0.7058452812352292</v>
      </c>
      <c r="J89" s="519" t="n">
        <v>1.278989790435249</v>
      </c>
      <c r="K89" s="519" t="n">
        <v>2.234744658250575</v>
      </c>
      <c r="L89" s="863" t="n">
        <v>0.09657025643946254</v>
      </c>
      <c r="M89" s="863" t="n">
        <v>0.1048395879290653</v>
      </c>
      <c r="N89" s="863" t="n">
        <v>0.1074335020308312</v>
      </c>
      <c r="O89" s="519" t="n">
        <v>1.177520288053817</v>
      </c>
      <c r="P89" s="863" t="n">
        <v>0.01277183293061788</v>
      </c>
      <c r="Q89" s="863" t="n">
        <v>0.07752812442798752</v>
      </c>
      <c r="R89" s="863" t="n">
        <v>0.2742498255408234</v>
      </c>
      <c r="S89" s="863" t="n">
        <v>0.2271125994868003</v>
      </c>
      <c r="T89" s="863" t="n">
        <v>0.4126760226647859</v>
      </c>
    </row>
    <row r="90">
      <c r="A90" s="516" t="inlineStr">
        <is>
          <t>Telecom. Services</t>
        </is>
      </c>
      <c r="B90" s="517" t="n">
        <v>274</v>
      </c>
      <c r="C90" s="518" t="n">
        <v>0.0161</v>
      </c>
      <c r="D90" s="518" t="n">
        <v>0.0438</v>
      </c>
      <c r="E90" s="518" t="n">
        <v>0.111</v>
      </c>
      <c r="F90" s="518" t="n">
        <v>0.01158018867924528</v>
      </c>
      <c r="G90" s="518" t="n">
        <v>0.09764391547243138</v>
      </c>
      <c r="H90" s="518" t="n">
        <v>0.2031137554853134</v>
      </c>
      <c r="I90" s="519" t="n">
        <v>0.5440295066851084</v>
      </c>
      <c r="J90" s="519" t="n">
        <v>0.9029930518439337</v>
      </c>
      <c r="K90" s="519" t="n">
        <v>1.888268306436454</v>
      </c>
      <c r="L90" s="863" t="n">
        <v>0.06886802191789448</v>
      </c>
      <c r="M90" s="863" t="n">
        <v>0.07388537891533248</v>
      </c>
      <c r="N90" s="863" t="n">
        <v>0.08338408220836732</v>
      </c>
      <c r="O90" s="519" t="n">
        <v>0.7339186106591947</v>
      </c>
      <c r="P90" s="863" t="n">
        <v>0.06238154099711578</v>
      </c>
      <c r="Q90" s="863" t="n">
        <v>0.2636547538772758</v>
      </c>
      <c r="R90" s="863" t="n">
        <v>0.5216812800655044</v>
      </c>
      <c r="S90" s="863" t="n">
        <v>0.08842443729903537</v>
      </c>
      <c r="T90" s="863" t="n">
        <v>0.264033264033264</v>
      </c>
    </row>
    <row r="91">
      <c r="A91" s="516" t="inlineStr">
        <is>
          <t>Tobacco</t>
        </is>
      </c>
      <c r="B91" s="517" t="n">
        <v>54</v>
      </c>
      <c r="C91" s="518" t="n">
        <v>0.0184</v>
      </c>
      <c r="D91" s="518" t="n">
        <v>0.0315</v>
      </c>
      <c r="E91" s="518" t="n">
        <v>0.0915</v>
      </c>
      <c r="F91" s="518" t="n">
        <v>-0.04795127353266888</v>
      </c>
      <c r="G91" s="518" t="n">
        <v>0.1553846153846154</v>
      </c>
      <c r="H91" s="518" t="n">
        <v>0.260128617363344</v>
      </c>
      <c r="I91" s="519" t="n">
        <v>1.030808729139923</v>
      </c>
      <c r="J91" s="519" t="n">
        <v>1.751745888713674</v>
      </c>
      <c r="K91" s="519" t="n">
        <v>2.802506883794787</v>
      </c>
      <c r="L91" s="863" t="n">
        <v>0.07196723424203841</v>
      </c>
      <c r="M91" s="863" t="n">
        <v>0.08443926228047022</v>
      </c>
      <c r="N91" s="863" t="n">
        <v>0.09845235931793889</v>
      </c>
      <c r="O91" s="519" t="n">
        <v>0.4366618703436086</v>
      </c>
      <c r="P91" s="863" t="n">
        <v>0.000513143107555078</v>
      </c>
      <c r="Q91" s="863" t="n">
        <v>0.11128903122498</v>
      </c>
      <c r="R91" s="863" t="n">
        <v>0.4121292710662662</v>
      </c>
      <c r="S91" s="863" t="n">
        <v>0.2274733716489288</v>
      </c>
      <c r="T91" s="863" t="n">
        <v>0.4517086686898008</v>
      </c>
    </row>
    <row r="92">
      <c r="A92" s="516" t="inlineStr">
        <is>
          <t>Transportation</t>
        </is>
      </c>
      <c r="B92" s="517" t="n">
        <v>446</v>
      </c>
      <c r="C92" s="518" t="n">
        <v>0.0438</v>
      </c>
      <c r="D92" s="518" t="n">
        <v>0.08400000000000001</v>
      </c>
      <c r="E92" s="518" t="n">
        <v>0.147</v>
      </c>
      <c r="F92" s="518" t="n">
        <v>0.005759162303664921</v>
      </c>
      <c r="G92" s="518" t="n">
        <v>0.05339130434782609</v>
      </c>
      <c r="H92" s="518" t="n">
        <v>0.1160377358490566</v>
      </c>
      <c r="I92" s="519" t="n">
        <v>0.5664578983994432</v>
      </c>
      <c r="J92" s="519" t="n">
        <v>1.453237410071942</v>
      </c>
      <c r="K92" s="519" t="n">
        <v>2.911665866538646</v>
      </c>
      <c r="L92" s="863" t="n">
        <v>0.08335597131935463</v>
      </c>
      <c r="M92" s="863" t="n">
        <v>0.08806038554642309</v>
      </c>
      <c r="N92" s="863" t="n">
        <v>0.1027912234523332</v>
      </c>
      <c r="O92" s="519" t="n">
        <v>0.8033993417547111</v>
      </c>
      <c r="P92" s="863" t="n">
        <v>0.08987808803744027</v>
      </c>
      <c r="Q92" s="863" t="n">
        <v>0.2687350314967148</v>
      </c>
      <c r="R92" s="863" t="n">
        <v>0.5257182576459685</v>
      </c>
      <c r="S92" s="863" t="n">
        <v>0.0672225117248567</v>
      </c>
      <c r="T92" s="863" t="n">
        <v>0.3413654618473896</v>
      </c>
    </row>
    <row r="93">
      <c r="A93" s="516" t="inlineStr">
        <is>
          <t>Transportation (Railroads)</t>
        </is>
      </c>
      <c r="B93" s="517" t="n">
        <v>54</v>
      </c>
      <c r="C93" s="518" t="n">
        <v>0.0234</v>
      </c>
      <c r="D93" s="518" t="n">
        <v>0.0416</v>
      </c>
      <c r="E93" s="518" t="n">
        <v>0.0513</v>
      </c>
      <c r="F93" s="518" t="n">
        <v>0.06701592406245137</v>
      </c>
      <c r="G93" s="518" t="n">
        <v>0.1161869320704668</v>
      </c>
      <c r="H93" s="518" t="n">
        <v>0.2150969082506359</v>
      </c>
      <c r="I93" s="519" t="n">
        <v>0.3884201586945129</v>
      </c>
      <c r="J93" s="519" t="n">
        <v>0.5101967109480919</v>
      </c>
      <c r="K93" s="519" t="n">
        <v>0.7954348524340553</v>
      </c>
      <c r="L93" s="863" t="n">
        <v>0.06447620428935008</v>
      </c>
      <c r="M93" s="863" t="n">
        <v>0.06683986885688283</v>
      </c>
      <c r="N93" s="863" t="n">
        <v>0.07155269321486066</v>
      </c>
      <c r="O93" s="519" t="n">
        <v>0.7880610796514507</v>
      </c>
      <c r="P93" s="863" t="n">
        <v>0.1635166461159063</v>
      </c>
      <c r="Q93" s="863" t="n">
        <v>0.4621924224439382</v>
      </c>
      <c r="R93" s="863" t="n">
        <v>0.6220116674993499</v>
      </c>
      <c r="S93" s="863" t="n">
        <v>0.1551495896213926</v>
      </c>
      <c r="T93" s="863" t="n">
        <v>0.396484375</v>
      </c>
    </row>
    <row r="94">
      <c r="A94" s="516" t="inlineStr">
        <is>
          <t>Trucking</t>
        </is>
      </c>
      <c r="B94" s="517" t="n">
        <v>113</v>
      </c>
      <c r="C94" s="518" t="n">
        <v>0.0308</v>
      </c>
      <c r="D94" s="518" t="n">
        <v>0.06619999999999999</v>
      </c>
      <c r="E94" s="518" t="n">
        <v>0.125</v>
      </c>
      <c r="F94" s="518" t="n">
        <v>0.01640847633473452</v>
      </c>
      <c r="G94" s="518" t="n">
        <v>0.05063113604488079</v>
      </c>
      <c r="H94" s="518" t="n">
        <v>0.0917666643545814</v>
      </c>
      <c r="I94" s="519" t="n">
        <v>0.8720666161998487</v>
      </c>
      <c r="J94" s="519" t="n">
        <v>1.528902370410235</v>
      </c>
      <c r="K94" s="519" t="n">
        <v>2.349464351680828</v>
      </c>
      <c r="L94" s="863" t="n">
        <v>0.08058739810545494</v>
      </c>
      <c r="M94" s="863" t="n">
        <v>0.08719164769586726</v>
      </c>
      <c r="N94" s="863" t="n">
        <v>0.103782238309545</v>
      </c>
      <c r="O94" s="519" t="n">
        <v>0.8816158866667831</v>
      </c>
      <c r="P94" s="863" t="n">
        <v>0.1294964028776978</v>
      </c>
      <c r="Q94" s="863" t="n">
        <v>0.2641129032258064</v>
      </c>
      <c r="R94" s="863" t="n">
        <v>0.4800024938433243</v>
      </c>
      <c r="S94" s="863" t="n">
        <v>0.4271493352764663</v>
      </c>
      <c r="T94" s="863" t="n">
        <v>0.5726768722752666</v>
      </c>
    </row>
    <row r="95">
      <c r="A95" s="516" t="inlineStr">
        <is>
          <t>Utility (General)</t>
        </is>
      </c>
      <c r="B95" s="517" t="n">
        <v>52</v>
      </c>
      <c r="C95" s="518" t="n">
        <v>-0.009010000000000002</v>
      </c>
      <c r="D95" s="518" t="n">
        <v>0.0269</v>
      </c>
      <c r="E95" s="518" t="n">
        <v>0.0513</v>
      </c>
      <c r="F95" s="518" t="n">
        <v>0.07811602527283171</v>
      </c>
      <c r="G95" s="518" t="n">
        <v>0.1749146757679181</v>
      </c>
      <c r="H95" s="518" t="n">
        <v>0.2382898687018483</v>
      </c>
      <c r="I95" s="519" t="n">
        <v>0.2973939277104603</v>
      </c>
      <c r="J95" s="519" t="n">
        <v>0.380615649327486</v>
      </c>
      <c r="K95" s="519" t="n">
        <v>1.440691694002349</v>
      </c>
      <c r="L95" s="863" t="n">
        <v>0.06128859456138713</v>
      </c>
      <c r="M95" s="863" t="n">
        <v>0.06582794789949452</v>
      </c>
      <c r="N95" s="863" t="n">
        <v>0.06872802146831541</v>
      </c>
      <c r="O95" s="519" t="n">
        <v>0.4980324485583621</v>
      </c>
      <c r="P95" s="863" t="n">
        <v>0.3441892516474658</v>
      </c>
      <c r="Q95" s="863" t="n">
        <v>0.4594035905466942</v>
      </c>
      <c r="R95" s="863" t="n">
        <v>0.5235578111398579</v>
      </c>
      <c r="S95" s="863" t="n">
        <v>0.2657023220403502</v>
      </c>
      <c r="T95" s="863" t="n">
        <v>0.4654088050314465</v>
      </c>
    </row>
    <row r="96">
      <c r="A96" s="516" t="inlineStr">
        <is>
          <t>Utility (Water)</t>
        </is>
      </c>
      <c r="B96" s="517" t="n">
        <v>106</v>
      </c>
      <c r="C96" s="518" t="n">
        <v>0.04219999999999999</v>
      </c>
      <c r="D96" s="518" t="n">
        <v>0.0633</v>
      </c>
      <c r="E96" s="518" t="n">
        <v>0.105</v>
      </c>
      <c r="F96" s="518" t="n">
        <v>0.072265625</v>
      </c>
      <c r="G96" s="518" t="n">
        <v>0.2183235867446394</v>
      </c>
      <c r="H96" s="518" t="n">
        <v>0.3002350833986343</v>
      </c>
      <c r="I96" s="519" t="n">
        <v>0.2270737917182716</v>
      </c>
      <c r="J96" s="519" t="n">
        <v>0.3398628795298727</v>
      </c>
      <c r="K96" s="519" t="n">
        <v>0.6538135039832832</v>
      </c>
      <c r="L96" s="863" t="n">
        <v>0.06358588277136573</v>
      </c>
      <c r="M96" s="863" t="n">
        <v>0.06689046933873492</v>
      </c>
      <c r="N96" s="863" t="n">
        <v>0.07043727671951067</v>
      </c>
      <c r="O96" s="519" t="n">
        <v>0.5795434390324514</v>
      </c>
      <c r="P96" s="863" t="n">
        <v>0.1005781329705832</v>
      </c>
      <c r="Q96" s="863" t="n">
        <v>0.3551756885090219</v>
      </c>
      <c r="R96" s="863" t="n">
        <v>0.6189051749925217</v>
      </c>
      <c r="S96" s="863" t="n">
        <v>0.4599175129102693</v>
      </c>
      <c r="T96" s="863" t="n">
        <v>0.5477355884249122</v>
      </c>
    </row>
    <row r="97">
      <c r="A97" s="516" t="inlineStr">
        <is>
          <t>Utility (Water)</t>
        </is>
      </c>
      <c r="B97" s="517" t="n">
        <v>102</v>
      </c>
      <c r="C97" s="518" t="n">
        <v>0.00155</v>
      </c>
      <c r="D97" s="518" t="n">
        <v>0.0688</v>
      </c>
      <c r="E97" s="518" t="n">
        <v>0.131</v>
      </c>
      <c r="F97" s="518" t="n">
        <v>0.07207578253706755</v>
      </c>
      <c r="G97" s="518" t="n">
        <v>0.2031337437045327</v>
      </c>
      <c r="H97" s="518" t="n">
        <v>0.2759856630824373</v>
      </c>
      <c r="I97" s="519" t="n">
        <v>0.2102032657029534</v>
      </c>
      <c r="J97" s="519" t="n">
        <v>0.34106955107972</v>
      </c>
      <c r="K97" s="519" t="n">
        <v>0.5923620519204716</v>
      </c>
      <c r="L97" s="863" t="n">
        <v>0.05878584302753442</v>
      </c>
      <c r="M97" s="863" t="n">
        <v>0.06229838286605245</v>
      </c>
      <c r="N97" s="863" t="n">
        <v>0.06684683461807117</v>
      </c>
      <c r="O97" s="519" t="n">
        <v>0.4211236677680427</v>
      </c>
      <c r="P97" s="519" t="n">
        <v>0.6038672004336629</v>
      </c>
      <c r="Q97" s="519" t="n">
        <v>0.9149026352085849</v>
      </c>
      <c r="R97" s="863" t="n">
        <v>0.06670579029733958</v>
      </c>
      <c r="S97" s="863" t="n">
        <v>0.3233525957200156</v>
      </c>
      <c r="T97" s="863" t="n">
        <v>0.6080075961386295</v>
      </c>
    </row>
  </sheetData>
  <mergeCells count="5">
    <mergeCell ref="L1:N1"/>
    <mergeCell ref="C1:E1"/>
    <mergeCell ref="P1:R1"/>
    <mergeCell ref="F1:H1"/>
    <mergeCell ref="I1:K1"/>
  </mergeCells>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AA97"/>
  <sheetViews>
    <sheetView workbookViewId="0">
      <selection activeCell="L48" sqref="L48"/>
    </sheetView>
  </sheetViews>
  <sheetFormatPr baseColWidth="10" defaultRowHeight="13"/>
  <cols>
    <col width="23.1640625" customWidth="1" min="1" max="1"/>
    <col width="10.6640625" customWidth="1" style="695" min="2" max="23"/>
    <col width="10.83203125" customWidth="1" style="695" min="24" max="27"/>
  </cols>
  <sheetData>
    <row r="1" ht="84" customFormat="1" customHeight="1" s="149">
      <c r="A1" s="509" t="inlineStr">
        <is>
          <t>Industry Name</t>
        </is>
      </c>
      <c r="B1" s="149" t="inlineStr">
        <is>
          <t>Number of firms</t>
        </is>
      </c>
      <c r="C1" s="510" t="inlineStr">
        <is>
          <t>Annual Average Revenue growth - Last 5 years</t>
        </is>
      </c>
      <c r="D1" s="510" t="inlineStr">
        <is>
          <t>Pre-tax Operating Margin (Unadjusted)</t>
        </is>
      </c>
      <c r="E1" s="510" t="inlineStr">
        <is>
          <t>After-tax ROC</t>
        </is>
      </c>
      <c r="F1" s="149" t="inlineStr">
        <is>
          <t>Average effective tax rate</t>
        </is>
      </c>
      <c r="G1" s="149" t="inlineStr">
        <is>
          <t>Unlevered Beta</t>
        </is>
      </c>
      <c r="H1" s="149" t="inlineStr">
        <is>
          <t>Equity (Levered) Beta</t>
        </is>
      </c>
      <c r="I1" s="149" t="inlineStr">
        <is>
          <t>Cost of equity</t>
        </is>
      </c>
      <c r="J1" s="149" t="inlineStr">
        <is>
          <t>Std deviation in stock prices</t>
        </is>
      </c>
      <c r="K1" s="149" t="inlineStr">
        <is>
          <t>Pre-tax cost of debt</t>
        </is>
      </c>
      <c r="L1" s="149" t="inlineStr">
        <is>
          <t>Market Debt/Capital</t>
        </is>
      </c>
      <c r="M1" s="149" t="inlineStr">
        <is>
          <t>Cost of capital</t>
        </is>
      </c>
      <c r="N1" s="511" t="inlineStr">
        <is>
          <t>Sales/Capital</t>
        </is>
      </c>
      <c r="O1" s="149" t="inlineStr">
        <is>
          <t>EV/Sales</t>
        </is>
      </c>
      <c r="P1" s="149" t="inlineStr">
        <is>
          <t>EV/EBITDA</t>
        </is>
      </c>
      <c r="Q1" s="149" t="inlineStr">
        <is>
          <t>EV/EBIT</t>
        </is>
      </c>
      <c r="R1" s="149" t="inlineStr">
        <is>
          <t>Price/Book</t>
        </is>
      </c>
      <c r="S1" s="149" t="inlineStr">
        <is>
          <t>Trailing PE</t>
        </is>
      </c>
      <c r="T1" s="149" t="inlineStr">
        <is>
          <t>Non-cash WC as % of Revenues</t>
        </is>
      </c>
      <c r="U1" s="149" t="inlineStr">
        <is>
          <t>Cap Ex as % of Revenues</t>
        </is>
      </c>
      <c r="V1" s="149" t="inlineStr">
        <is>
          <t>Net Cap Ex as % of Revenues</t>
        </is>
      </c>
      <c r="W1" s="149" t="inlineStr">
        <is>
          <t>Reinvestment Rate</t>
        </is>
      </c>
      <c r="X1" s="149" t="inlineStr">
        <is>
          <t>ROE</t>
        </is>
      </c>
      <c r="Y1" s="149" t="inlineStr">
        <is>
          <t>Dividend Payout Ratio</t>
        </is>
      </c>
      <c r="Z1" s="149" t="inlineStr">
        <is>
          <t>Equity Reinvestment Rate</t>
        </is>
      </c>
      <c r="AA1" s="149" t="inlineStr">
        <is>
          <t>Pre-tax Operating Margin (Lease &amp; R&amp;D adjusted)</t>
        </is>
      </c>
    </row>
    <row r="2" customFormat="1" s="112">
      <c r="A2" s="125" t="inlineStr">
        <is>
          <t>Advertising</t>
        </is>
      </c>
      <c r="B2" s="296" t="n">
        <v>417</v>
      </c>
      <c r="C2" s="512" t="n">
        <v>0.06845644351464436</v>
      </c>
      <c r="D2" s="512" t="n">
        <v>0.07913067219612407</v>
      </c>
      <c r="E2" s="512" t="n">
        <v>0.2148233622400214</v>
      </c>
      <c r="F2" s="512" t="n">
        <v>0.2777203074101305</v>
      </c>
      <c r="G2" s="513" t="n">
        <v>1.153136644455879</v>
      </c>
      <c r="H2" s="513" t="n">
        <v>1.254409764675642</v>
      </c>
      <c r="I2" s="512" t="n">
        <v>0.1174267975629792</v>
      </c>
      <c r="J2" s="512" t="n">
        <v>0.4740903035589746</v>
      </c>
      <c r="K2" s="512" t="n">
        <v>0.0682</v>
      </c>
      <c r="L2" s="512" t="n">
        <v>0.2190700761000043</v>
      </c>
      <c r="M2" s="512" t="n">
        <v>0.1028746652029747</v>
      </c>
      <c r="N2" s="513" t="n">
        <v>3.383463127892816</v>
      </c>
      <c r="O2" s="513" t="n">
        <v>1.645723978537809</v>
      </c>
      <c r="P2" s="513" t="n">
        <v>12.92025260266753</v>
      </c>
      <c r="Q2" s="513" t="n">
        <v>19.47070648636177</v>
      </c>
      <c r="R2" s="513" t="n">
        <v>2.847850811964685</v>
      </c>
      <c r="S2" s="513" t="n">
        <v>83.11145737364957</v>
      </c>
      <c r="T2" s="512" t="n">
        <v>0.003504423402919717</v>
      </c>
      <c r="U2" s="512" t="n">
        <v>0.01726374903867861</v>
      </c>
      <c r="V2" s="512" t="n">
        <v>0.0004019883057349198</v>
      </c>
      <c r="W2" s="512" t="n">
        <v>0.1918866882689318</v>
      </c>
      <c r="X2" s="512" t="n">
        <v>0.06775942528719077</v>
      </c>
      <c r="Y2" s="512" t="n">
        <v>0.8857034224859133</v>
      </c>
      <c r="Z2" s="512" t="n">
        <v>0.8857034224859133</v>
      </c>
      <c r="AA2" s="514" t="n">
        <v>0.080901122750602</v>
      </c>
    </row>
    <row r="3" customFormat="1" s="112">
      <c r="A3" s="125" t="inlineStr">
        <is>
          <t>Aerospace/Defense</t>
        </is>
      </c>
      <c r="B3" s="296" t="n">
        <v>300</v>
      </c>
      <c r="C3" s="512" t="n">
        <v>0.09738137362637367</v>
      </c>
      <c r="D3" s="512" t="n">
        <v>0.07974262337171378</v>
      </c>
      <c r="E3" s="512" t="n">
        <v>0.1372920397794799</v>
      </c>
      <c r="F3" s="512" t="n">
        <v>0.1742807697929563</v>
      </c>
      <c r="G3" s="513" t="n">
        <v>0.9590867663115341</v>
      </c>
      <c r="H3" s="513" t="n">
        <v>1.037195471112474</v>
      </c>
      <c r="I3" s="512" t="n">
        <v>0.1050238614005223</v>
      </c>
      <c r="J3" s="512" t="n">
        <v>0.4068127006930486</v>
      </c>
      <c r="K3" s="512" t="n">
        <v>0.06569999999999999</v>
      </c>
      <c r="L3" s="512" t="n">
        <v>0.1591629200556343</v>
      </c>
      <c r="M3" s="512" t="n">
        <v>0.09612770442177346</v>
      </c>
      <c r="N3" s="513" t="n">
        <v>2.53962957667601</v>
      </c>
      <c r="O3" s="513" t="n">
        <v>2.474234051388331</v>
      </c>
      <c r="P3" s="513" t="n">
        <v>17.81701844239874</v>
      </c>
      <c r="Q3" s="513" t="n">
        <v>27.49340027478113</v>
      </c>
      <c r="R3" s="513" t="n">
        <v>5.419325740426683</v>
      </c>
      <c r="S3" s="513" t="n">
        <v>97.71456478973904</v>
      </c>
      <c r="T3" s="512" t="n">
        <v>0.3692140677291876</v>
      </c>
      <c r="U3" s="512" t="n">
        <v>0.03612398833244467</v>
      </c>
      <c r="V3" s="512" t="n">
        <v>0.02590480889773784</v>
      </c>
      <c r="W3" s="512" t="n">
        <v>0.9898289273191564</v>
      </c>
      <c r="X3" s="512" t="n">
        <v>0.1340293852488608</v>
      </c>
      <c r="Y3" s="512" t="n">
        <v>0.4559155819513157</v>
      </c>
      <c r="Z3" s="512" t="n">
        <v>0.4559155819513157</v>
      </c>
      <c r="AA3" s="514" t="n">
        <v>0.08261641855121409</v>
      </c>
    </row>
    <row r="4" customFormat="1" s="112">
      <c r="A4" s="125" t="inlineStr">
        <is>
          <t>Air Transport</t>
        </is>
      </c>
      <c r="B4" s="296" t="n">
        <v>151</v>
      </c>
      <c r="C4" s="512" t="n">
        <v>0.0470309375</v>
      </c>
      <c r="D4" s="512" t="n">
        <v>0.07844318023938146</v>
      </c>
      <c r="E4" s="512" t="n">
        <v>0.08850245019032303</v>
      </c>
      <c r="F4" s="512" t="n">
        <v>0.1832785029738474</v>
      </c>
      <c r="G4" s="513" t="n">
        <v>0.8505119212104351</v>
      </c>
      <c r="H4" s="513" t="n">
        <v>1.294616777220405</v>
      </c>
      <c r="I4" s="512" t="n">
        <v>0.1197226179792852</v>
      </c>
      <c r="J4" s="512" t="n">
        <v>0.349804330421598</v>
      </c>
      <c r="K4" s="512" t="n">
        <v>0.06569999999999999</v>
      </c>
      <c r="L4" s="512" t="n">
        <v>0.4803979042124283</v>
      </c>
      <c r="M4" s="512" t="n">
        <v>0.0858102932322039</v>
      </c>
      <c r="N4" s="513" t="n">
        <v>1.337815041270704</v>
      </c>
      <c r="O4" s="513" t="n">
        <v>1.314093924202901</v>
      </c>
      <c r="P4" s="513" t="n">
        <v>8.859743965106361</v>
      </c>
      <c r="Q4" s="513" t="n">
        <v>16.54413595936712</v>
      </c>
      <c r="R4" s="513" t="n">
        <v>2.342128126820711</v>
      </c>
      <c r="S4" s="513" t="n">
        <v>42.00202574687905</v>
      </c>
      <c r="T4" s="512" t="n">
        <v>-0.02994545054303822</v>
      </c>
      <c r="U4" s="512" t="n">
        <v>0.09629529883903551</v>
      </c>
      <c r="V4" s="512" t="n">
        <v>0.03319093699540186</v>
      </c>
      <c r="W4" s="512" t="n">
        <v>0.5393379365190375</v>
      </c>
      <c r="X4" s="512" t="n">
        <v>0.2057306858888202</v>
      </c>
      <c r="Y4" s="512" t="n">
        <v>0.2968499633985163</v>
      </c>
      <c r="Z4" s="512" t="n">
        <v>0.2968499633985163</v>
      </c>
      <c r="AA4" s="514" t="n">
        <v>0.07803032980438115</v>
      </c>
    </row>
    <row r="5" customFormat="1" s="112">
      <c r="A5" s="125" t="inlineStr">
        <is>
          <t>Apparel</t>
        </is>
      </c>
      <c r="B5" s="296" t="n">
        <v>1194</v>
      </c>
      <c r="C5" s="512" t="n">
        <v>0.03272879365079367</v>
      </c>
      <c r="D5" s="512" t="n">
        <v>0.1420871608461303</v>
      </c>
      <c r="E5" s="512" t="n">
        <v>0.1885981449312991</v>
      </c>
      <c r="F5" s="512" t="n">
        <v>0.2519608113798398</v>
      </c>
      <c r="G5" s="513" t="n">
        <v>0.6944286080738915</v>
      </c>
      <c r="H5" s="513" t="n">
        <v>0.7505397384113048</v>
      </c>
      <c r="I5" s="512" t="n">
        <v>0.08865581906328551</v>
      </c>
      <c r="J5" s="512" t="n">
        <v>0.3857506638796913</v>
      </c>
      <c r="K5" s="512" t="n">
        <v>0.06569999999999999</v>
      </c>
      <c r="L5" s="512" t="n">
        <v>0.1641661410566406</v>
      </c>
      <c r="M5" s="512" t="n">
        <v>0.08216709339198781</v>
      </c>
      <c r="N5" s="513" t="n">
        <v>1.568552383689334</v>
      </c>
      <c r="O5" s="513" t="n">
        <v>2.300082542343417</v>
      </c>
      <c r="P5" s="513" t="n">
        <v>12.73755185579176</v>
      </c>
      <c r="Q5" s="513" t="n">
        <v>15.69450748099733</v>
      </c>
      <c r="R5" s="513" t="n">
        <v>3.187809316791018</v>
      </c>
      <c r="S5" s="513" t="n">
        <v>50.66818776166972</v>
      </c>
      <c r="T5" s="512" t="n">
        <v>0.2301052942513817</v>
      </c>
      <c r="U5" s="512" t="n">
        <v>0.04856945635180206</v>
      </c>
      <c r="V5" s="512" t="n">
        <v>0.03638036258163637</v>
      </c>
      <c r="W5" s="512" t="n">
        <v>0.4711392855225398</v>
      </c>
      <c r="X5" s="512" t="n">
        <v>0.1456258262216615</v>
      </c>
      <c r="Y5" s="512" t="n">
        <v>0.5234031699562627</v>
      </c>
      <c r="Z5" s="512" t="n">
        <v>0.5234031699562627</v>
      </c>
      <c r="AA5" s="514" t="n">
        <v>0.1436296327436913</v>
      </c>
    </row>
    <row r="6" customFormat="1" s="112">
      <c r="A6" s="125" t="inlineStr">
        <is>
          <t>Auto &amp; Truck</t>
        </is>
      </c>
      <c r="B6" s="296" t="n">
        <v>162</v>
      </c>
      <c r="C6" s="512" t="n">
        <v>0.1269568932038835</v>
      </c>
      <c r="D6" s="512" t="n">
        <v>0.0670663972886944</v>
      </c>
      <c r="E6" s="512" t="n">
        <v>0.07142845891959625</v>
      </c>
      <c r="F6" s="512" t="n">
        <v>0.2327984888711411</v>
      </c>
      <c r="G6" s="513" t="n">
        <v>1.245016379856513</v>
      </c>
      <c r="H6" s="513" t="n">
        <v>1.528912178287774</v>
      </c>
      <c r="I6" s="512" t="n">
        <v>0.1331008853802319</v>
      </c>
      <c r="J6" s="512" t="n">
        <v>0.4791066028572865</v>
      </c>
      <c r="K6" s="512" t="n">
        <v>0.0682</v>
      </c>
      <c r="L6" s="512" t="n">
        <v>0.3316016201862412</v>
      </c>
      <c r="M6" s="512" t="n">
        <v>0.1058760855053573</v>
      </c>
      <c r="N6" s="513" t="n">
        <v>1.32551572150795</v>
      </c>
      <c r="O6" s="513" t="n">
        <v>1.368800485191806</v>
      </c>
      <c r="P6" s="513" t="n">
        <v>12.12555584215913</v>
      </c>
      <c r="Q6" s="513" t="n">
        <v>19.80184223850149</v>
      </c>
      <c r="R6" s="513" t="n">
        <v>1.925446354637444</v>
      </c>
      <c r="S6" s="513" t="n">
        <v>280.710896782341</v>
      </c>
      <c r="T6" s="512" t="n">
        <v>0.04857261684044453</v>
      </c>
      <c r="U6" s="512" t="n">
        <v>0.06622506150063852</v>
      </c>
      <c r="V6" s="512" t="n">
        <v>0.04201750913291302</v>
      </c>
      <c r="W6" s="512" t="n">
        <v>0.7704946740114171</v>
      </c>
      <c r="X6" s="512" t="n">
        <v>0.1159786565805555</v>
      </c>
      <c r="Y6" s="512" t="n">
        <v>0.305376778439287</v>
      </c>
      <c r="Z6" s="512" t="n">
        <v>0.3053767784392869</v>
      </c>
      <c r="AA6" s="514" t="n">
        <v>0.07007849124700442</v>
      </c>
    </row>
    <row r="7" customFormat="1" s="112">
      <c r="A7" s="125" t="inlineStr">
        <is>
          <t>Auto Parts</t>
        </is>
      </c>
      <c r="B7" s="296" t="n">
        <v>780</v>
      </c>
      <c r="C7" s="512" t="n">
        <v>0.07555174474959619</v>
      </c>
      <c r="D7" s="512" t="n">
        <v>0.05268548423262653</v>
      </c>
      <c r="E7" s="512" t="n">
        <v>0.07937770430239609</v>
      </c>
      <c r="F7" s="512" t="n">
        <v>0.2258550600098475</v>
      </c>
      <c r="G7" s="513" t="n">
        <v>1.185707152212758</v>
      </c>
      <c r="H7" s="513" t="n">
        <v>1.298800816530068</v>
      </c>
      <c r="I7" s="512" t="n">
        <v>0.1199615266238669</v>
      </c>
      <c r="J7" s="512" t="n">
        <v>0.3638882701680404</v>
      </c>
      <c r="K7" s="512" t="n">
        <v>0.06569999999999999</v>
      </c>
      <c r="L7" s="512" t="n">
        <v>0.2642591476315824</v>
      </c>
      <c r="M7" s="512" t="n">
        <v>0.101243769332008</v>
      </c>
      <c r="N7" s="513" t="n">
        <v>2.089972169737004</v>
      </c>
      <c r="O7" s="513" t="n">
        <v>0.7374554607482262</v>
      </c>
      <c r="P7" s="513" t="n">
        <v>7.242658481761152</v>
      </c>
      <c r="Q7" s="513" t="n">
        <v>13.35011561637353</v>
      </c>
      <c r="R7" s="513" t="n">
        <v>1.299794235311194</v>
      </c>
      <c r="S7" s="513" t="n">
        <v>44.14538057805866</v>
      </c>
      <c r="T7" s="512" t="n">
        <v>0.1184407498807236</v>
      </c>
      <c r="U7" s="512" t="n">
        <v>0.05183198676253752</v>
      </c>
      <c r="V7" s="512" t="n">
        <v>0.03207403889156836</v>
      </c>
      <c r="W7" s="512" t="n">
        <v>0.9097762307041399</v>
      </c>
      <c r="X7" s="512" t="n">
        <v>0.07210859882854923</v>
      </c>
      <c r="Y7" s="512" t="n">
        <v>0.420032853223694</v>
      </c>
      <c r="Z7" s="512" t="n">
        <v>0.420032853223694</v>
      </c>
      <c r="AA7" s="514" t="n">
        <v>0.05619911634898599</v>
      </c>
    </row>
    <row r="8" customFormat="1" s="112">
      <c r="A8" s="125" t="inlineStr">
        <is>
          <t>Bank (Money Center)</t>
        </is>
      </c>
      <c r="B8" s="296" t="n">
        <v>621</v>
      </c>
      <c r="C8" s="512" t="n">
        <v>0.1396654901960784</v>
      </c>
      <c r="D8" s="512" t="inlineStr">
        <is>
          <t>NA</t>
        </is>
      </c>
      <c r="E8" s="512" t="inlineStr">
        <is>
          <t>NA</t>
        </is>
      </c>
      <c r="F8" s="512" t="n">
        <v>0.1922141803894264</v>
      </c>
      <c r="G8" s="513" t="n">
        <v>0.3878457299023172</v>
      </c>
      <c r="H8" s="513" t="n">
        <v>0.7970332484692695</v>
      </c>
      <c r="I8" s="512" t="n">
        <v>0.09131059848759529</v>
      </c>
      <c r="J8" s="512" t="n">
        <v>0.2378403763651561</v>
      </c>
      <c r="K8" s="512" t="n">
        <v>0.0612</v>
      </c>
      <c r="L8" s="512" t="n">
        <v>0.7260594506571556</v>
      </c>
      <c r="M8" s="512" t="n">
        <v>0.05824204765124272</v>
      </c>
      <c r="N8" s="513" t="n">
        <v>0</v>
      </c>
      <c r="O8" s="513" t="inlineStr">
        <is>
          <t>NA</t>
        </is>
      </c>
      <c r="P8" s="513" t="inlineStr">
        <is>
          <t>NA</t>
        </is>
      </c>
      <c r="Q8" s="513" t="inlineStr">
        <is>
          <t>NA</t>
        </is>
      </c>
      <c r="R8" s="513" t="n">
        <v>0.9035318100897214</v>
      </c>
      <c r="S8" s="513" t="n">
        <v>15.36940940830307</v>
      </c>
      <c r="T8" s="512" t="inlineStr">
        <is>
          <t>NA</t>
        </is>
      </c>
      <c r="U8" s="512" t="inlineStr">
        <is>
          <t>NA</t>
        </is>
      </c>
      <c r="V8" s="512" t="inlineStr">
        <is>
          <t>NA</t>
        </is>
      </c>
      <c r="W8" s="512" t="inlineStr">
        <is>
          <t>NA</t>
        </is>
      </c>
      <c r="X8" s="512" t="n">
        <v>0.1199377065700812</v>
      </c>
      <c r="Y8" s="512" t="n">
        <v>0.3829230402791724</v>
      </c>
      <c r="Z8" s="512" t="n">
        <v>0.3829230402791723</v>
      </c>
      <c r="AA8" s="514" t="inlineStr">
        <is>
          <t>NA</t>
        </is>
      </c>
    </row>
    <row r="9" customFormat="1" s="112">
      <c r="A9" s="125" t="inlineStr">
        <is>
          <t>Banks (Regional)</t>
        </is>
      </c>
      <c r="B9" s="296" t="n">
        <v>849</v>
      </c>
      <c r="C9" s="512" t="n">
        <v>0.07051658402203857</v>
      </c>
      <c r="D9" s="512" t="inlineStr">
        <is>
          <t>NA</t>
        </is>
      </c>
      <c r="E9" s="512" t="inlineStr">
        <is>
          <t>NA</t>
        </is>
      </c>
      <c r="F9" s="512" t="n">
        <v>0.1906673120451636</v>
      </c>
      <c r="G9" s="513" t="n">
        <v>0.3258114737086947</v>
      </c>
      <c r="H9" s="513" t="n">
        <v>0.5570410856784398</v>
      </c>
      <c r="I9" s="512" t="n">
        <v>0.07760704599223892</v>
      </c>
      <c r="J9" s="512" t="n">
        <v>0.274698731408908</v>
      </c>
      <c r="K9" s="512" t="n">
        <v>0.0612</v>
      </c>
      <c r="L9" s="512" t="n">
        <v>0.6935380678985263</v>
      </c>
      <c r="M9" s="512" t="n">
        <v>0.05552362461054997</v>
      </c>
      <c r="N9" s="513" t="n">
        <v>0</v>
      </c>
      <c r="O9" s="513" t="inlineStr">
        <is>
          <t>NA</t>
        </is>
      </c>
      <c r="P9" s="513" t="inlineStr">
        <is>
          <t>NA</t>
        </is>
      </c>
      <c r="Q9" s="513" t="inlineStr">
        <is>
          <t>NA</t>
        </is>
      </c>
      <c r="R9" s="513" t="n">
        <v>0.7802285980334723</v>
      </c>
      <c r="S9" s="513" t="n">
        <v>16.3190620692586</v>
      </c>
      <c r="T9" s="512" t="inlineStr">
        <is>
          <t>NA</t>
        </is>
      </c>
      <c r="U9" s="512" t="inlineStr">
        <is>
          <t>NA</t>
        </is>
      </c>
      <c r="V9" s="512" t="inlineStr">
        <is>
          <t>NA</t>
        </is>
      </c>
      <c r="W9" s="512" t="inlineStr">
        <is>
          <t>NA</t>
        </is>
      </c>
      <c r="X9" s="512" t="n">
        <v>0.0759558097766404</v>
      </c>
      <c r="Y9" s="512" t="n">
        <v>0.3989672179876748</v>
      </c>
      <c r="Z9" s="512" t="n">
        <v>0.3989672179876749</v>
      </c>
      <c r="AA9" s="514" t="inlineStr">
        <is>
          <t>NA</t>
        </is>
      </c>
    </row>
    <row r="10" customFormat="1" s="112">
      <c r="A10" s="125" t="inlineStr">
        <is>
          <t>Beverage (Alcoholic)</t>
        </is>
      </c>
      <c r="B10" s="296" t="n">
        <v>216</v>
      </c>
      <c r="C10" s="512" t="n">
        <v>0.08466418994413406</v>
      </c>
      <c r="D10" s="512" t="n">
        <v>0.22475441046323</v>
      </c>
      <c r="E10" s="512" t="n">
        <v>0.1589828613153099</v>
      </c>
      <c r="F10" s="512" t="n">
        <v>0.249070921933466</v>
      </c>
      <c r="G10" s="513" t="n">
        <v>0.7823142345759401</v>
      </c>
      <c r="H10" s="513" t="n">
        <v>0.863513239856649</v>
      </c>
      <c r="I10" s="512" t="n">
        <v>0.09510660599581466</v>
      </c>
      <c r="J10" s="512" t="n">
        <v>0.3215969919679286</v>
      </c>
      <c r="K10" s="512" t="n">
        <v>0.06569999999999999</v>
      </c>
      <c r="L10" s="512" t="n">
        <v>0.1901088678622553</v>
      </c>
      <c r="M10" s="512" t="n">
        <v>0.08636613293188058</v>
      </c>
      <c r="N10" s="513" t="n">
        <v>0.8483484379616044</v>
      </c>
      <c r="O10" s="513" t="n">
        <v>2.938246562240009</v>
      </c>
      <c r="P10" s="513" t="n">
        <v>10.86440357313508</v>
      </c>
      <c r="Q10" s="513" t="n">
        <v>12.94736037009992</v>
      </c>
      <c r="R10" s="513" t="n">
        <v>2.388945444591745</v>
      </c>
      <c r="S10" s="513" t="n">
        <v>37.11917758108955</v>
      </c>
      <c r="T10" s="512" t="n">
        <v>0.1003331998916041</v>
      </c>
      <c r="U10" s="512" t="n">
        <v>0.04932775541257176</v>
      </c>
      <c r="V10" s="512" t="n">
        <v>0.01477179628437474</v>
      </c>
      <c r="W10" s="512" t="n">
        <v>0.1485168189850658</v>
      </c>
      <c r="X10" s="512" t="n">
        <v>0.1295369099473309</v>
      </c>
      <c r="Y10" s="512" t="n">
        <v>0.5855987152395606</v>
      </c>
      <c r="Z10" s="512" t="n">
        <v>0.5855987152395606</v>
      </c>
      <c r="AA10" s="514" t="n">
        <v>0.2240112128249646</v>
      </c>
    </row>
    <row r="11" customFormat="1" s="112">
      <c r="A11" s="125" t="inlineStr">
        <is>
          <t>Beverage (Soft)</t>
        </is>
      </c>
      <c r="B11" s="296" t="n">
        <v>101</v>
      </c>
      <c r="C11" s="512" t="n">
        <v>0.07284174603174602</v>
      </c>
      <c r="D11" s="512" t="n">
        <v>0.1727382557010968</v>
      </c>
      <c r="E11" s="512" t="n">
        <v>0.2646640626113296</v>
      </c>
      <c r="F11" s="512" t="n">
        <v>0.212376689542864</v>
      </c>
      <c r="G11" s="513" t="n">
        <v>0.5241587026085254</v>
      </c>
      <c r="H11" s="513" t="n">
        <v>0.5726263697379518</v>
      </c>
      <c r="I11" s="512" t="n">
        <v>0.07849696571203704</v>
      </c>
      <c r="J11" s="512" t="n">
        <v>0.3485209406467898</v>
      </c>
      <c r="K11" s="512" t="n">
        <v>0.06569999999999999</v>
      </c>
      <c r="L11" s="512" t="n">
        <v>0.1561753145948742</v>
      </c>
      <c r="M11" s="512" t="n">
        <v>0.07391064244390748</v>
      </c>
      <c r="N11" s="513" t="n">
        <v>1.773179567307767</v>
      </c>
      <c r="O11" s="513" t="n">
        <v>3.373147103839262</v>
      </c>
      <c r="P11" s="513" t="n">
        <v>15.97132420278886</v>
      </c>
      <c r="Q11" s="513" t="n">
        <v>19.41465447775267</v>
      </c>
      <c r="R11" s="513" t="n">
        <v>6.063945382915313</v>
      </c>
      <c r="S11" s="513" t="n">
        <v>27.3949758054555</v>
      </c>
      <c r="T11" s="512" t="n">
        <v>-0.06627915354555267</v>
      </c>
      <c r="U11" s="512" t="n">
        <v>0.0554615216199334</v>
      </c>
      <c r="V11" s="512" t="n">
        <v>0.03447242106675762</v>
      </c>
      <c r="W11" s="512" t="n">
        <v>0.3244684097041299</v>
      </c>
      <c r="X11" s="512" t="n">
        <v>0.2634297115325893</v>
      </c>
      <c r="Y11" s="512" t="n">
        <v>0.6447133405942478</v>
      </c>
      <c r="Z11" s="512" t="n">
        <v>0.6447133405942478</v>
      </c>
      <c r="AA11" s="514" t="n">
        <v>0.1736388912378508</v>
      </c>
    </row>
    <row r="12" customFormat="1" s="112">
      <c r="A12" s="125" t="inlineStr">
        <is>
          <t>Broadcasting</t>
        </is>
      </c>
      <c r="B12" s="296" t="n">
        <v>126</v>
      </c>
      <c r="C12" s="512" t="n">
        <v>0.01566352380952381</v>
      </c>
      <c r="D12" s="512" t="n">
        <v>0.1002664903432726</v>
      </c>
      <c r="E12" s="512" t="n">
        <v>0.09118766396956975</v>
      </c>
      <c r="F12" s="512" t="n">
        <v>0.2487039110456047</v>
      </c>
      <c r="G12" s="513" t="n">
        <v>0.6993806615357511</v>
      </c>
      <c r="H12" s="513" t="n">
        <v>1.004390818881056</v>
      </c>
      <c r="I12" s="512" t="n">
        <v>0.1031507157581083</v>
      </c>
      <c r="J12" s="512" t="n">
        <v>0.3929743893922503</v>
      </c>
      <c r="K12" s="512" t="n">
        <v>0.06569999999999999</v>
      </c>
      <c r="L12" s="512" t="n">
        <v>0.4551624789550784</v>
      </c>
      <c r="M12" s="512" t="n">
        <v>0.07856272223346036</v>
      </c>
      <c r="N12" s="513" t="n">
        <v>1.068389408818303</v>
      </c>
      <c r="O12" s="513" t="n">
        <v>1.195970558927447</v>
      </c>
      <c r="P12" s="513" t="n">
        <v>7.433634052954371</v>
      </c>
      <c r="Q12" s="513" t="n">
        <v>11.24808581049011</v>
      </c>
      <c r="R12" s="513" t="n">
        <v>0.86208534748094</v>
      </c>
      <c r="S12" s="513" t="n">
        <v>81.55491545622783</v>
      </c>
      <c r="T12" s="512" t="n">
        <v>0.1431196450011991</v>
      </c>
      <c r="U12" s="512" t="n">
        <v>0.03360149574046194</v>
      </c>
      <c r="V12" s="512" t="n">
        <v>-0.009709643177491172</v>
      </c>
      <c r="W12" s="512" t="n">
        <v>1.438647314624983</v>
      </c>
      <c r="X12" s="512" t="n">
        <v>-0.01794367048395965</v>
      </c>
      <c r="Y12" s="512" t="n">
        <v>0.006020596913157564</v>
      </c>
      <c r="Z12" s="512" t="n">
        <v>0.006020596913157594</v>
      </c>
      <c r="AA12" s="514" t="n">
        <v>0.1000643913174315</v>
      </c>
    </row>
    <row r="13" customFormat="1" s="112">
      <c r="A13" s="125" t="inlineStr">
        <is>
          <t>Brokerage &amp; Investment Banking</t>
        </is>
      </c>
      <c r="B13" s="296" t="n">
        <v>606</v>
      </c>
      <c r="C13" s="512" t="n">
        <v>0.1971391772151898</v>
      </c>
      <c r="D13" s="512" t="inlineStr">
        <is>
          <t>NA</t>
        </is>
      </c>
      <c r="E13" s="512" t="inlineStr">
        <is>
          <t>NA</t>
        </is>
      </c>
      <c r="F13" s="512" t="n">
        <v>0.1942531402936783</v>
      </c>
      <c r="G13" s="513" t="n">
        <v>0.4065797496819974</v>
      </c>
      <c r="H13" s="513" t="n">
        <v>0.9085137997254473</v>
      </c>
      <c r="I13" s="512" t="n">
        <v>0.09767613796432303</v>
      </c>
      <c r="J13" s="512" t="n">
        <v>0.3888889230372778</v>
      </c>
      <c r="K13" s="512" t="n">
        <v>0.06569999999999999</v>
      </c>
      <c r="L13" s="512" t="n">
        <v>0.6840020842845964</v>
      </c>
      <c r="M13" s="512" t="n">
        <v>0.06447079305371727</v>
      </c>
      <c r="N13" s="513" t="n">
        <v>0</v>
      </c>
      <c r="O13" s="513" t="inlineStr">
        <is>
          <t>NA</t>
        </is>
      </c>
      <c r="P13" s="513" t="inlineStr">
        <is>
          <t>NA</t>
        </is>
      </c>
      <c r="Q13" s="513" t="inlineStr">
        <is>
          <t>NA</t>
        </is>
      </c>
      <c r="R13" s="513" t="n">
        <v>1.465778862854308</v>
      </c>
      <c r="S13" s="513" t="n">
        <v>101.5840803632486</v>
      </c>
      <c r="T13" s="512" t="inlineStr">
        <is>
          <t>NA</t>
        </is>
      </c>
      <c r="U13" s="512" t="inlineStr">
        <is>
          <t>NA</t>
        </is>
      </c>
      <c r="V13" s="512" t="inlineStr">
        <is>
          <t>NA</t>
        </is>
      </c>
      <c r="W13" s="512" t="inlineStr">
        <is>
          <t>NA</t>
        </is>
      </c>
      <c r="X13" s="512" t="n">
        <v>0.08857741865491958</v>
      </c>
      <c r="Y13" s="512" t="n">
        <v>0.5211426415210836</v>
      </c>
      <c r="Z13" s="512" t="n">
        <v>0.5211426415210836</v>
      </c>
      <c r="AA13" s="514" t="inlineStr">
        <is>
          <t>NA</t>
        </is>
      </c>
    </row>
    <row r="14" customFormat="1" s="112">
      <c r="A14" s="125" t="inlineStr">
        <is>
          <t>Building Materials</t>
        </is>
      </c>
      <c r="B14" s="296" t="n">
        <v>462</v>
      </c>
      <c r="C14" s="512" t="n">
        <v>0.04780133704735375</v>
      </c>
      <c r="D14" s="512" t="n">
        <v>0.1055073975485081</v>
      </c>
      <c r="E14" s="512" t="n">
        <v>0.1562932713140937</v>
      </c>
      <c r="F14" s="512" t="n">
        <v>0.2295936470357375</v>
      </c>
      <c r="G14" s="513" t="n">
        <v>0.9350007143209421</v>
      </c>
      <c r="H14" s="513" t="n">
        <v>1.026465291452767</v>
      </c>
      <c r="I14" s="512" t="n">
        <v>0.104411168141953</v>
      </c>
      <c r="J14" s="512" t="n">
        <v>0.3175405353924721</v>
      </c>
      <c r="K14" s="512" t="n">
        <v>0.06569999999999999</v>
      </c>
      <c r="L14" s="512" t="n">
        <v>0.1798972491238041</v>
      </c>
      <c r="M14" s="512" t="n">
        <v>0.09446632081759979</v>
      </c>
      <c r="N14" s="513" t="n">
        <v>1.902125107573476</v>
      </c>
      <c r="O14" s="513" t="n">
        <v>1.789727642226357</v>
      </c>
      <c r="P14" s="513" t="n">
        <v>11.90786972510952</v>
      </c>
      <c r="Q14" s="513" t="n">
        <v>16.65111853537706</v>
      </c>
      <c r="R14" s="513" t="n">
        <v>2.699566318943797</v>
      </c>
      <c r="S14" s="513" t="n">
        <v>30.11017986325205</v>
      </c>
      <c r="T14" s="512" t="n">
        <v>0.1697084197726317</v>
      </c>
      <c r="U14" s="512" t="n">
        <v>0.04376842028037473</v>
      </c>
      <c r="V14" s="512" t="n">
        <v>0.06658985193129285</v>
      </c>
      <c r="W14" s="512" t="n">
        <v>0.7908258650170241</v>
      </c>
      <c r="X14" s="512" t="n">
        <v>0.1349146493304934</v>
      </c>
      <c r="Y14" s="512" t="n">
        <v>0.3506512836784798</v>
      </c>
      <c r="Z14" s="512" t="n">
        <v>0.3506512836784798</v>
      </c>
      <c r="AA14" s="514" t="n">
        <v>0.1078232473834043</v>
      </c>
    </row>
    <row r="15" customFormat="1" s="112">
      <c r="A15" s="125" t="inlineStr">
        <is>
          <t>Business &amp; Consumer Services</t>
        </is>
      </c>
      <c r="B15" s="296" t="n">
        <v>974</v>
      </c>
      <c r="C15" s="512" t="n">
        <v>0.07707627421758571</v>
      </c>
      <c r="D15" s="512" t="n">
        <v>0.09782001262025221</v>
      </c>
      <c r="E15" s="512" t="n">
        <v>0.2141769101408006</v>
      </c>
      <c r="F15" s="512" t="n">
        <v>0.2313474456877</v>
      </c>
      <c r="G15" s="513" t="n">
        <v>0.9464981920403315</v>
      </c>
      <c r="H15" s="513" t="n">
        <v>1.015539693366137</v>
      </c>
      <c r="I15" s="512" t="n">
        <v>0.1037873164912064</v>
      </c>
      <c r="J15" s="512" t="n">
        <v>0.3882079654892777</v>
      </c>
      <c r="K15" s="512" t="n">
        <v>0.06569999999999999</v>
      </c>
      <c r="L15" s="512" t="n">
        <v>0.1471867996999806</v>
      </c>
      <c r="M15" s="512" t="n">
        <v>0.09574254870260464</v>
      </c>
      <c r="N15" s="513" t="n">
        <v>2.798586592052117</v>
      </c>
      <c r="O15" s="513" t="n">
        <v>2.23415846039558</v>
      </c>
      <c r="P15" s="513" t="n">
        <v>15.97956970234641</v>
      </c>
      <c r="Q15" s="513" t="n">
        <v>22.03324091886064</v>
      </c>
      <c r="R15" s="513" t="n">
        <v>4.726306782097976</v>
      </c>
      <c r="S15" s="513" t="n">
        <v>50.16027132363976</v>
      </c>
      <c r="T15" s="512" t="n">
        <v>0.1111721061216003</v>
      </c>
      <c r="U15" s="512" t="n">
        <v>0.02553366038165102</v>
      </c>
      <c r="V15" s="512" t="n">
        <v>0.005623853132169171</v>
      </c>
      <c r="W15" s="512" t="n">
        <v>0.1540464057169584</v>
      </c>
      <c r="X15" s="512" t="n">
        <v>0.1599658535387767</v>
      </c>
      <c r="Y15" s="512" t="n">
        <v>0.4692857395395101</v>
      </c>
      <c r="Z15" s="512" t="n">
        <v>0.46928573953951</v>
      </c>
      <c r="AA15" s="514" t="n">
        <v>0.09940853263234993</v>
      </c>
    </row>
    <row r="16" customFormat="1" s="112">
      <c r="A16" s="125" t="inlineStr">
        <is>
          <t>Cable TV</t>
        </is>
      </c>
      <c r="B16" s="296" t="n">
        <v>45</v>
      </c>
      <c r="C16" s="512" t="n">
        <v>0.04126878048780488</v>
      </c>
      <c r="D16" s="512" t="n">
        <v>0.1715296119932412</v>
      </c>
      <c r="E16" s="512" t="n">
        <v>0.1239524686673566</v>
      </c>
      <c r="F16" s="512" t="n">
        <v>0.2504130228365516</v>
      </c>
      <c r="G16" s="513" t="n">
        <v>0.5924148760482556</v>
      </c>
      <c r="H16" s="513" t="n">
        <v>1.068751597205732</v>
      </c>
      <c r="I16" s="512" t="n">
        <v>0.1068257162004473</v>
      </c>
      <c r="J16" s="512" t="n">
        <v>0.3895023204260299</v>
      </c>
      <c r="K16" s="512" t="n">
        <v>0.06569999999999999</v>
      </c>
      <c r="L16" s="512" t="n">
        <v>0.5361764713513466</v>
      </c>
      <c r="M16" s="512" t="n">
        <v>0.07589087731717956</v>
      </c>
      <c r="N16" s="513" t="n">
        <v>0.8254008116150726</v>
      </c>
      <c r="O16" s="513" t="n">
        <v>2.301781169677659</v>
      </c>
      <c r="P16" s="513" t="n">
        <v>7.277108228464824</v>
      </c>
      <c r="Q16" s="513" t="n">
        <v>13.50258855466328</v>
      </c>
      <c r="R16" s="513" t="n">
        <v>1.444095328062669</v>
      </c>
      <c r="S16" s="513" t="n">
        <v>63.46161450340903</v>
      </c>
      <c r="T16" s="512" t="n">
        <v>0.02333817089107924</v>
      </c>
      <c r="U16" s="512" t="n">
        <v>0.1284074038237791</v>
      </c>
      <c r="V16" s="512" t="n">
        <v>-0.003814116909583306</v>
      </c>
      <c r="W16" s="512" t="n">
        <v>0.04650452089697783</v>
      </c>
      <c r="X16" s="512" t="n">
        <v>0.1118683285561826</v>
      </c>
      <c r="Y16" s="512" t="n">
        <v>0.3866046296201087</v>
      </c>
      <c r="Z16" s="512" t="n">
        <v>0.3866046296201087</v>
      </c>
      <c r="AA16" s="514" t="n">
        <v>0.168842251158375</v>
      </c>
    </row>
    <row r="17" customFormat="1" s="112">
      <c r="A17" s="125" t="inlineStr">
        <is>
          <t>Chemical (Basic)</t>
        </is>
      </c>
      <c r="B17" s="296" t="n">
        <v>897</v>
      </c>
      <c r="C17" s="512" t="n">
        <v>0.07855856940509917</v>
      </c>
      <c r="D17" s="512" t="n">
        <v>0.04364341848269467</v>
      </c>
      <c r="E17" s="512" t="n">
        <v>0.04211770219853005</v>
      </c>
      <c r="F17" s="512" t="n">
        <v>0.1903289652843089</v>
      </c>
      <c r="G17" s="513" t="n">
        <v>0.9059036350600613</v>
      </c>
      <c r="H17" s="513" t="n">
        <v>1.14928201498894</v>
      </c>
      <c r="I17" s="512" t="n">
        <v>0.1114240030558685</v>
      </c>
      <c r="J17" s="512" t="n">
        <v>0.3408888737480976</v>
      </c>
      <c r="K17" s="512" t="n">
        <v>0.06569999999999999</v>
      </c>
      <c r="L17" s="512" t="n">
        <v>0.3553919782186683</v>
      </c>
      <c r="M17" s="512" t="n">
        <v>0.0892853775589936</v>
      </c>
      <c r="N17" s="513" t="n">
        <v>1.1559379942651</v>
      </c>
      <c r="O17" s="513" t="n">
        <v>1.197225940722824</v>
      </c>
      <c r="P17" s="513" t="n">
        <v>10.87708934393642</v>
      </c>
      <c r="Q17" s="513" t="n">
        <v>25.70750167176071</v>
      </c>
      <c r="R17" s="513" t="n">
        <v>1.21261882745677</v>
      </c>
      <c r="S17" s="513" t="n">
        <v>58.86034971850286</v>
      </c>
      <c r="T17" s="512" t="n">
        <v>0.1290477815121008</v>
      </c>
      <c r="U17" s="512" t="n">
        <v>0.09125964508288451</v>
      </c>
      <c r="V17" s="512" t="n">
        <v>0.05736830214870226</v>
      </c>
      <c r="W17" s="512" t="n">
        <v>0.9781431058356577</v>
      </c>
      <c r="X17" s="512" t="n">
        <v>0.03017630630621034</v>
      </c>
      <c r="Y17" s="512" t="n">
        <v>1.651252536150259</v>
      </c>
      <c r="Z17" s="512" t="n">
        <v>1.651252536150259</v>
      </c>
      <c r="AA17" s="514" t="n">
        <v>0.04480398199290708</v>
      </c>
    </row>
    <row r="18" customFormat="1" s="112">
      <c r="A18" s="125" t="inlineStr">
        <is>
          <t>Chemical (Diversified)</t>
        </is>
      </c>
      <c r="B18" s="296" t="n">
        <v>64</v>
      </c>
      <c r="C18" s="512" t="n">
        <v>0.06524965517241378</v>
      </c>
      <c r="D18" s="512" t="n">
        <v>0.05433113453313254</v>
      </c>
      <c r="E18" s="512" t="n">
        <v>0.0474868149435583</v>
      </c>
      <c r="F18" s="512" t="n">
        <v>0.31321076583748</v>
      </c>
      <c r="G18" s="513" t="n">
        <v>0.8411297915277633</v>
      </c>
      <c r="H18" s="513" t="n">
        <v>1.140049092563485</v>
      </c>
      <c r="I18" s="512" t="n">
        <v>0.110896803185375</v>
      </c>
      <c r="J18" s="512" t="n">
        <v>0.2812276655841883</v>
      </c>
      <c r="K18" s="512" t="n">
        <v>0.0612</v>
      </c>
      <c r="L18" s="512" t="n">
        <v>0.3946203821625038</v>
      </c>
      <c r="M18" s="512" t="n">
        <v>0.08519460818476692</v>
      </c>
      <c r="N18" s="513" t="n">
        <v>1.151716478634289</v>
      </c>
      <c r="O18" s="513" t="n">
        <v>1.008635885119825</v>
      </c>
      <c r="P18" s="513" t="n">
        <v>8.419175610610855</v>
      </c>
      <c r="Q18" s="513" t="n">
        <v>17.4638224450494</v>
      </c>
      <c r="R18" s="513" t="n">
        <v>1.110921027646327</v>
      </c>
      <c r="S18" s="513" t="n">
        <v>29.17400284822903</v>
      </c>
      <c r="T18" s="512" t="n">
        <v>0.1945514473287394</v>
      </c>
      <c r="U18" s="512" t="n">
        <v>0.08139884706744789</v>
      </c>
      <c r="V18" s="512" t="n">
        <v>0.03739168883096636</v>
      </c>
      <c r="W18" s="512" t="n">
        <v>0.876094324062263</v>
      </c>
      <c r="X18" s="512" t="n">
        <v>0.01666965366409397</v>
      </c>
      <c r="Y18" s="512" t="n">
        <v>2.91800997226874</v>
      </c>
      <c r="Z18" s="512" t="n">
        <v>2.91800997226874</v>
      </c>
      <c r="AA18" s="514" t="n">
        <v>0.05571765473258092</v>
      </c>
    </row>
    <row r="19" customFormat="1" s="112">
      <c r="A19" s="125" t="inlineStr">
        <is>
          <t>Chemical (Specialty)</t>
        </is>
      </c>
      <c r="B19" s="296" t="n">
        <v>951</v>
      </c>
      <c r="C19" s="512" t="n">
        <v>0.08490807635829667</v>
      </c>
      <c r="D19" s="512" t="n">
        <v>0.1056713582107482</v>
      </c>
      <c r="E19" s="512" t="n">
        <v>0.0962744977475017</v>
      </c>
      <c r="F19" s="512" t="n">
        <v>0.2302263226325249</v>
      </c>
      <c r="G19" s="513" t="n">
        <v>0.9490060613608508</v>
      </c>
      <c r="H19" s="513" t="n">
        <v>1.048813997234459</v>
      </c>
      <c r="I19" s="512" t="n">
        <v>0.1056872792420876</v>
      </c>
      <c r="J19" s="512" t="n">
        <v>0.3728389893824859</v>
      </c>
      <c r="K19" s="512" t="n">
        <v>0.06569999999999999</v>
      </c>
      <c r="L19" s="512" t="n">
        <v>0.1938877372289203</v>
      </c>
      <c r="M19" s="512" t="n">
        <v>0.0947216055343742</v>
      </c>
      <c r="N19" s="513" t="n">
        <v>1.128081826062987</v>
      </c>
      <c r="O19" s="513" t="n">
        <v>2.217980685520323</v>
      </c>
      <c r="P19" s="513" t="n">
        <v>12.54531445639136</v>
      </c>
      <c r="Q19" s="513" t="n">
        <v>20.10212464221409</v>
      </c>
      <c r="R19" s="513" t="n">
        <v>2.133892680679617</v>
      </c>
      <c r="S19" s="513" t="n">
        <v>42.71396167385844</v>
      </c>
      <c r="T19" s="512" t="n">
        <v>0.1853619918264163</v>
      </c>
      <c r="U19" s="512" t="n">
        <v>0.09045717953537039</v>
      </c>
      <c r="V19" s="512" t="n">
        <v>0.04943873610389157</v>
      </c>
      <c r="W19" s="512" t="n">
        <v>0.628467071190249</v>
      </c>
      <c r="X19" s="512" t="n">
        <v>0.0745476913837322</v>
      </c>
      <c r="Y19" s="512" t="n">
        <v>0.6725754191183008</v>
      </c>
      <c r="Z19" s="512" t="n">
        <v>0.6725754191183008</v>
      </c>
      <c r="AA19" s="514" t="n">
        <v>0.1069082293391847</v>
      </c>
    </row>
    <row r="20" customFormat="1" s="112">
      <c r="A20" s="125" t="inlineStr">
        <is>
          <t>Coal &amp; Related Energy</t>
        </is>
      </c>
      <c r="B20" s="296" t="n">
        <v>216</v>
      </c>
      <c r="C20" s="512" t="n">
        <v>0.07463082568807337</v>
      </c>
      <c r="D20" s="512" t="n">
        <v>0.207493300618413</v>
      </c>
      <c r="E20" s="512" t="n">
        <v>0.2408586412143349</v>
      </c>
      <c r="F20" s="512" t="n">
        <v>0.210270799353499</v>
      </c>
      <c r="G20" s="513" t="n">
        <v>1.243741763005687</v>
      </c>
      <c r="H20" s="513" t="n">
        <v>1.196210664496575</v>
      </c>
      <c r="I20" s="512" t="n">
        <v>0.1141036289427544</v>
      </c>
      <c r="J20" s="512" t="n">
        <v>0.5561230830367363</v>
      </c>
      <c r="K20" s="512" t="n">
        <v>0.0682</v>
      </c>
      <c r="L20" s="512" t="n">
        <v>0.1604975989151295</v>
      </c>
      <c r="M20" s="512" t="n">
        <v>0.1039756415947071</v>
      </c>
      <c r="N20" s="513" t="n">
        <v>1.321159689797895</v>
      </c>
      <c r="O20" s="513" t="n">
        <v>1.61070267746464</v>
      </c>
      <c r="P20" s="513" t="n">
        <v>5.351953508212183</v>
      </c>
      <c r="Q20" s="513" t="n">
        <v>7.383142622596054</v>
      </c>
      <c r="R20" s="513" t="n">
        <v>1.502358354491164</v>
      </c>
      <c r="S20" s="513" t="n">
        <v>38.39765112908485</v>
      </c>
      <c r="T20" s="512" t="n">
        <v>-0.0272279012795994</v>
      </c>
      <c r="U20" s="512" t="n">
        <v>0.1145332700467585</v>
      </c>
      <c r="V20" s="512" t="n">
        <v>0.06904727980142891</v>
      </c>
      <c r="W20" s="512" t="n">
        <v>0.6377768936209977</v>
      </c>
      <c r="X20" s="512" t="n">
        <v>0.1713969715296585</v>
      </c>
      <c r="Y20" s="512" t="n">
        <v>0.7985503298587916</v>
      </c>
      <c r="Z20" s="512" t="n">
        <v>0.7985503298587916</v>
      </c>
      <c r="AA20" s="514" t="n">
        <v>0.2078817448363573</v>
      </c>
    </row>
    <row r="21" customFormat="1" s="112">
      <c r="A21" s="125" t="inlineStr">
        <is>
          <t>Computer Services</t>
        </is>
      </c>
      <c r="B21" s="296" t="n">
        <v>1182</v>
      </c>
      <c r="C21" s="512" t="n">
        <v>0.09158469104665821</v>
      </c>
      <c r="D21" s="512" t="n">
        <v>0.07176513248621288</v>
      </c>
      <c r="E21" s="512" t="n">
        <v>0.2037716057621095</v>
      </c>
      <c r="F21" s="512" t="n">
        <v>0.224940482594845</v>
      </c>
      <c r="G21" s="513" t="n">
        <v>1.047759546162209</v>
      </c>
      <c r="H21" s="513" t="n">
        <v>1.09258003723948</v>
      </c>
      <c r="I21" s="512" t="n">
        <v>0.1081863201263743</v>
      </c>
      <c r="J21" s="512" t="n">
        <v>0.3945424528093295</v>
      </c>
      <c r="K21" s="512" t="n">
        <v>0.06569999999999999</v>
      </c>
      <c r="L21" s="512" t="n">
        <v>0.1291017582590024</v>
      </c>
      <c r="M21" s="512" t="n">
        <v>0.1005621047485617</v>
      </c>
      <c r="N21" s="513" t="n">
        <v>3.843854342435705</v>
      </c>
      <c r="O21" s="513" t="n">
        <v>1.513703169233066</v>
      </c>
      <c r="P21" s="513" t="n">
        <v>15.24595436247607</v>
      </c>
      <c r="Q21" s="513" t="n">
        <v>20.35127542737932</v>
      </c>
      <c r="R21" s="513" t="n">
        <v>4.02096966323875</v>
      </c>
      <c r="S21" s="513" t="n">
        <v>59.67930916295105</v>
      </c>
      <c r="T21" s="512" t="n">
        <v>0.1593511788797656</v>
      </c>
      <c r="U21" s="512" t="n">
        <v>0.01557147009442897</v>
      </c>
      <c r="V21" s="512" t="n">
        <v>0.01825143966546227</v>
      </c>
      <c r="W21" s="512" t="n">
        <v>0.3269483288175687</v>
      </c>
      <c r="X21" s="512" t="n">
        <v>0.1444388114563661</v>
      </c>
      <c r="Y21" s="512" t="n">
        <v>0.5565590976688113</v>
      </c>
      <c r="Z21" s="512" t="n">
        <v>0.5565590976688113</v>
      </c>
      <c r="AA21" s="514" t="n">
        <v>0.07327265681195216</v>
      </c>
    </row>
    <row r="22" customFormat="1" s="112">
      <c r="A22" s="125" t="inlineStr">
        <is>
          <t>Computers/Peripherals</t>
        </is>
      </c>
      <c r="B22" s="296" t="n">
        <v>342</v>
      </c>
      <c r="C22" s="512" t="n">
        <v>0.03496360902255641</v>
      </c>
      <c r="D22" s="512" t="n">
        <v>0.1306287413941654</v>
      </c>
      <c r="E22" s="512" t="n">
        <v>0.2041593726765125</v>
      </c>
      <c r="F22" s="512" t="n">
        <v>0.1968001664868478</v>
      </c>
      <c r="G22" s="513" t="n">
        <v>1.245285602903885</v>
      </c>
      <c r="H22" s="513" t="n">
        <v>1.26185646056331</v>
      </c>
      <c r="I22" s="512" t="n">
        <v>0.117852003898165</v>
      </c>
      <c r="J22" s="512" t="n">
        <v>0.41480392467646</v>
      </c>
      <c r="K22" s="512" t="n">
        <v>0.06569999999999999</v>
      </c>
      <c r="L22" s="512" t="n">
        <v>0.06186021229668472</v>
      </c>
      <c r="M22" s="512" t="n">
        <v>0.1136008746032686</v>
      </c>
      <c r="N22" s="513" t="n">
        <v>2.465878122611293</v>
      </c>
      <c r="O22" s="513" t="n">
        <v>3.351026914652303</v>
      </c>
      <c r="P22" s="513" t="n">
        <v>19.0443834499487</v>
      </c>
      <c r="Q22" s="513" t="n">
        <v>25.45816530797445</v>
      </c>
      <c r="R22" s="513" t="n">
        <v>7.576169353743152</v>
      </c>
      <c r="S22" s="513" t="n">
        <v>92.11097730140658</v>
      </c>
      <c r="T22" s="512" t="n">
        <v>0.0297718030280104</v>
      </c>
      <c r="U22" s="512" t="n">
        <v>0.04832590121435248</v>
      </c>
      <c r="V22" s="512" t="n">
        <v>0.03619219738413128</v>
      </c>
      <c r="W22" s="512" t="n">
        <v>0.3430712838755112</v>
      </c>
      <c r="X22" s="512" t="n">
        <v>0.2640323130303963</v>
      </c>
      <c r="Y22" s="512" t="n">
        <v>0.2542750995466337</v>
      </c>
      <c r="Z22" s="512" t="n">
        <v>0.2542750995466336</v>
      </c>
      <c r="AA22" s="514" t="n">
        <v>0.1353612617457891</v>
      </c>
    </row>
    <row r="23" customFormat="1" s="112">
      <c r="A23" s="125" t="inlineStr">
        <is>
          <t>Construction Supplies</t>
        </is>
      </c>
      <c r="B23" s="296" t="n">
        <v>804</v>
      </c>
      <c r="C23" s="512" t="n">
        <v>0.09304889763779531</v>
      </c>
      <c r="D23" s="512" t="n">
        <v>0.09459114752576649</v>
      </c>
      <c r="E23" s="512" t="n">
        <v>0.0972904990816261</v>
      </c>
      <c r="F23" s="512" t="n">
        <v>0.2308986073256429</v>
      </c>
      <c r="G23" s="513" t="n">
        <v>0.8467977037752572</v>
      </c>
      <c r="H23" s="513" t="n">
        <v>0.9781792891945789</v>
      </c>
      <c r="I23" s="512" t="n">
        <v>0.1016540374130104</v>
      </c>
      <c r="J23" s="512" t="n">
        <v>0.3521565297169424</v>
      </c>
      <c r="K23" s="512" t="n">
        <v>0.06569999999999999</v>
      </c>
      <c r="L23" s="512" t="n">
        <v>0.2723704493170634</v>
      </c>
      <c r="M23" s="512" t="n">
        <v>0.08734816703328924</v>
      </c>
      <c r="N23" s="513" t="n">
        <v>1.299415119166942</v>
      </c>
      <c r="O23" s="513" t="n">
        <v>1.444380460536417</v>
      </c>
      <c r="P23" s="513" t="n">
        <v>10.26812639193086</v>
      </c>
      <c r="Q23" s="513" t="n">
        <v>14.96594301032155</v>
      </c>
      <c r="R23" s="513" t="n">
        <v>1.65528585168411</v>
      </c>
      <c r="S23" s="513" t="n">
        <v>69.54793621474097</v>
      </c>
      <c r="T23" s="512" t="n">
        <v>0.1669449787657222</v>
      </c>
      <c r="U23" s="512" t="n">
        <v>0.05215018349353288</v>
      </c>
      <c r="V23" s="512" t="n">
        <v>0.0319584978533755</v>
      </c>
      <c r="W23" s="512" t="n">
        <v>0.5418601669369973</v>
      </c>
      <c r="X23" s="512" t="n">
        <v>0.1018600199160753</v>
      </c>
      <c r="Y23" s="512" t="n">
        <v>0.4468689974097697</v>
      </c>
      <c r="Z23" s="512" t="n">
        <v>0.4468689974097697</v>
      </c>
      <c r="AA23" s="514" t="n">
        <v>0.09637021234678882</v>
      </c>
    </row>
    <row r="24" customFormat="1" s="112">
      <c r="A24" s="125" t="inlineStr">
        <is>
          <t>Diversified</t>
        </is>
      </c>
      <c r="B24" s="296" t="n">
        <v>335</v>
      </c>
      <c r="C24" s="512" t="n">
        <v>0.1245467041198502</v>
      </c>
      <c r="D24" s="512" t="n">
        <v>0.1912668825995744</v>
      </c>
      <c r="E24" s="512" t="n">
        <v>0.1305216540403019</v>
      </c>
      <c r="F24" s="512" t="n">
        <v>0.1666769275061829</v>
      </c>
      <c r="G24" s="513" t="n">
        <v>0.6955076338659182</v>
      </c>
      <c r="H24" s="513" t="n">
        <v>0.888561948694207</v>
      </c>
      <c r="I24" s="512" t="n">
        <v>0.09653688727043921</v>
      </c>
      <c r="J24" s="512" t="n">
        <v>0.2901957472042045</v>
      </c>
      <c r="K24" s="512" t="n">
        <v>0.0612</v>
      </c>
      <c r="L24" s="512" t="n">
        <v>0.3345993493863077</v>
      </c>
      <c r="M24" s="512" t="n">
        <v>0.07954876727840107</v>
      </c>
      <c r="N24" s="513" t="n">
        <v>0.8099047766125886</v>
      </c>
      <c r="O24" s="513" t="n">
        <v>1.959813502253223</v>
      </c>
      <c r="P24" s="513" t="n">
        <v>8.39813072448559</v>
      </c>
      <c r="Q24" s="513" t="n">
        <v>10.12611882740837</v>
      </c>
      <c r="R24" s="513" t="n">
        <v>1.138967259074129</v>
      </c>
      <c r="S24" s="513" t="n">
        <v>23.62475657603454</v>
      </c>
      <c r="T24" s="512" t="n">
        <v>-0.1027498483387237</v>
      </c>
      <c r="U24" s="512" t="n">
        <v>0.05069589385438136</v>
      </c>
      <c r="V24" s="512" t="n">
        <v>0.02793250091127634</v>
      </c>
      <c r="W24" s="512" t="n">
        <v>0.2213068664222537</v>
      </c>
      <c r="X24" s="512" t="n">
        <v>0.1518976762462544</v>
      </c>
      <c r="Y24" s="512" t="n">
        <v>0.1555238139111308</v>
      </c>
      <c r="Z24" s="512" t="n">
        <v>0.1555238139111308</v>
      </c>
      <c r="AA24" s="514" t="n">
        <v>0.1912738724024415</v>
      </c>
    </row>
    <row r="25" customFormat="1" s="112">
      <c r="A25" s="125" t="inlineStr">
        <is>
          <t>Drugs (Biotechnology)</t>
        </is>
      </c>
      <c r="B25" s="296" t="n">
        <v>1223</v>
      </c>
      <c r="C25" s="512" t="n">
        <v>0.2538742105263159</v>
      </c>
      <c r="D25" s="512" t="n">
        <v>0.001755004344036601</v>
      </c>
      <c r="E25" s="512" t="n">
        <v>0.01913790601777036</v>
      </c>
      <c r="F25" s="512" t="n">
        <v>0.1725664048431158</v>
      </c>
      <c r="G25" s="513" t="n">
        <v>1.228168613297401</v>
      </c>
      <c r="H25" s="513" t="n">
        <v>1.291890012158615</v>
      </c>
      <c r="I25" s="512" t="n">
        <v>0.1195669196942569</v>
      </c>
      <c r="J25" s="512" t="n">
        <v>0.7005011522421916</v>
      </c>
      <c r="K25" s="512" t="n">
        <v>0.0745</v>
      </c>
      <c r="L25" s="512" t="n">
        <v>0.1316878042854114</v>
      </c>
      <c r="M25" s="512" t="n">
        <v>0.1111578870078751</v>
      </c>
      <c r="N25" s="513" t="n">
        <v>0.8098585984792431</v>
      </c>
      <c r="O25" s="513" t="n">
        <v>6.744201098475711</v>
      </c>
      <c r="P25" s="513" t="n">
        <v>15.97219131559596</v>
      </c>
      <c r="Q25" s="513" t="inlineStr">
        <is>
          <t>NA</t>
        </is>
      </c>
      <c r="R25" s="513" t="n">
        <v>4.694724914520711</v>
      </c>
      <c r="S25" s="513" t="n">
        <v>91.22924081809997</v>
      </c>
      <c r="T25" s="512" t="n">
        <v>0.2136300288910321</v>
      </c>
      <c r="U25" s="512" t="n">
        <v>0.0455853842530919</v>
      </c>
      <c r="V25" s="512" t="n">
        <v>0.1884363873554751</v>
      </c>
      <c r="W25" s="512" t="inlineStr">
        <is>
          <t>NA</t>
        </is>
      </c>
      <c r="X25" s="512" t="n">
        <v>-0.08221073332968983</v>
      </c>
      <c r="Y25" s="512" t="n">
        <v>0.006495869370651147</v>
      </c>
      <c r="Z25" s="512" t="n">
        <v>0.006495869370651164</v>
      </c>
      <c r="AA25" s="514" t="n">
        <v>0.04641505744888885</v>
      </c>
    </row>
    <row r="26" customFormat="1" s="112">
      <c r="A26" s="125" t="inlineStr">
        <is>
          <t>Drugs (Pharmaceutical)</t>
        </is>
      </c>
      <c r="B26" s="296" t="n">
        <v>1271</v>
      </c>
      <c r="C26" s="512" t="n">
        <v>0.12712799270073</v>
      </c>
      <c r="D26" s="512" t="n">
        <v>0.2041832410112752</v>
      </c>
      <c r="E26" s="512" t="n">
        <v>0.1366393250844587</v>
      </c>
      <c r="F26" s="512" t="n">
        <v>0.1606414761404816</v>
      </c>
      <c r="G26" s="513" t="n">
        <v>0.9744455501369576</v>
      </c>
      <c r="H26" s="513" t="n">
        <v>1.045990046034643</v>
      </c>
      <c r="I26" s="512" t="n">
        <v>0.1055260316285781</v>
      </c>
      <c r="J26" s="512" t="n">
        <v>0.4768068841155595</v>
      </c>
      <c r="K26" s="512" t="n">
        <v>0.0682</v>
      </c>
      <c r="L26" s="512" t="n">
        <v>0.142749682539284</v>
      </c>
      <c r="M26" s="512" t="n">
        <v>0.09774245221348435</v>
      </c>
      <c r="N26" s="513" t="n">
        <v>1.08557965266154</v>
      </c>
      <c r="O26" s="513" t="n">
        <v>3.947009283366696</v>
      </c>
      <c r="P26" s="513" t="n">
        <v>13.40866614314531</v>
      </c>
      <c r="Q26" s="513" t="n">
        <v>18.82491801096548</v>
      </c>
      <c r="R26" s="513" t="n">
        <v>3.74418716739851</v>
      </c>
      <c r="S26" s="513" t="n">
        <v>73.37428620641204</v>
      </c>
      <c r="T26" s="512" t="n">
        <v>0.1677471206005622</v>
      </c>
      <c r="U26" s="512" t="n">
        <v>0.05146301720590947</v>
      </c>
      <c r="V26" s="512" t="n">
        <v>0.09814312779069889</v>
      </c>
      <c r="W26" s="512" t="n">
        <v>0.643770672798444</v>
      </c>
      <c r="X26" s="512" t="n">
        <v>0.123571161565943</v>
      </c>
      <c r="Y26" s="512" t="n">
        <v>0.7262903568373973</v>
      </c>
      <c r="Z26" s="512" t="n">
        <v>0.7262903568373973</v>
      </c>
      <c r="AA26" s="514" t="n">
        <v>0.2172694744292014</v>
      </c>
    </row>
    <row r="27" customFormat="1" s="112">
      <c r="A27" s="125" t="inlineStr">
        <is>
          <t>Education</t>
        </is>
      </c>
      <c r="B27" s="296" t="n">
        <v>272</v>
      </c>
      <c r="C27" s="512" t="n">
        <v>0.07004443113772454</v>
      </c>
      <c r="D27" s="512" t="n">
        <v>0.1343360825901661</v>
      </c>
      <c r="E27" s="512" t="n">
        <v>0.115957760739542</v>
      </c>
      <c r="F27" s="512" t="n">
        <v>0.2081115077149614</v>
      </c>
      <c r="G27" s="513" t="n">
        <v>0.7837802085517217</v>
      </c>
      <c r="H27" s="513" t="n">
        <v>0.8626890707188635</v>
      </c>
      <c r="I27" s="512" t="n">
        <v>0.09505954593804711</v>
      </c>
      <c r="J27" s="512" t="n">
        <v>0.4298419875576076</v>
      </c>
      <c r="K27" s="512" t="n">
        <v>0.06569999999999999</v>
      </c>
      <c r="L27" s="512" t="n">
        <v>0.225580289765356</v>
      </c>
      <c r="M27" s="512" t="n">
        <v>0.08469884942348449</v>
      </c>
      <c r="N27" s="513" t="n">
        <v>1.113273313686314</v>
      </c>
      <c r="O27" s="513" t="n">
        <v>2.314609992405274</v>
      </c>
      <c r="P27" s="513" t="n">
        <v>11.18738534583228</v>
      </c>
      <c r="Q27" s="513" t="n">
        <v>16.92132407923983</v>
      </c>
      <c r="R27" s="513" t="n">
        <v>2.055812130289157</v>
      </c>
      <c r="S27" s="513" t="n">
        <v>50.52627944902218</v>
      </c>
      <c r="T27" s="512" t="n">
        <v>0.05170675416540939</v>
      </c>
      <c r="U27" s="512" t="n">
        <v>0.05587448905212795</v>
      </c>
      <c r="V27" s="512" t="n">
        <v>0.02393151481574081</v>
      </c>
      <c r="W27" s="512" t="n">
        <v>0.3957936490287724</v>
      </c>
      <c r="X27" s="512" t="n">
        <v>0.06783923072268373</v>
      </c>
      <c r="Y27" s="512" t="n">
        <v>0.6360184008010564</v>
      </c>
      <c r="Z27" s="512" t="n">
        <v>0.6360184008010564</v>
      </c>
      <c r="AA27" s="514" t="n">
        <v>0.1315115079707806</v>
      </c>
    </row>
    <row r="28" customFormat="1" s="112">
      <c r="A28" s="125" t="inlineStr">
        <is>
          <t>Electrical Equipment</t>
        </is>
      </c>
      <c r="B28" s="296" t="n">
        <v>1101</v>
      </c>
      <c r="C28" s="512" t="n">
        <v>0.1036748571428571</v>
      </c>
      <c r="D28" s="512" t="n">
        <v>0.07291005352074829</v>
      </c>
      <c r="E28" s="512" t="n">
        <v>0.1059167172061984</v>
      </c>
      <c r="F28" s="512" t="n">
        <v>0.1899795718331416</v>
      </c>
      <c r="G28" s="513" t="n">
        <v>1.180142503162833</v>
      </c>
      <c r="H28" s="513" t="n">
        <v>1.215668392683982</v>
      </c>
      <c r="I28" s="512" t="n">
        <v>0.1152146652222554</v>
      </c>
      <c r="J28" s="512" t="n">
        <v>0.4317660896151254</v>
      </c>
      <c r="K28" s="512" t="n">
        <v>0.06569999999999999</v>
      </c>
      <c r="L28" s="512" t="n">
        <v>0.1466570863500688</v>
      </c>
      <c r="M28" s="512" t="n">
        <v>0.1055229482305994</v>
      </c>
      <c r="N28" s="513" t="n">
        <v>1.87664580925415</v>
      </c>
      <c r="O28" s="513" t="n">
        <v>2.1500587989364</v>
      </c>
      <c r="P28" s="513" t="n">
        <v>17.14381216121704</v>
      </c>
      <c r="Q28" s="513" t="n">
        <v>27.80277677785591</v>
      </c>
      <c r="R28" s="513" t="n">
        <v>2.9876405679544</v>
      </c>
      <c r="S28" s="513" t="n">
        <v>47.21551879346367</v>
      </c>
      <c r="T28" s="512" t="n">
        <v>0.2331826291727839</v>
      </c>
      <c r="U28" s="512" t="n">
        <v>0.07118995015018294</v>
      </c>
      <c r="V28" s="512" t="n">
        <v>0.06638132905392209</v>
      </c>
      <c r="W28" s="512" t="n">
        <v>1.315620736098067</v>
      </c>
      <c r="X28" s="512" t="n">
        <v>0.0911746660830686</v>
      </c>
      <c r="Y28" s="512" t="n">
        <v>0.5524360897081295</v>
      </c>
      <c r="Z28" s="512" t="n">
        <v>0.5524360897081295</v>
      </c>
      <c r="AA28" s="514" t="n">
        <v>0.07570008997986713</v>
      </c>
    </row>
    <row r="29" customFormat="1" s="112">
      <c r="A29" s="125" t="inlineStr">
        <is>
          <t>Electronics (Consumer &amp; Office)</t>
        </is>
      </c>
      <c r="B29" s="296" t="n">
        <v>125</v>
      </c>
      <c r="C29" s="512" t="n">
        <v>0.02119796116504854</v>
      </c>
      <c r="D29" s="512" t="n">
        <v>0.05800555637569238</v>
      </c>
      <c r="E29" s="512" t="n">
        <v>0.105639649000917</v>
      </c>
      <c r="F29" s="512" t="n">
        <v>0.2168968930621625</v>
      </c>
      <c r="G29" s="513" t="n">
        <v>1.119890899458304</v>
      </c>
      <c r="H29" s="513" t="n">
        <v>1.209950188903596</v>
      </c>
      <c r="I29" s="512" t="n">
        <v>0.1148881557863953</v>
      </c>
      <c r="J29" s="512" t="n">
        <v>0.451847811427291</v>
      </c>
      <c r="K29" s="512" t="n">
        <v>0.0682</v>
      </c>
      <c r="L29" s="512" t="n">
        <v>0.2134431685876053</v>
      </c>
      <c r="M29" s="512" t="n">
        <v>0.1012516568424018</v>
      </c>
      <c r="N29" s="513" t="n">
        <v>2.067082946984741</v>
      </c>
      <c r="O29" s="513" t="n">
        <v>0.9558152285018218</v>
      </c>
      <c r="P29" s="513" t="n">
        <v>10.51816134568489</v>
      </c>
      <c r="Q29" s="513" t="n">
        <v>16.11710481739536</v>
      </c>
      <c r="R29" s="513" t="n">
        <v>1.781582495326931</v>
      </c>
      <c r="S29" s="513" t="n">
        <v>33.49884581254062</v>
      </c>
      <c r="T29" s="512" t="n">
        <v>0.04912822878179555</v>
      </c>
      <c r="U29" s="512" t="n">
        <v>0.04463534803775038</v>
      </c>
      <c r="V29" s="512" t="n">
        <v>0.05041766944972301</v>
      </c>
      <c r="W29" s="512" t="n">
        <v>1.00459417915495</v>
      </c>
      <c r="X29" s="512" t="n">
        <v>0.09315471675283989</v>
      </c>
      <c r="Y29" s="512" t="n">
        <v>0.2662171248470703</v>
      </c>
      <c r="Z29" s="512" t="n">
        <v>0.2662171248470704</v>
      </c>
      <c r="AA29" s="514" t="n">
        <v>0.07343094274369003</v>
      </c>
    </row>
    <row r="30" customFormat="1" s="112">
      <c r="A30" s="125" t="inlineStr">
        <is>
          <t>Electronics (General)</t>
        </is>
      </c>
      <c r="B30" s="296" t="n">
        <v>1480</v>
      </c>
      <c r="C30" s="512" t="n">
        <v>0.05836874999999996</v>
      </c>
      <c r="D30" s="512" t="n">
        <v>0.05847756642278254</v>
      </c>
      <c r="E30" s="512" t="n">
        <v>0.07756998876499577</v>
      </c>
      <c r="F30" s="512" t="n">
        <v>0.1690084502570119</v>
      </c>
      <c r="G30" s="513" t="n">
        <v>1.361937758913794</v>
      </c>
      <c r="H30" s="513" t="n">
        <v>1.376789570828448</v>
      </c>
      <c r="I30" s="512" t="n">
        <v>0.1244146844943044</v>
      </c>
      <c r="J30" s="512" t="n">
        <v>0.4193173808966851</v>
      </c>
      <c r="K30" s="512" t="n">
        <v>0.06569999999999999</v>
      </c>
      <c r="L30" s="512" t="n">
        <v>0.1489011520554098</v>
      </c>
      <c r="M30" s="512" t="n">
        <v>0.1132047767355043</v>
      </c>
      <c r="N30" s="513" t="n">
        <v>1.721452209725421</v>
      </c>
      <c r="O30" s="513" t="n">
        <v>1.641370422533911</v>
      </c>
      <c r="P30" s="513" t="n">
        <v>13.89883400396274</v>
      </c>
      <c r="Q30" s="513" t="n">
        <v>26.48767485194739</v>
      </c>
      <c r="R30" s="513" t="n">
        <v>2.309980011730418</v>
      </c>
      <c r="S30" s="513" t="n">
        <v>70.86083442086094</v>
      </c>
      <c r="T30" s="512" t="n">
        <v>0.1910308275139617</v>
      </c>
      <c r="U30" s="512" t="n">
        <v>0.05911667968245431</v>
      </c>
      <c r="V30" s="512" t="n">
        <v>0.03524292614835784</v>
      </c>
      <c r="W30" s="512" t="n">
        <v>0.8048039988896056</v>
      </c>
      <c r="X30" s="512" t="n">
        <v>0.07954209984384333</v>
      </c>
      <c r="Y30" s="512" t="n">
        <v>0.5268290378145564</v>
      </c>
      <c r="Z30" s="512" t="n">
        <v>0.5268290378145564</v>
      </c>
      <c r="AA30" s="514" t="n">
        <v>0.06168009081797421</v>
      </c>
    </row>
    <row r="31" customFormat="1" s="112">
      <c r="A31" s="125" t="inlineStr">
        <is>
          <t>Engineering/Construction</t>
        </is>
      </c>
      <c r="B31" s="296" t="n">
        <v>1327</v>
      </c>
      <c r="C31" s="512" t="n">
        <v>0.0677850628930817</v>
      </c>
      <c r="D31" s="512" t="n">
        <v>0.04811913792353557</v>
      </c>
      <c r="E31" s="512" t="n">
        <v>0.07784889611248046</v>
      </c>
      <c r="F31" s="512" t="n">
        <v>0.2253374262049245</v>
      </c>
      <c r="G31" s="513" t="n">
        <v>0.6631340537552841</v>
      </c>
      <c r="H31" s="513" t="n">
        <v>0.9287986474120591</v>
      </c>
      <c r="I31" s="512" t="n">
        <v>0.09883440276722857</v>
      </c>
      <c r="J31" s="512" t="n">
        <v>0.3703988832542879</v>
      </c>
      <c r="K31" s="512" t="n">
        <v>0.06569999999999999</v>
      </c>
      <c r="L31" s="512" t="n">
        <v>0.4847341107984981</v>
      </c>
      <c r="M31" s="512" t="n">
        <v>0.07474120626677658</v>
      </c>
      <c r="N31" s="513" t="n">
        <v>2.120493449871047</v>
      </c>
      <c r="O31" s="513" t="n">
        <v>0.6929373488594868</v>
      </c>
      <c r="P31" s="513" t="n">
        <v>9.945024601486805</v>
      </c>
      <c r="Q31" s="513" t="n">
        <v>13.87488635539866</v>
      </c>
      <c r="R31" s="513" t="n">
        <v>1.079329524157367</v>
      </c>
      <c r="S31" s="513" t="n">
        <v>40.07337397461095</v>
      </c>
      <c r="T31" s="512" t="n">
        <v>0.1591569706973054</v>
      </c>
      <c r="U31" s="512" t="n">
        <v>0.1018550726763311</v>
      </c>
      <c r="V31" s="512" t="n">
        <v>0.09247243895802869</v>
      </c>
      <c r="W31" s="512" t="n">
        <v>1.607608559854955</v>
      </c>
      <c r="X31" s="512" t="n">
        <v>0.09466668705089495</v>
      </c>
      <c r="Y31" s="512" t="n">
        <v>0.6836228176176073</v>
      </c>
      <c r="Z31" s="512" t="n">
        <v>0.6836228176176073</v>
      </c>
      <c r="AA31" s="514" t="n">
        <v>0.04866593065346499</v>
      </c>
    </row>
    <row r="32" customFormat="1" s="112">
      <c r="A32" s="125" t="inlineStr">
        <is>
          <t>Entertainment</t>
        </is>
      </c>
      <c r="B32" s="296" t="n">
        <v>748</v>
      </c>
      <c r="C32" s="512" t="n">
        <v>0.09067304904051174</v>
      </c>
      <c r="D32" s="512" t="n">
        <v>0.09237732892705441</v>
      </c>
      <c r="E32" s="512" t="n">
        <v>0.09652074087312353</v>
      </c>
      <c r="F32" s="512" t="n">
        <v>0.2149186278910324</v>
      </c>
      <c r="G32" s="513" t="n">
        <v>0.9946761025633484</v>
      </c>
      <c r="H32" s="513" t="n">
        <v>1.055439273837474</v>
      </c>
      <c r="I32" s="512" t="n">
        <v>0.1060655825361198</v>
      </c>
      <c r="J32" s="512" t="n">
        <v>0.4746630198051993</v>
      </c>
      <c r="K32" s="512" t="n">
        <v>0.0682</v>
      </c>
      <c r="L32" s="512" t="n">
        <v>0.1503978109690453</v>
      </c>
      <c r="M32" s="512" t="n">
        <v>0.09778383344703964</v>
      </c>
      <c r="N32" s="513" t="n">
        <v>1.324897463719006</v>
      </c>
      <c r="O32" s="513" t="n">
        <v>3.397357563023296</v>
      </c>
      <c r="P32" s="513" t="n">
        <v>10.01811398119653</v>
      </c>
      <c r="Q32" s="513" t="n">
        <v>35.03737169413395</v>
      </c>
      <c r="R32" s="513" t="n">
        <v>3.148311978495567</v>
      </c>
      <c r="S32" s="513" t="n">
        <v>75.60502347832771</v>
      </c>
      <c r="T32" s="512" t="n">
        <v>0.02558364739035324</v>
      </c>
      <c r="U32" s="512" t="n">
        <v>0.1437970196121046</v>
      </c>
      <c r="V32" s="512" t="n">
        <v>0.07789571215418195</v>
      </c>
      <c r="W32" s="512" t="n">
        <v>28.10735793704604</v>
      </c>
      <c r="X32" s="512" t="n">
        <v>0.01583025697880285</v>
      </c>
      <c r="Y32" s="512" t="n">
        <v>1.553799373978018</v>
      </c>
      <c r="Z32" s="512" t="n">
        <v>1.553799373978018</v>
      </c>
      <c r="AA32" s="514" t="n">
        <v>0.09356457567164092</v>
      </c>
    </row>
    <row r="33" customFormat="1" s="112">
      <c r="A33" s="125" t="inlineStr">
        <is>
          <t>Environmental &amp; Waste Services</t>
        </is>
      </c>
      <c r="B33" s="296" t="n">
        <v>391</v>
      </c>
      <c r="C33" s="512" t="n">
        <v>0.0867159722222222</v>
      </c>
      <c r="D33" s="512" t="n">
        <v>0.1138773648967333</v>
      </c>
      <c r="E33" s="512" t="n">
        <v>0.1112096535536177</v>
      </c>
      <c r="F33" s="512" t="n">
        <v>0.2189507683911178</v>
      </c>
      <c r="G33" s="513" t="n">
        <v>0.8559508193936919</v>
      </c>
      <c r="H33" s="513" t="n">
        <v>1.029705811215611</v>
      </c>
      <c r="I33" s="512" t="n">
        <v>0.1045962018204114</v>
      </c>
      <c r="J33" s="512" t="n">
        <v>0.4293819156612131</v>
      </c>
      <c r="K33" s="512" t="n">
        <v>0.06569999999999999</v>
      </c>
      <c r="L33" s="512" t="n">
        <v>0.2558756871351501</v>
      </c>
      <c r="M33" s="512" t="n">
        <v>0.09040386701965281</v>
      </c>
      <c r="N33" s="513" t="n">
        <v>1.139389324894139</v>
      </c>
      <c r="O33" s="513" t="n">
        <v>2.757450652097779</v>
      </c>
      <c r="P33" s="513" t="n">
        <v>13.9755621275086</v>
      </c>
      <c r="Q33" s="513" t="n">
        <v>23.29363782955032</v>
      </c>
      <c r="R33" s="513" t="n">
        <v>3.011918854583545</v>
      </c>
      <c r="S33" s="513" t="n">
        <v>44.10085849980927</v>
      </c>
      <c r="T33" s="512" t="n">
        <v>0.1682745884423312</v>
      </c>
      <c r="U33" s="512" t="n">
        <v>0.08663158766212009</v>
      </c>
      <c r="V33" s="512" t="n">
        <v>0.05977943230506238</v>
      </c>
      <c r="W33" s="512" t="n">
        <v>1.000549081862317</v>
      </c>
      <c r="X33" s="512" t="n">
        <v>0.09955032095496739</v>
      </c>
      <c r="Y33" s="512" t="n">
        <v>0.4888710248687173</v>
      </c>
      <c r="Z33" s="512" t="n">
        <v>0.4888710248687174</v>
      </c>
      <c r="AA33" s="514" t="n">
        <v>0.1148797747240947</v>
      </c>
    </row>
    <row r="34" customFormat="1" s="112">
      <c r="A34" s="125" t="inlineStr">
        <is>
          <t>Farming/Agriculture</t>
        </is>
      </c>
      <c r="B34" s="296" t="n">
        <v>429</v>
      </c>
      <c r="C34" s="512" t="n">
        <v>0.1085371428571428</v>
      </c>
      <c r="D34" s="512" t="n">
        <v>0.06759782258183901</v>
      </c>
      <c r="E34" s="512" t="n">
        <v>0.07513685742168924</v>
      </c>
      <c r="F34" s="512" t="n">
        <v>0.2094056497048206</v>
      </c>
      <c r="G34" s="513" t="n">
        <v>0.5575241353500908</v>
      </c>
      <c r="H34" s="513" t="n">
        <v>0.7735453815409571</v>
      </c>
      <c r="I34" s="512" t="n">
        <v>0.08996944128598865</v>
      </c>
      <c r="J34" s="512" t="n">
        <v>0.3723630247762325</v>
      </c>
      <c r="K34" s="512" t="n">
        <v>0.06569999999999999</v>
      </c>
      <c r="L34" s="512" t="n">
        <v>0.3904478243472209</v>
      </c>
      <c r="M34" s="512" t="n">
        <v>0.0740239498943175</v>
      </c>
      <c r="N34" s="513" t="n">
        <v>1.342917154151472</v>
      </c>
      <c r="O34" s="513" t="n">
        <v>1.102569718137375</v>
      </c>
      <c r="P34" s="513" t="n">
        <v>11.0104595569819</v>
      </c>
      <c r="Q34" s="513" t="n">
        <v>15.6992425108689</v>
      </c>
      <c r="R34" s="513" t="n">
        <v>1.601027463165716</v>
      </c>
      <c r="S34" s="513" t="n">
        <v>207.4971151443696</v>
      </c>
      <c r="T34" s="512" t="n">
        <v>0.1735387900254468</v>
      </c>
      <c r="U34" s="512" t="n">
        <v>0.04474690472046362</v>
      </c>
      <c r="V34" s="512" t="n">
        <v>0.02926616272405836</v>
      </c>
      <c r="W34" s="512" t="n">
        <v>0.4317750383078226</v>
      </c>
      <c r="X34" s="512" t="n">
        <v>0.1214179778158247</v>
      </c>
      <c r="Y34" s="512" t="n">
        <v>0.3724624770787258</v>
      </c>
      <c r="Z34" s="512" t="n">
        <v>0.3724624770787258</v>
      </c>
      <c r="AA34" s="514" t="n">
        <v>0.06898207746463805</v>
      </c>
    </row>
    <row r="35" customFormat="1" s="112">
      <c r="A35" s="125" t="inlineStr">
        <is>
          <t>Financial Svcs. (Non-bank &amp; Insurance)</t>
        </is>
      </c>
      <c r="B35" s="296" t="n">
        <v>1117</v>
      </c>
      <c r="C35" s="512" t="n">
        <v>0.1542916919191918</v>
      </c>
      <c r="D35" s="512" t="inlineStr">
        <is>
          <t>NA</t>
        </is>
      </c>
      <c r="E35" s="512" t="inlineStr">
        <is>
          <t>NA</t>
        </is>
      </c>
      <c r="F35" s="512" t="n">
        <v>0.1747448804417112</v>
      </c>
      <c r="G35" s="513" t="n">
        <v>0.273074890218109</v>
      </c>
      <c r="H35" s="513" t="n">
        <v>0.8208564761626547</v>
      </c>
      <c r="I35" s="512" t="n">
        <v>0.09267090478888758</v>
      </c>
      <c r="J35" s="512" t="n">
        <v>0.4082223459501148</v>
      </c>
      <c r="K35" s="512" t="n">
        <v>0.06569999999999999</v>
      </c>
      <c r="L35" s="512" t="n">
        <v>0.7474050998122198</v>
      </c>
      <c r="M35" s="512" t="n">
        <v>0.06012855430558061</v>
      </c>
      <c r="N35" s="513" t="n">
        <v>0</v>
      </c>
      <c r="O35" s="513" t="inlineStr">
        <is>
          <t>NA</t>
        </is>
      </c>
      <c r="P35" s="513" t="n">
        <v>46.49336057762887</v>
      </c>
      <c r="Q35" s="513" t="n">
        <v>59.41157443941054</v>
      </c>
      <c r="R35" s="513" t="n">
        <v>2.369945939510812</v>
      </c>
      <c r="S35" s="513" t="n">
        <v>73.38192818687733</v>
      </c>
      <c r="T35" s="512" t="inlineStr">
        <is>
          <t>NA</t>
        </is>
      </c>
      <c r="U35" s="512" t="inlineStr">
        <is>
          <t>NA</t>
        </is>
      </c>
      <c r="V35" s="512" t="inlineStr">
        <is>
          <t>NA</t>
        </is>
      </c>
      <c r="W35" s="512" t="inlineStr">
        <is>
          <t>NA</t>
        </is>
      </c>
      <c r="X35" s="512" t="n">
        <v>0.2007772241112249</v>
      </c>
      <c r="Y35" s="512" t="n">
        <v>0.2091302900642563</v>
      </c>
      <c r="Z35" s="512" t="n">
        <v>0.2091302900642563</v>
      </c>
      <c r="AA35" s="514" t="inlineStr">
        <is>
          <t>NA</t>
        </is>
      </c>
    </row>
    <row r="36" customFormat="1" s="112">
      <c r="A36" s="125" t="inlineStr">
        <is>
          <t>Food Processing</t>
        </is>
      </c>
      <c r="B36" s="296" t="n">
        <v>1424</v>
      </c>
      <c r="C36" s="512" t="n">
        <v>0.08863476555023921</v>
      </c>
      <c r="D36" s="512" t="n">
        <v>0.08446738554652544</v>
      </c>
      <c r="E36" s="512" t="n">
        <v>0.1228822410093881</v>
      </c>
      <c r="F36" s="512" t="n">
        <v>0.2214894302421385</v>
      </c>
      <c r="G36" s="513" t="n">
        <v>0.5739152609745028</v>
      </c>
      <c r="H36" s="513" t="n">
        <v>0.6812356108037589</v>
      </c>
      <c r="I36" s="512" t="n">
        <v>0.08469855337689464</v>
      </c>
      <c r="J36" s="512" t="n">
        <v>0.3270248802279002</v>
      </c>
      <c r="K36" s="512" t="n">
        <v>0.06569999999999999</v>
      </c>
      <c r="L36" s="512" t="n">
        <v>0.2655151042614439</v>
      </c>
      <c r="M36" s="512" t="n">
        <v>0.07525468735554769</v>
      </c>
      <c r="N36" s="513" t="n">
        <v>1.756691345822595</v>
      </c>
      <c r="O36" s="513" t="n">
        <v>1.301417203785907</v>
      </c>
      <c r="P36" s="513" t="n">
        <v>10.75960845293842</v>
      </c>
      <c r="Q36" s="513" t="n">
        <v>15.15531686714756</v>
      </c>
      <c r="R36" s="513" t="n">
        <v>2.045097274778203</v>
      </c>
      <c r="S36" s="513" t="n">
        <v>38.64673623174465</v>
      </c>
      <c r="T36" s="512" t="n">
        <v>0.1026780631426614</v>
      </c>
      <c r="U36" s="512" t="n">
        <v>0.0434206963089129</v>
      </c>
      <c r="V36" s="512" t="n">
        <v>0.02518253269651511</v>
      </c>
      <c r="W36" s="512" t="n">
        <v>0.3879261050043912</v>
      </c>
      <c r="X36" s="512" t="n">
        <v>0.114685923744835</v>
      </c>
      <c r="Y36" s="512" t="n">
        <v>0.602223215216532</v>
      </c>
      <c r="Z36" s="512" t="n">
        <v>0.602223215216532</v>
      </c>
      <c r="AA36" s="514" t="n">
        <v>0.08503758490110712</v>
      </c>
    </row>
    <row r="37" customFormat="1" s="112">
      <c r="A37" s="125" t="inlineStr">
        <is>
          <t>Food Wholesalers</t>
        </is>
      </c>
      <c r="B37" s="296" t="n">
        <v>188</v>
      </c>
      <c r="C37" s="512" t="n">
        <v>0.104988074074074</v>
      </c>
      <c r="D37" s="512" t="n">
        <v>0.02591081265130534</v>
      </c>
      <c r="E37" s="512" t="n">
        <v>0.1156818728119307</v>
      </c>
      <c r="F37" s="512" t="n">
        <v>0.2218641335934656</v>
      </c>
      <c r="G37" s="513" t="n">
        <v>0.4405658169288212</v>
      </c>
      <c r="H37" s="513" t="n">
        <v>0.5985481152537028</v>
      </c>
      <c r="I37" s="512" t="n">
        <v>0.07997709738098643</v>
      </c>
      <c r="J37" s="512" t="n">
        <v>0.3676229466110927</v>
      </c>
      <c r="K37" s="512" t="n">
        <v>0.06569999999999999</v>
      </c>
      <c r="L37" s="512" t="n">
        <v>0.3692662514740203</v>
      </c>
      <c r="M37" s="512" t="n">
        <v>0.06858647522473119</v>
      </c>
      <c r="N37" s="513" t="n">
        <v>5.39258180680121</v>
      </c>
      <c r="O37" s="513" t="n">
        <v>0.4160858136885029</v>
      </c>
      <c r="P37" s="513" t="n">
        <v>10.39348774075683</v>
      </c>
      <c r="Q37" s="513" t="n">
        <v>15.92968702038703</v>
      </c>
      <c r="R37" s="513" t="n">
        <v>2.05295409132877</v>
      </c>
      <c r="S37" s="513" t="n">
        <v>45.13485060151118</v>
      </c>
      <c r="T37" s="512" t="n">
        <v>0.06547689620104731</v>
      </c>
      <c r="U37" s="512" t="n">
        <v>0.01141260645628834</v>
      </c>
      <c r="V37" s="512" t="n">
        <v>0.009696862945077843</v>
      </c>
      <c r="W37" s="512" t="n">
        <v>0.9289757324516321</v>
      </c>
      <c r="X37" s="512" t="n">
        <v>0.1157601600428681</v>
      </c>
      <c r="Y37" s="512" t="n">
        <v>0.4098870974975701</v>
      </c>
      <c r="Z37" s="512" t="n">
        <v>0.4098870974975701</v>
      </c>
      <c r="AA37" s="514" t="n">
        <v>0.02578334949861828</v>
      </c>
    </row>
    <row r="38" customFormat="1" s="112">
      <c r="A38" s="125" t="inlineStr">
        <is>
          <t>Furn/Home Furnishings</t>
        </is>
      </c>
      <c r="B38" s="296" t="n">
        <v>380</v>
      </c>
      <c r="C38" s="512" t="n">
        <v>0.05024189285714278</v>
      </c>
      <c r="D38" s="512" t="n">
        <v>0.07361882708215475</v>
      </c>
      <c r="E38" s="512" t="n">
        <v>0.1380676274530838</v>
      </c>
      <c r="F38" s="512" t="n">
        <v>0.1758113315593155</v>
      </c>
      <c r="G38" s="513" t="n">
        <v>0.951334627649579</v>
      </c>
      <c r="H38" s="513" t="n">
        <v>0.9361040517808141</v>
      </c>
      <c r="I38" s="512" t="n">
        <v>0.09925154135668449</v>
      </c>
      <c r="J38" s="512" t="n">
        <v>0.3533519711315563</v>
      </c>
      <c r="K38" s="512" t="n">
        <v>0.06569999999999999</v>
      </c>
      <c r="L38" s="512" t="n">
        <v>0.1986498005698027</v>
      </c>
      <c r="M38" s="512" t="n">
        <v>0.08929499854083625</v>
      </c>
      <c r="N38" s="513" t="n">
        <v>2.53920509698485</v>
      </c>
      <c r="O38" s="513" t="n">
        <v>1.082209498865788</v>
      </c>
      <c r="P38" s="513" t="n">
        <v>10.23165859777265</v>
      </c>
      <c r="Q38" s="513" t="n">
        <v>14.10646092591341</v>
      </c>
      <c r="R38" s="513" t="n">
        <v>2.073433689900371</v>
      </c>
      <c r="S38" s="513" t="n">
        <v>35.63091978092736</v>
      </c>
      <c r="T38" s="512" t="n">
        <v>0.03189906904374622</v>
      </c>
      <c r="U38" s="512" t="n">
        <v>0.03218118579732652</v>
      </c>
      <c r="V38" s="512" t="n">
        <v>0.01511613425171582</v>
      </c>
      <c r="W38" s="512" t="n">
        <v>-0.229741185205062</v>
      </c>
      <c r="X38" s="512" t="n">
        <v>0.1345958676281351</v>
      </c>
      <c r="Y38" s="512" t="n">
        <v>0.6174691986516684</v>
      </c>
      <c r="Z38" s="512" t="n">
        <v>0.6174691986516684</v>
      </c>
      <c r="AA38" s="514" t="n">
        <v>0.07639137155405705</v>
      </c>
    </row>
    <row r="39" customFormat="1" s="112">
      <c r="A39" s="125" t="inlineStr">
        <is>
          <t>Green &amp; Renewable Energy</t>
        </is>
      </c>
      <c r="B39" s="296" t="n">
        <v>260</v>
      </c>
      <c r="C39" s="512" t="n">
        <v>0.1227753459119496</v>
      </c>
      <c r="D39" s="512" t="n">
        <v>0.3036543467892177</v>
      </c>
      <c r="E39" s="512" t="n">
        <v>0.06292648559233405</v>
      </c>
      <c r="F39" s="512" t="n">
        <v>0.2030095227155928</v>
      </c>
      <c r="G39" s="513" t="n">
        <v>0.5963118858484414</v>
      </c>
      <c r="H39" s="513" t="n">
        <v>0.8859790820218285</v>
      </c>
      <c r="I39" s="512" t="n">
        <v>0.09638940558344641</v>
      </c>
      <c r="J39" s="512" t="n">
        <v>0.3816488811114374</v>
      </c>
      <c r="K39" s="512" t="n">
        <v>0.06569999999999999</v>
      </c>
      <c r="L39" s="512" t="n">
        <v>0.4217111831725817</v>
      </c>
      <c r="M39" s="512" t="n">
        <v>0.07645977972596257</v>
      </c>
      <c r="N39" s="513" t="n">
        <v>0.2355864530183031</v>
      </c>
      <c r="O39" s="513" t="n">
        <v>6.989131721305897</v>
      </c>
      <c r="P39" s="513" t="n">
        <v>13.69758957682758</v>
      </c>
      <c r="Q39" s="513" t="n">
        <v>22.89041212730993</v>
      </c>
      <c r="R39" s="513" t="n">
        <v>1.770918816933684</v>
      </c>
      <c r="S39" s="513" t="n">
        <v>41.03666576599529</v>
      </c>
      <c r="T39" s="512" t="n">
        <v>0.09646008525377874</v>
      </c>
      <c r="U39" s="512" t="n">
        <v>0.5113710987724096</v>
      </c>
      <c r="V39" s="512" t="n">
        <v>0.2754867395518653</v>
      </c>
      <c r="W39" s="512" t="n">
        <v>1.275539376052754</v>
      </c>
      <c r="X39" s="512" t="n">
        <v>0.07688910752550721</v>
      </c>
      <c r="Y39" s="512" t="n">
        <v>0.8946657617226894</v>
      </c>
      <c r="Z39" s="512" t="n">
        <v>0.8946657617226894</v>
      </c>
      <c r="AA39" s="514" t="n">
        <v>0.3027870000297326</v>
      </c>
    </row>
    <row r="40" customFormat="1" s="112">
      <c r="A40" s="125" t="inlineStr">
        <is>
          <t>Healthcare Products</t>
        </is>
      </c>
      <c r="B40" s="296" t="n">
        <v>850</v>
      </c>
      <c r="C40" s="512" t="n">
        <v>0.1372164547206166</v>
      </c>
      <c r="D40" s="512" t="n">
        <v>0.1383235602047206</v>
      </c>
      <c r="E40" s="512" t="n">
        <v>0.1218233026244545</v>
      </c>
      <c r="F40" s="512" t="n">
        <v>0.1724135082260899</v>
      </c>
      <c r="G40" s="513" t="n">
        <v>1.08169811510985</v>
      </c>
      <c r="H40" s="513" t="n">
        <v>1.14577562466397</v>
      </c>
      <c r="I40" s="512" t="n">
        <v>0.1112237881683127</v>
      </c>
      <c r="J40" s="512" t="n">
        <v>0.4908497963704387</v>
      </c>
      <c r="K40" s="512" t="n">
        <v>0.0682</v>
      </c>
      <c r="L40" s="512" t="n">
        <v>0.1245901810680284</v>
      </c>
      <c r="M40" s="512" t="n">
        <v>0.1037204905122128</v>
      </c>
      <c r="N40" s="513" t="n">
        <v>1.176551358405544</v>
      </c>
      <c r="O40" s="513" t="n">
        <v>4.388803105975948</v>
      </c>
      <c r="P40" s="513" t="n">
        <v>19.37732331246535</v>
      </c>
      <c r="Q40" s="513" t="n">
        <v>30.31685618933484</v>
      </c>
      <c r="R40" s="513" t="n">
        <v>3.521970817747559</v>
      </c>
      <c r="S40" s="513" t="n">
        <v>67.93954673552811</v>
      </c>
      <c r="T40" s="512" t="n">
        <v>0.2789379259800489</v>
      </c>
      <c r="U40" s="512" t="n">
        <v>0.05438362015403984</v>
      </c>
      <c r="V40" s="512" t="n">
        <v>0.04164991859697952</v>
      </c>
      <c r="W40" s="512" t="n">
        <v>0.5380481952774577</v>
      </c>
      <c r="X40" s="512" t="n">
        <v>0.07810632071550389</v>
      </c>
      <c r="Y40" s="512" t="n">
        <v>0.5106156827590972</v>
      </c>
      <c r="Z40" s="512" t="n">
        <v>0.5106156827590972</v>
      </c>
      <c r="AA40" s="514" t="n">
        <v>0.142758813977177</v>
      </c>
    </row>
    <row r="41" customFormat="1" s="112">
      <c r="A41" s="125" t="inlineStr">
        <is>
          <t>Healthcare Support Services</t>
        </is>
      </c>
      <c r="B41" s="296" t="n">
        <v>480</v>
      </c>
      <c r="C41" s="512" t="n">
        <v>0.1349915570934257</v>
      </c>
      <c r="D41" s="512" t="n">
        <v>0.03508906541832951</v>
      </c>
      <c r="E41" s="512" t="n">
        <v>0.2333405346157359</v>
      </c>
      <c r="F41" s="512" t="n">
        <v>0.2395102202284239</v>
      </c>
      <c r="G41" s="513" t="n">
        <v>0.7317595094588942</v>
      </c>
      <c r="H41" s="513" t="n">
        <v>0.8683207919134942</v>
      </c>
      <c r="I41" s="512" t="n">
        <v>0.09538111721826051</v>
      </c>
      <c r="J41" s="512" t="n">
        <v>0.4113975379400226</v>
      </c>
      <c r="K41" s="512" t="n">
        <v>0.06569999999999999</v>
      </c>
      <c r="L41" s="512" t="n">
        <v>0.2797187430613118</v>
      </c>
      <c r="M41" s="512" t="n">
        <v>0.08244394151540908</v>
      </c>
      <c r="N41" s="513" t="n">
        <v>8.17248928240306</v>
      </c>
      <c r="O41" s="513" t="n">
        <v>0.5485601445540983</v>
      </c>
      <c r="P41" s="513" t="n">
        <v>10.83730562968286</v>
      </c>
      <c r="Q41" s="513" t="n">
        <v>15.60364939844035</v>
      </c>
      <c r="R41" s="513" t="n">
        <v>2.324857662880227</v>
      </c>
      <c r="S41" s="513" t="n">
        <v>73.03451834567375</v>
      </c>
      <c r="T41" s="512" t="n">
        <v>-0.03446419428460827</v>
      </c>
      <c r="U41" s="512" t="n">
        <v>0.007741839105446776</v>
      </c>
      <c r="V41" s="512" t="n">
        <v>0.007160783221830502</v>
      </c>
      <c r="W41" s="512" t="n">
        <v>0.4587600944612735</v>
      </c>
      <c r="X41" s="512" t="n">
        <v>0.09422788546682755</v>
      </c>
      <c r="Y41" s="512" t="n">
        <v>0.4655588373735928</v>
      </c>
      <c r="Z41" s="512" t="n">
        <v>0.4655588373735928</v>
      </c>
      <c r="AA41" s="514" t="n">
        <v>0.03464149122791732</v>
      </c>
    </row>
    <row r="42" customFormat="1" s="112">
      <c r="A42" s="125" t="inlineStr">
        <is>
          <t>Heathcare Information and Technology</t>
        </is>
      </c>
      <c r="B42" s="296" t="n">
        <v>435</v>
      </c>
      <c r="C42" s="512" t="n">
        <v>0.1302196812749004</v>
      </c>
      <c r="D42" s="512" t="n">
        <v>0.1279984086357069</v>
      </c>
      <c r="E42" s="512" t="n">
        <v>0.1111150059533945</v>
      </c>
      <c r="F42" s="512" t="n">
        <v>0.1748782102737378</v>
      </c>
      <c r="G42" s="513" t="n">
        <v>1.132253717064354</v>
      </c>
      <c r="H42" s="513" t="n">
        <v>1.205992132741394</v>
      </c>
      <c r="I42" s="512" t="n">
        <v>0.1146621507795336</v>
      </c>
      <c r="J42" s="512" t="n">
        <v>0.5267125928105998</v>
      </c>
      <c r="K42" s="512" t="n">
        <v>0.0682</v>
      </c>
      <c r="L42" s="512" t="n">
        <v>0.1234413262484947</v>
      </c>
      <c r="M42" s="512" t="n">
        <v>0.1068036055178233</v>
      </c>
      <c r="N42" s="513" t="n">
        <v>1.115227419500175</v>
      </c>
      <c r="O42" s="513" t="n">
        <v>5.117858045506105</v>
      </c>
      <c r="P42" s="513" t="n">
        <v>21.5588041455903</v>
      </c>
      <c r="Q42" s="513" t="n">
        <v>38.09825603802337</v>
      </c>
      <c r="R42" s="513" t="n">
        <v>3.667453398398297</v>
      </c>
      <c r="S42" s="513" t="n">
        <v>146.2448314293769</v>
      </c>
      <c r="T42" s="512" t="n">
        <v>0.2442834334317575</v>
      </c>
      <c r="U42" s="512" t="n">
        <v>0.06663516662349238</v>
      </c>
      <c r="V42" s="512" t="n">
        <v>0.06446813924673489</v>
      </c>
      <c r="W42" s="512" t="n">
        <v>0.5853009440373665</v>
      </c>
      <c r="X42" s="512" t="n">
        <v>0.04361894450806193</v>
      </c>
      <c r="Y42" s="512" t="n">
        <v>0.3303086437918887</v>
      </c>
      <c r="Z42" s="512" t="n">
        <v>0.3303086437918887</v>
      </c>
      <c r="AA42" s="514" t="n">
        <v>0.1299151864692222</v>
      </c>
    </row>
    <row r="43" customFormat="1" s="112">
      <c r="A43" s="125" t="inlineStr">
        <is>
          <t>Homebuilding</t>
        </is>
      </c>
      <c r="B43" s="296" t="n">
        <v>165</v>
      </c>
      <c r="C43" s="512" t="n">
        <v>0.05990234848484852</v>
      </c>
      <c r="D43" s="512" t="n">
        <v>0.1239397596459023</v>
      </c>
      <c r="E43" s="512" t="n">
        <v>0.1361031622471103</v>
      </c>
      <c r="F43" s="512" t="n">
        <v>0.2382270524736707</v>
      </c>
      <c r="G43" s="513" t="n">
        <v>0.9495758670695034</v>
      </c>
      <c r="H43" s="513" t="n">
        <v>1.067735647603718</v>
      </c>
      <c r="I43" s="512" t="n">
        <v>0.1067677054781723</v>
      </c>
      <c r="J43" s="512" t="n">
        <v>0.3342135660466185</v>
      </c>
      <c r="K43" s="512" t="n">
        <v>0.06569999999999999</v>
      </c>
      <c r="L43" s="512" t="n">
        <v>0.2580428031638494</v>
      </c>
      <c r="M43" s="512" t="n">
        <v>0.09189482908834183</v>
      </c>
      <c r="N43" s="513" t="n">
        <v>1.402652077987348</v>
      </c>
      <c r="O43" s="513" t="n">
        <v>1.145802856538626</v>
      </c>
      <c r="P43" s="513" t="n">
        <v>8.314655336912486</v>
      </c>
      <c r="Q43" s="513" t="n">
        <v>9.463226781099026</v>
      </c>
      <c r="R43" s="513" t="n">
        <v>1.423700530302713</v>
      </c>
      <c r="S43" s="513" t="n">
        <v>17.25137253653105</v>
      </c>
      <c r="T43" s="512" t="n">
        <v>0.6626853866537605</v>
      </c>
      <c r="U43" s="512" t="n">
        <v>0.00578969216892311</v>
      </c>
      <c r="V43" s="512" t="n">
        <v>0.005496074685259385</v>
      </c>
      <c r="W43" s="512" t="n">
        <v>0.4859334295185345</v>
      </c>
      <c r="X43" s="512" t="n">
        <v>0.1526433322485836</v>
      </c>
      <c r="Y43" s="512" t="n">
        <v>0.1722511421982952</v>
      </c>
      <c r="Z43" s="512" t="n">
        <v>0.1722511421982953</v>
      </c>
      <c r="AA43" s="514" t="n">
        <v>0.1199723873912652</v>
      </c>
    </row>
    <row r="44" customFormat="1" s="112">
      <c r="A44" s="125" t="inlineStr">
        <is>
          <t>Hospitals/Healthcare Facilities</t>
        </is>
      </c>
      <c r="B44" s="296" t="n">
        <v>245</v>
      </c>
      <c r="C44" s="512" t="n">
        <v>0.1010432515337423</v>
      </c>
      <c r="D44" s="512" t="n">
        <v>0.1130258173060321</v>
      </c>
      <c r="E44" s="512" t="n">
        <v>0.1287428129243988</v>
      </c>
      <c r="F44" s="512" t="n">
        <v>0.1947698716827833</v>
      </c>
      <c r="G44" s="513" t="n">
        <v>0.5880920206585584</v>
      </c>
      <c r="H44" s="513" t="n">
        <v>0.7736783334954127</v>
      </c>
      <c r="I44" s="512" t="n">
        <v>0.08997703284258807</v>
      </c>
      <c r="J44" s="512" t="n">
        <v>0.3442232907867701</v>
      </c>
      <c r="K44" s="512" t="n">
        <v>0.06569999999999999</v>
      </c>
      <c r="L44" s="512" t="n">
        <v>0.3338194548034691</v>
      </c>
      <c r="M44" s="512" t="n">
        <v>0.07634165216568513</v>
      </c>
      <c r="N44" s="513" t="n">
        <v>1.407417466669526</v>
      </c>
      <c r="O44" s="513" t="n">
        <v>1.989035688855174</v>
      </c>
      <c r="P44" s="513" t="n">
        <v>11.94738088552651</v>
      </c>
      <c r="Q44" s="513" t="n">
        <v>17.87850432161846</v>
      </c>
      <c r="R44" s="513" t="n">
        <v>3.227281996362707</v>
      </c>
      <c r="S44" s="513" t="n">
        <v>51.42046469635571</v>
      </c>
      <c r="T44" s="512" t="n">
        <v>0.05343224904591918</v>
      </c>
      <c r="U44" s="512" t="n">
        <v>0.06769506740156436</v>
      </c>
      <c r="V44" s="512" t="n">
        <v>0.03631982036976909</v>
      </c>
      <c r="W44" s="512" t="n">
        <v>0.5232031838541817</v>
      </c>
      <c r="X44" s="512" t="n">
        <v>0.2537801194488341</v>
      </c>
      <c r="Y44" s="512" t="n">
        <v>0.3340982489717411</v>
      </c>
      <c r="Z44" s="512" t="n">
        <v>0.334098248971741</v>
      </c>
      <c r="AA44" s="514" t="n">
        <v>0.1105684082488835</v>
      </c>
    </row>
    <row r="45" customFormat="1" s="112">
      <c r="A45" s="125" t="inlineStr">
        <is>
          <t>Hotel/Gaming</t>
        </is>
      </c>
      <c r="B45" s="296" t="n">
        <v>660</v>
      </c>
      <c r="C45" s="512" t="n">
        <v>0.07520172744721694</v>
      </c>
      <c r="D45" s="512" t="n">
        <v>0.1557147783959869</v>
      </c>
      <c r="E45" s="512" t="n">
        <v>0.1090950630871939</v>
      </c>
      <c r="F45" s="512" t="n">
        <v>0.1747017186024152</v>
      </c>
      <c r="G45" s="513" t="n">
        <v>0.7423154544956462</v>
      </c>
      <c r="H45" s="513" t="n">
        <v>0.9130526779150158</v>
      </c>
      <c r="I45" s="512" t="n">
        <v>0.09793530790894739</v>
      </c>
      <c r="J45" s="512" t="n">
        <v>0.3703974371162</v>
      </c>
      <c r="K45" s="512" t="n">
        <v>0.06569999999999999</v>
      </c>
      <c r="L45" s="512" t="n">
        <v>0.2980169787168651</v>
      </c>
      <c r="M45" s="512" t="n">
        <v>0.08339063458838678</v>
      </c>
      <c r="N45" s="513" t="n">
        <v>0.9271596250718696</v>
      </c>
      <c r="O45" s="513" t="n">
        <v>3.379912561246386</v>
      </c>
      <c r="P45" s="513" t="n">
        <v>14.07998719055899</v>
      </c>
      <c r="Q45" s="513" t="n">
        <v>23.51851005685243</v>
      </c>
      <c r="R45" s="513" t="n">
        <v>4.516436994551129</v>
      </c>
      <c r="S45" s="513" t="n">
        <v>53.99706857715746</v>
      </c>
      <c r="T45" s="512" t="n">
        <v>-0.01675529720951093</v>
      </c>
      <c r="U45" s="512" t="n">
        <v>0.06716390170745104</v>
      </c>
      <c r="V45" s="512" t="n">
        <v>0.01123251442177373</v>
      </c>
      <c r="W45" s="512" t="n">
        <v>0.1479410520309224</v>
      </c>
      <c r="X45" s="512" t="n">
        <v>0.1482839616740823</v>
      </c>
      <c r="Y45" s="512" t="n">
        <v>0.3099942377603527</v>
      </c>
      <c r="Z45" s="512" t="n">
        <v>0.3099942377603526</v>
      </c>
      <c r="AA45" s="514" t="n">
        <v>0.1415379940292289</v>
      </c>
    </row>
    <row r="46" customFormat="1" s="112">
      <c r="A46" s="125" t="inlineStr">
        <is>
          <t>Household Products</t>
        </is>
      </c>
      <c r="B46" s="296" t="n">
        <v>554</v>
      </c>
      <c r="C46" s="512" t="n">
        <v>0.06572973190348526</v>
      </c>
      <c r="D46" s="512" t="n">
        <v>0.1602174235186326</v>
      </c>
      <c r="E46" s="512" t="n">
        <v>0.2227765131645379</v>
      </c>
      <c r="F46" s="512" t="n">
        <v>0.2404778273409792</v>
      </c>
      <c r="G46" s="513" t="n">
        <v>0.8275845169398069</v>
      </c>
      <c r="H46" s="513" t="n">
        <v>0.8799543472237394</v>
      </c>
      <c r="I46" s="512" t="n">
        <v>0.09604539322647551</v>
      </c>
      <c r="J46" s="512" t="n">
        <v>0.3928461048673368</v>
      </c>
      <c r="K46" s="512" t="n">
        <v>0.06569999999999999</v>
      </c>
      <c r="L46" s="512" t="n">
        <v>0.1237449627466964</v>
      </c>
      <c r="M46" s="512" t="n">
        <v>0.09023990656210155</v>
      </c>
      <c r="N46" s="513" t="n">
        <v>1.761434215021396</v>
      </c>
      <c r="O46" s="513" t="n">
        <v>3.033196912289804</v>
      </c>
      <c r="P46" s="513" t="n">
        <v>15.31120597913071</v>
      </c>
      <c r="Q46" s="513" t="n">
        <v>18.69251114939986</v>
      </c>
      <c r="R46" s="513" t="n">
        <v>4.695640453550533</v>
      </c>
      <c r="S46" s="513" t="n">
        <v>67.36377870567239</v>
      </c>
      <c r="T46" s="512" t="n">
        <v>0.05883403099519161</v>
      </c>
      <c r="U46" s="512" t="n">
        <v>0.03470892747513368</v>
      </c>
      <c r="V46" s="512" t="n">
        <v>0.02462154524632528</v>
      </c>
      <c r="W46" s="512" t="n">
        <v>0.2314514160377773</v>
      </c>
      <c r="X46" s="512" t="n">
        <v>0.178273385791119</v>
      </c>
      <c r="Y46" s="512" t="n">
        <v>0.7012348868026012</v>
      </c>
      <c r="Z46" s="512" t="n">
        <v>0.7012348868026012</v>
      </c>
      <c r="AA46" s="514" t="n">
        <v>0.1611932694708755</v>
      </c>
    </row>
    <row r="47" customFormat="1" s="112">
      <c r="A47" s="125" t="inlineStr">
        <is>
          <t>Information Services</t>
        </is>
      </c>
      <c r="B47" s="296" t="n">
        <v>85</v>
      </c>
      <c r="C47" s="512" t="n">
        <v>0.06631736842105262</v>
      </c>
      <c r="D47" s="512" t="n">
        <v>0.1104412456289791</v>
      </c>
      <c r="E47" s="512" t="n">
        <v>0.2125613301087733</v>
      </c>
      <c r="F47" s="512" t="n">
        <v>0.2366782398511038</v>
      </c>
      <c r="G47" s="513" t="n">
        <v>0.9461858149674477</v>
      </c>
      <c r="H47" s="513" t="n">
        <v>1.124561049951752</v>
      </c>
      <c r="I47" s="512" t="n">
        <v>0.110012435952245</v>
      </c>
      <c r="J47" s="512" t="n">
        <v>0.4122886386795369</v>
      </c>
      <c r="K47" s="512" t="n">
        <v>0.06569999999999999</v>
      </c>
      <c r="L47" s="512" t="n">
        <v>0.2543874834197221</v>
      </c>
      <c r="M47" s="512" t="n">
        <v>0.09452482330413338</v>
      </c>
      <c r="N47" s="513" t="n">
        <v>2.596889992063095</v>
      </c>
      <c r="O47" s="513" t="n">
        <v>1.94652660726897</v>
      </c>
      <c r="P47" s="513" t="n">
        <v>11.28651440510072</v>
      </c>
      <c r="Q47" s="513" t="n">
        <v>16.83561526557914</v>
      </c>
      <c r="R47" s="513" t="n">
        <v>3.133070206697739</v>
      </c>
      <c r="S47" s="513" t="n">
        <v>47.86378025862899</v>
      </c>
      <c r="T47" s="512" t="n">
        <v>0.1689094678510386</v>
      </c>
      <c r="U47" s="512" t="n">
        <v>0.02027882966134302</v>
      </c>
      <c r="V47" s="512" t="n">
        <v>0.0450937371200375</v>
      </c>
      <c r="W47" s="512" t="n">
        <v>0.601521563701527</v>
      </c>
      <c r="X47" s="512" t="n">
        <v>0.1373067667737413</v>
      </c>
      <c r="Y47" s="512" t="n">
        <v>0.3747760538066788</v>
      </c>
      <c r="Z47" s="512" t="n">
        <v>0.3747760538066789</v>
      </c>
      <c r="AA47" s="514" t="n">
        <v>0.114346073107403</v>
      </c>
    </row>
    <row r="48" customFormat="1" s="112">
      <c r="A48" s="125" t="inlineStr">
        <is>
          <t>Insurance (General)</t>
        </is>
      </c>
      <c r="B48" s="296" t="n">
        <v>199</v>
      </c>
      <c r="C48" s="512" t="n">
        <v>0.1022633540372671</v>
      </c>
      <c r="D48" s="512" t="n">
        <v>0.1450249863366485</v>
      </c>
      <c r="E48" s="512" t="n">
        <v>0.2228426821408676</v>
      </c>
      <c r="F48" s="512" t="n">
        <v>0.2126328634371507</v>
      </c>
      <c r="G48" s="513" t="n">
        <v>0.5339135196684894</v>
      </c>
      <c r="H48" s="513" t="n">
        <v>0.5745120018721774</v>
      </c>
      <c r="I48" s="512" t="n">
        <v>0.07860463530690133</v>
      </c>
      <c r="J48" s="512" t="n">
        <v>0.3007847416073076</v>
      </c>
      <c r="K48" s="512" t="n">
        <v>0.06569999999999999</v>
      </c>
      <c r="L48" s="512" t="n">
        <v>0.2382138454621509</v>
      </c>
      <c r="M48" s="512" t="n">
        <v>0.07158347866521879</v>
      </c>
      <c r="N48" s="513" t="n">
        <v>1.845237363040919</v>
      </c>
      <c r="O48" s="513" t="n">
        <v>1.309810822441552</v>
      </c>
      <c r="P48" s="513" t="n">
        <v>7.761539710357843</v>
      </c>
      <c r="Q48" s="513" t="n">
        <v>7.937211693949075</v>
      </c>
      <c r="R48" s="513" t="n">
        <v>1.883230858324252</v>
      </c>
      <c r="S48" s="513" t="n">
        <v>23.78237417655259</v>
      </c>
      <c r="T48" s="512" t="n">
        <v>0.1139720698100314</v>
      </c>
      <c r="U48" s="512" t="n">
        <v>0.007333216232256841</v>
      </c>
      <c r="V48" s="512" t="n">
        <v>0.02218875172675276</v>
      </c>
      <c r="W48" s="512" t="n">
        <v>0.0495832791702887</v>
      </c>
      <c r="X48" s="512" t="n">
        <v>0.1458048353471736</v>
      </c>
      <c r="Y48" s="512" t="n">
        <v>0.451685279800353</v>
      </c>
      <c r="Z48" s="512" t="n">
        <v>0.451685279800353</v>
      </c>
      <c r="AA48" s="514" t="n">
        <v>0.1451731922804276</v>
      </c>
    </row>
    <row r="49" customFormat="1" s="112">
      <c r="A49" s="125" t="inlineStr">
        <is>
          <t>Insurance (Life)</t>
        </is>
      </c>
      <c r="B49" s="296" t="n">
        <v>137</v>
      </c>
      <c r="C49" s="512" t="n">
        <v>0.06776583333333334</v>
      </c>
      <c r="D49" s="512" t="n">
        <v>0.1323906892596889</v>
      </c>
      <c r="E49" s="512" t="n">
        <v>0.1118840957467905</v>
      </c>
      <c r="F49" s="512" t="n">
        <v>0.1751689791299755</v>
      </c>
      <c r="G49" s="513" t="n">
        <v>0.8366648433165084</v>
      </c>
      <c r="H49" s="513" t="n">
        <v>0.941598944837215</v>
      </c>
      <c r="I49" s="512" t="n">
        <v>0.09956529975020498</v>
      </c>
      <c r="J49" s="512" t="n">
        <v>0.291910176346379</v>
      </c>
      <c r="K49" s="512" t="n">
        <v>0.0612</v>
      </c>
      <c r="L49" s="512" t="n">
        <v>0.4964050638626039</v>
      </c>
      <c r="M49" s="512" t="n">
        <v>0.07285873722270024</v>
      </c>
      <c r="N49" s="513" t="n">
        <v>1.00495483493127</v>
      </c>
      <c r="O49" s="513" t="n">
        <v>1.164837799582809</v>
      </c>
      <c r="P49" s="513" t="n">
        <v>7.87577449768657</v>
      </c>
      <c r="Q49" s="513" t="n">
        <v>8.210704074127591</v>
      </c>
      <c r="R49" s="513" t="n">
        <v>1.139181998743088</v>
      </c>
      <c r="S49" s="513" t="n">
        <v>54.92068535625781</v>
      </c>
      <c r="T49" s="512" t="n">
        <v>-1.001350550937412</v>
      </c>
      <c r="U49" s="512" t="n">
        <v>0.006360957102223615</v>
      </c>
      <c r="V49" s="512" t="n">
        <v>0.00780177234258859</v>
      </c>
      <c r="W49" s="512" t="n">
        <v>-0.05672677291835923</v>
      </c>
      <c r="X49" s="512" t="n">
        <v>0.1202951828903196</v>
      </c>
      <c r="Y49" s="512" t="n">
        <v>0.4080877759483987</v>
      </c>
      <c r="Z49" s="512" t="n">
        <v>0.4080877759483987</v>
      </c>
      <c r="AA49" s="514" t="n">
        <v>0.1325095522786124</v>
      </c>
    </row>
    <row r="50" customFormat="1" s="112">
      <c r="A50" s="125" t="inlineStr">
        <is>
          <t>Insurance (Prop/Cas.)</t>
        </is>
      </c>
      <c r="B50" s="296" t="n">
        <v>240</v>
      </c>
      <c r="C50" s="512" t="n">
        <v>0.1180482741116751</v>
      </c>
      <c r="D50" s="512" t="n">
        <v>0.1472800687770428</v>
      </c>
      <c r="E50" s="512" t="n">
        <v>0.2049680044948979</v>
      </c>
      <c r="F50" s="512" t="n">
        <v>0.1757133229465237</v>
      </c>
      <c r="G50" s="513" t="n">
        <v>0.4775375300708246</v>
      </c>
      <c r="H50" s="513" t="n">
        <v>0.498548660992902</v>
      </c>
      <c r="I50" s="512" t="n">
        <v>0.07426712854269471</v>
      </c>
      <c r="J50" s="512" t="n">
        <v>0.2960167732719298</v>
      </c>
      <c r="K50" s="512" t="n">
        <v>0.0612</v>
      </c>
      <c r="L50" s="512" t="n">
        <v>0.1441276767667942</v>
      </c>
      <c r="M50" s="512" t="n">
        <v>0.07015923485889122</v>
      </c>
      <c r="N50" s="513" t="n">
        <v>1.684137614926181</v>
      </c>
      <c r="O50" s="513" t="n">
        <v>1.263123854386064</v>
      </c>
      <c r="P50" s="513" t="n">
        <v>7.966622953668649</v>
      </c>
      <c r="Q50" s="513" t="n">
        <v>8.53178848333957</v>
      </c>
      <c r="R50" s="513" t="n">
        <v>1.702045053071061</v>
      </c>
      <c r="S50" s="513" t="n">
        <v>17.6834773255695</v>
      </c>
      <c r="T50" s="512" t="n">
        <v>-0.2753750414904087</v>
      </c>
      <c r="U50" s="512" t="n">
        <v>0.006988874140907462</v>
      </c>
      <c r="V50" s="512" t="n">
        <v>0.002202286931240153</v>
      </c>
      <c r="W50" s="512" t="n">
        <v>0.01743328437789124</v>
      </c>
      <c r="X50" s="512" t="n">
        <v>0.1998132179259425</v>
      </c>
      <c r="Y50" s="512" t="n">
        <v>0.2229419671107289</v>
      </c>
      <c r="Z50" s="512" t="n">
        <v>0.2229419671107289</v>
      </c>
      <c r="AA50" s="514" t="n">
        <v>0.1475651260487517</v>
      </c>
    </row>
    <row r="51" customFormat="1" s="112">
      <c r="A51" s="125" t="inlineStr">
        <is>
          <t>Investments &amp; Asset Management</t>
        </is>
      </c>
      <c r="B51" s="296" t="n">
        <v>1291</v>
      </c>
      <c r="C51" s="512" t="n">
        <v>0.1475218035714286</v>
      </c>
      <c r="D51" s="512" t="n">
        <v>0.187998113367846</v>
      </c>
      <c r="E51" s="512" t="n">
        <v>0.06286342760445107</v>
      </c>
      <c r="F51" s="512" t="n">
        <v>0.1683613810326697</v>
      </c>
      <c r="G51" s="513" t="n">
        <v>0.5751603220865722</v>
      </c>
      <c r="H51" s="513" t="n">
        <v>0.7670268111942766</v>
      </c>
      <c r="I51" s="512" t="n">
        <v>0.08959723091919319</v>
      </c>
      <c r="J51" s="512" t="n">
        <v>0.3758031166548576</v>
      </c>
      <c r="K51" s="512" t="n">
        <v>0.06569999999999999</v>
      </c>
      <c r="L51" s="512" t="n">
        <v>0.3814563061788431</v>
      </c>
      <c r="M51" s="512" t="n">
        <v>0.07416092596137233</v>
      </c>
      <c r="N51" s="513" t="n">
        <v>0.3662145282301179</v>
      </c>
      <c r="O51" s="513" t="n">
        <v>5.1390496197574</v>
      </c>
      <c r="P51" s="513" t="n">
        <v>19.77653585703408</v>
      </c>
      <c r="Q51" s="513" t="n">
        <v>21.92216853218419</v>
      </c>
      <c r="R51" s="513" t="n">
        <v>1.637077100027451</v>
      </c>
      <c r="S51" s="513" t="n">
        <v>46.24203162928689</v>
      </c>
      <c r="T51" s="512" t="inlineStr">
        <is>
          <t>NA</t>
        </is>
      </c>
      <c r="U51" s="512" t="n">
        <v>0.04041935793440722</v>
      </c>
      <c r="V51" s="512" t="n">
        <v>0.04743447981151396</v>
      </c>
      <c r="W51" s="512" t="n">
        <v>0.3839588890385228</v>
      </c>
      <c r="X51" s="512" t="n">
        <v>0.1026677132681751</v>
      </c>
      <c r="Y51" s="512" t="n">
        <v>0.5343336684877689</v>
      </c>
      <c r="Z51" s="512" t="n">
        <v>0.5343336684877689</v>
      </c>
      <c r="AA51" s="514" t="n">
        <v>0.1866004282090836</v>
      </c>
    </row>
    <row r="52" customFormat="1" s="112">
      <c r="A52" s="125" t="inlineStr">
        <is>
          <t>Machinery</t>
        </is>
      </c>
      <c r="B52" s="296" t="n">
        <v>1548</v>
      </c>
      <c r="C52" s="512" t="n">
        <v>0.06557624783362219</v>
      </c>
      <c r="D52" s="512" t="n">
        <v>0.1024659514420626</v>
      </c>
      <c r="E52" s="512" t="n">
        <v>0.1287927559074887</v>
      </c>
      <c r="F52" s="512" t="n">
        <v>0.2177333193637332</v>
      </c>
      <c r="G52" s="513" t="n">
        <v>1.123040676004347</v>
      </c>
      <c r="H52" s="513" t="n">
        <v>1.157688326011929</v>
      </c>
      <c r="I52" s="512" t="n">
        <v>0.1119040034152812</v>
      </c>
      <c r="J52" s="512" t="n">
        <v>0.3735702628495173</v>
      </c>
      <c r="K52" s="512" t="n">
        <v>0.06569999999999999</v>
      </c>
      <c r="L52" s="512" t="n">
        <v>0.1350005834663423</v>
      </c>
      <c r="M52" s="512" t="n">
        <v>0.1034295384279684</v>
      </c>
      <c r="N52" s="513" t="n">
        <v>1.642830732061638</v>
      </c>
      <c r="O52" s="513" t="n">
        <v>2.088554142767282</v>
      </c>
      <c r="P52" s="513" t="n">
        <v>13.95277335668323</v>
      </c>
      <c r="Q52" s="513" t="n">
        <v>19.45620670699655</v>
      </c>
      <c r="R52" s="513" t="n">
        <v>2.764397578075292</v>
      </c>
      <c r="S52" s="513" t="n">
        <v>79.07882170944231</v>
      </c>
      <c r="T52" s="512" t="n">
        <v>0.2859034765943716</v>
      </c>
      <c r="U52" s="512" t="n">
        <v>0.04118657904986903</v>
      </c>
      <c r="V52" s="512" t="n">
        <v>0.03932809856546194</v>
      </c>
      <c r="W52" s="512" t="n">
        <v>0.6571645295914001</v>
      </c>
      <c r="X52" s="512" t="n">
        <v>0.1148760588674629</v>
      </c>
      <c r="Y52" s="512" t="n">
        <v>0.4463402639749103</v>
      </c>
      <c r="Z52" s="512" t="n">
        <v>0.4463402639749103</v>
      </c>
      <c r="AA52" s="514" t="n">
        <v>0.1046624408114105</v>
      </c>
    </row>
    <row r="53" customFormat="1" s="112">
      <c r="A53" s="125" t="inlineStr">
        <is>
          <t>Metals &amp; Mining</t>
        </is>
      </c>
      <c r="B53" s="296" t="n">
        <v>1832</v>
      </c>
      <c r="C53" s="512" t="n">
        <v>0.2255576844262296</v>
      </c>
      <c r="D53" s="512" t="n">
        <v>0.1094090172100248</v>
      </c>
      <c r="E53" s="512" t="n">
        <v>0.150284616619797</v>
      </c>
      <c r="F53" s="512" t="n">
        <v>0.3061832883365534</v>
      </c>
      <c r="G53" s="513" t="n">
        <v>1.006715293969626</v>
      </c>
      <c r="H53" s="513" t="n">
        <v>1.121247209903</v>
      </c>
      <c r="I53" s="512" t="n">
        <v>0.1098232156854613</v>
      </c>
      <c r="J53" s="512" t="n">
        <v>0.6955492640839968</v>
      </c>
      <c r="K53" s="512" t="n">
        <v>0.0745</v>
      </c>
      <c r="L53" s="512" t="n">
        <v>0.2339173971983238</v>
      </c>
      <c r="M53" s="512" t="n">
        <v>0.09716545042742362</v>
      </c>
      <c r="N53" s="513" t="n">
        <v>1.451332582140876</v>
      </c>
      <c r="O53" s="513" t="n">
        <v>1.222289452384446</v>
      </c>
      <c r="P53" s="513" t="n">
        <v>7.021168829829218</v>
      </c>
      <c r="Q53" s="513" t="n">
        <v>10.57732679774865</v>
      </c>
      <c r="R53" s="513" t="n">
        <v>1.665867031085549</v>
      </c>
      <c r="S53" s="513" t="n">
        <v>64.70400774712483</v>
      </c>
      <c r="T53" s="512" t="n">
        <v>0.1247659015999812</v>
      </c>
      <c r="U53" s="512" t="n">
        <v>0.08356917836582853</v>
      </c>
      <c r="V53" s="512" t="n">
        <v>0.04780990022511663</v>
      </c>
      <c r="W53" s="512" t="n">
        <v>0.7129551141130064</v>
      </c>
      <c r="X53" s="512" t="n">
        <v>0.08606105756405125</v>
      </c>
      <c r="Y53" s="512" t="n">
        <v>0.796459082151292</v>
      </c>
      <c r="Z53" s="512" t="n">
        <v>0.796459082151292</v>
      </c>
      <c r="AA53" s="514" t="n">
        <v>0.1100970668372967</v>
      </c>
    </row>
    <row r="54" customFormat="1" s="112">
      <c r="A54" s="125" t="inlineStr">
        <is>
          <t>Office Equipment &amp; Services</t>
        </is>
      </c>
      <c r="B54" s="296" t="n">
        <v>140</v>
      </c>
      <c r="C54" s="512" t="n">
        <v>0.05020041666666666</v>
      </c>
      <c r="D54" s="512" t="n">
        <v>0.07358206323820379</v>
      </c>
      <c r="E54" s="512" t="n">
        <v>0.1280501224136309</v>
      </c>
      <c r="F54" s="512" t="n">
        <v>0.2334915098335708</v>
      </c>
      <c r="G54" s="513" t="n">
        <v>0.7267324854020321</v>
      </c>
      <c r="H54" s="513" t="n">
        <v>0.760108409459641</v>
      </c>
      <c r="I54" s="512" t="n">
        <v>0.0892021901801455</v>
      </c>
      <c r="J54" s="512" t="n">
        <v>0.3555086597763081</v>
      </c>
      <c r="K54" s="512" t="n">
        <v>0.06569999999999999</v>
      </c>
      <c r="L54" s="512" t="n">
        <v>0.2192346040868229</v>
      </c>
      <c r="M54" s="512" t="n">
        <v>0.0804170802790273</v>
      </c>
      <c r="N54" s="513" t="n">
        <v>2.18122777401546</v>
      </c>
      <c r="O54" s="513" t="n">
        <v>1.004452480782313</v>
      </c>
      <c r="P54" s="513" t="n">
        <v>8.827084955778323</v>
      </c>
      <c r="Q54" s="513" t="n">
        <v>13.16903998629038</v>
      </c>
      <c r="R54" s="513" t="n">
        <v>1.802655892462207</v>
      </c>
      <c r="S54" s="513" t="n">
        <v>133.8720449482716</v>
      </c>
      <c r="T54" s="512" t="n">
        <v>0.1315663471695291</v>
      </c>
      <c r="U54" s="512" t="n">
        <v>0.02635648300465568</v>
      </c>
      <c r="V54" s="512" t="n">
        <v>0.007258331975358016</v>
      </c>
      <c r="W54" s="512" t="n">
        <v>0.04364067057892862</v>
      </c>
      <c r="X54" s="512" t="n">
        <v>0.08199196601755371</v>
      </c>
      <c r="Y54" s="512" t="n">
        <v>0.6015066536921426</v>
      </c>
      <c r="Z54" s="512" t="n">
        <v>0.6015066536921426</v>
      </c>
      <c r="AA54" s="514" t="n">
        <v>0.07557513266953912</v>
      </c>
    </row>
    <row r="55" customFormat="1" s="112">
      <c r="A55" s="125" t="inlineStr">
        <is>
          <t>Oil/Gas (Integrated)</t>
        </is>
      </c>
      <c r="B55" s="296" t="n">
        <v>36</v>
      </c>
      <c r="C55" s="512" t="n">
        <v>0.07216314285714287</v>
      </c>
      <c r="D55" s="512" t="n">
        <v>0.1491379037449558</v>
      </c>
      <c r="E55" s="512" t="n">
        <v>0.1694243231958469</v>
      </c>
      <c r="F55" s="512" t="n">
        <v>0.4240946013734943</v>
      </c>
      <c r="G55" s="513" t="n">
        <v>0.8705119047647804</v>
      </c>
      <c r="H55" s="513" t="n">
        <v>0.9316777107029921</v>
      </c>
      <c r="I55" s="512" t="n">
        <v>0.09899879728114085</v>
      </c>
      <c r="J55" s="512" t="n">
        <v>0.3037060199174906</v>
      </c>
      <c r="K55" s="512" t="n">
        <v>0.06569999999999999</v>
      </c>
      <c r="L55" s="512" t="n">
        <v>0.1671788898395993</v>
      </c>
      <c r="M55" s="512" t="n">
        <v>0.09066186401633301</v>
      </c>
      <c r="N55" s="513" t="n">
        <v>1.53404703929344</v>
      </c>
      <c r="O55" s="513" t="n">
        <v>1.232030082877976</v>
      </c>
      <c r="P55" s="513" t="n">
        <v>5.755024883216643</v>
      </c>
      <c r="Q55" s="513" t="n">
        <v>8.229320828665447</v>
      </c>
      <c r="R55" s="513" t="n">
        <v>1.756151768818272</v>
      </c>
      <c r="S55" s="513" t="n">
        <v>11.84786633818727</v>
      </c>
      <c r="T55" s="512" t="n">
        <v>0.02330915199676819</v>
      </c>
      <c r="U55" s="512" t="n">
        <v>0.08282085640915483</v>
      </c>
      <c r="V55" s="512" t="n">
        <v>0.01568140032298031</v>
      </c>
      <c r="W55" s="512" t="n">
        <v>0.09817507009166661</v>
      </c>
      <c r="X55" s="512" t="n">
        <v>0.1499292449922222</v>
      </c>
      <c r="Y55" s="512" t="n">
        <v>0.7821731682452366</v>
      </c>
      <c r="Z55" s="512" t="n">
        <v>0.7821731682452366</v>
      </c>
      <c r="AA55" s="514" t="n">
        <v>0.1498611037445995</v>
      </c>
    </row>
    <row r="56" customFormat="1" s="112">
      <c r="A56" s="125" t="inlineStr">
        <is>
          <t>Oil/Gas (Production and Exploration)</t>
        </is>
      </c>
      <c r="B56" s="296" t="n">
        <v>548</v>
      </c>
      <c r="C56" s="512" t="n">
        <v>0.1581293870967741</v>
      </c>
      <c r="D56" s="512" t="n">
        <v>0.3159401910009736</v>
      </c>
      <c r="E56" s="512" t="n">
        <v>0.182499556775622</v>
      </c>
      <c r="F56" s="512" t="n">
        <v>0.3274721313844728</v>
      </c>
      <c r="G56" s="513" t="n">
        <v>0.8938719628830606</v>
      </c>
      <c r="H56" s="513" t="n">
        <v>1.015680560741724</v>
      </c>
      <c r="I56" s="512" t="n">
        <v>0.1037953600183524</v>
      </c>
      <c r="J56" s="512" t="n">
        <v>0.5037976772748156</v>
      </c>
      <c r="K56" s="512" t="n">
        <v>0.0682</v>
      </c>
      <c r="L56" s="512" t="n">
        <v>0.2243728870951397</v>
      </c>
      <c r="M56" s="512" t="n">
        <v>0.0919495036908919</v>
      </c>
      <c r="N56" s="513" t="n">
        <v>0.6400592252236873</v>
      </c>
      <c r="O56" s="513" t="n">
        <v>2.549433106158156</v>
      </c>
      <c r="P56" s="513" t="n">
        <v>4.558515947501697</v>
      </c>
      <c r="Q56" s="513" t="n">
        <v>7.869435810582128</v>
      </c>
      <c r="R56" s="513" t="n">
        <v>1.431919608602777</v>
      </c>
      <c r="S56" s="513" t="n">
        <v>17.9623401139556</v>
      </c>
      <c r="T56" s="512" t="n">
        <v>0.00595985852421627</v>
      </c>
      <c r="U56" s="512" t="n">
        <v>0.3144250310158541</v>
      </c>
      <c r="V56" s="512" t="n">
        <v>0.1443228919197149</v>
      </c>
      <c r="W56" s="512" t="n">
        <v>0.5916293360157628</v>
      </c>
      <c r="X56" s="512" t="n">
        <v>0.1506665108463207</v>
      </c>
      <c r="Y56" s="512" t="n">
        <v>0.4492816889804375</v>
      </c>
      <c r="Z56" s="512" t="n">
        <v>0.4492816889804374</v>
      </c>
      <c r="AA56" s="514" t="n">
        <v>0.3185547419618592</v>
      </c>
    </row>
    <row r="57" customFormat="1" s="112">
      <c r="A57" s="125" t="inlineStr">
        <is>
          <t>Oil/Gas Distribution</t>
        </is>
      </c>
      <c r="B57" s="296" t="n">
        <v>179</v>
      </c>
      <c r="C57" s="512" t="n">
        <v>0.09019410447761192</v>
      </c>
      <c r="D57" s="512" t="n">
        <v>0.1740911678987986</v>
      </c>
      <c r="E57" s="512" t="n">
        <v>0.1021347476882307</v>
      </c>
      <c r="F57" s="512" t="n">
        <v>0.1651901679962025</v>
      </c>
      <c r="G57" s="513" t="n">
        <v>0.4713782973785017</v>
      </c>
      <c r="H57" s="513" t="n">
        <v>0.672133432376452</v>
      </c>
      <c r="I57" s="512" t="n">
        <v>0.08417881898869541</v>
      </c>
      <c r="J57" s="512" t="n">
        <v>0.3150068945407914</v>
      </c>
      <c r="K57" s="512" t="n">
        <v>0.06569999999999999</v>
      </c>
      <c r="L57" s="512" t="n">
        <v>0.3869701056489716</v>
      </c>
      <c r="M57" s="512" t="n">
        <v>0.07061615180801686</v>
      </c>
      <c r="N57" s="513" t="n">
        <v>0.6647014298320117</v>
      </c>
      <c r="O57" s="513" t="n">
        <v>2.910005633686923</v>
      </c>
      <c r="P57" s="513" t="n">
        <v>11.3473577318148</v>
      </c>
      <c r="Q57" s="513" t="n">
        <v>16.22649339563943</v>
      </c>
      <c r="R57" s="513" t="n">
        <v>2.038517779472103</v>
      </c>
      <c r="S57" s="513" t="n">
        <v>24.23279917287948</v>
      </c>
      <c r="T57" s="512" t="n">
        <v>0.06532928237748997</v>
      </c>
      <c r="U57" s="512" t="n">
        <v>0.1435843384033428</v>
      </c>
      <c r="V57" s="512" t="n">
        <v>0.1240093479658206</v>
      </c>
      <c r="W57" s="512" t="n">
        <v>0.8398036753766988</v>
      </c>
      <c r="X57" s="512" t="n">
        <v>0.1612844873746784</v>
      </c>
      <c r="Y57" s="512" t="n">
        <v>0.6974769859703234</v>
      </c>
      <c r="Z57" s="512" t="n">
        <v>0.6974769859703234</v>
      </c>
      <c r="AA57" s="514" t="n">
        <v>0.1753633251969385</v>
      </c>
    </row>
    <row r="58" customFormat="1" s="112">
      <c r="A58" s="125" t="inlineStr">
        <is>
          <t>Oilfield Svcs/Equip.</t>
        </is>
      </c>
      <c r="B58" s="296" t="n">
        <v>437</v>
      </c>
      <c r="C58" s="512" t="n">
        <v>0.07497964809384165</v>
      </c>
      <c r="D58" s="512" t="n">
        <v>0.04870039882881739</v>
      </c>
      <c r="E58" s="512" t="n">
        <v>0.1019071752293974</v>
      </c>
      <c r="F58" s="512" t="n">
        <v>0.2304143022567003</v>
      </c>
      <c r="G58" s="513" t="n">
        <v>0.7691461508463383</v>
      </c>
      <c r="H58" s="513" t="n">
        <v>0.952999839867837</v>
      </c>
      <c r="I58" s="512" t="n">
        <v>0.1002162908564535</v>
      </c>
      <c r="J58" s="512" t="n">
        <v>0.4080024492745911</v>
      </c>
      <c r="K58" s="512" t="n">
        <v>0.06569999999999999</v>
      </c>
      <c r="L58" s="512" t="n">
        <v>0.3223037966730864</v>
      </c>
      <c r="M58" s="512" t="n">
        <v>0.08375113361521942</v>
      </c>
      <c r="N58" s="513" t="n">
        <v>2.409261630067884</v>
      </c>
      <c r="O58" s="513" t="n">
        <v>0.6096048596238653</v>
      </c>
      <c r="P58" s="513" t="n">
        <v>7.580235518358163</v>
      </c>
      <c r="Q58" s="513" t="n">
        <v>12.03456681178561</v>
      </c>
      <c r="R58" s="513" t="n">
        <v>1.301592544900414</v>
      </c>
      <c r="S58" s="513" t="n">
        <v>38.63384348256543</v>
      </c>
      <c r="T58" s="512" t="n">
        <v>0.0627112568811023</v>
      </c>
      <c r="U58" s="512" t="n">
        <v>0.04187093160996477</v>
      </c>
      <c r="V58" s="512" t="n">
        <v>0.02218170643893345</v>
      </c>
      <c r="W58" s="512" t="n">
        <v>0.4371964659170376</v>
      </c>
      <c r="X58" s="512" t="n">
        <v>0.09628431334865412</v>
      </c>
      <c r="Y58" s="512" t="n">
        <v>0.512204592925453</v>
      </c>
      <c r="Z58" s="512" t="n">
        <v>0.512204592925453</v>
      </c>
      <c r="AA58" s="514" t="n">
        <v>0.04970367805212622</v>
      </c>
    </row>
    <row r="59" customFormat="1" s="112">
      <c r="A59" s="125" t="inlineStr">
        <is>
          <t>Packaging &amp; Container</t>
        </is>
      </c>
      <c r="B59" s="296" t="n">
        <v>438</v>
      </c>
      <c r="C59" s="512" t="n">
        <v>0.05407319402985073</v>
      </c>
      <c r="D59" s="512" t="n">
        <v>0.08236451753518798</v>
      </c>
      <c r="E59" s="512" t="n">
        <v>0.1068701867189833</v>
      </c>
      <c r="F59" s="512" t="n">
        <v>0.2261572388354412</v>
      </c>
      <c r="G59" s="513" t="n">
        <v>0.6111062559848243</v>
      </c>
      <c r="H59" s="513" t="n">
        <v>0.7788018325751739</v>
      </c>
      <c r="I59" s="512" t="n">
        <v>0.09026958464004242</v>
      </c>
      <c r="J59" s="512" t="n">
        <v>0.3308379531302539</v>
      </c>
      <c r="K59" s="512" t="n">
        <v>0.06569999999999999</v>
      </c>
      <c r="L59" s="512" t="n">
        <v>0.3239401577386014</v>
      </c>
      <c r="M59" s="512" t="n">
        <v>0.0769429701149191</v>
      </c>
      <c r="N59" s="513" t="n">
        <v>1.561315970330302</v>
      </c>
      <c r="O59" s="513" t="n">
        <v>1.452700219586107</v>
      </c>
      <c r="P59" s="513" t="n">
        <v>10.06629670570843</v>
      </c>
      <c r="Q59" s="513" t="n">
        <v>17.2005504393056</v>
      </c>
      <c r="R59" s="513" t="n">
        <v>1.903965261576328</v>
      </c>
      <c r="S59" s="513" t="n">
        <v>368.7025475502988</v>
      </c>
      <c r="T59" s="512" t="n">
        <v>0.1544468028789551</v>
      </c>
      <c r="U59" s="512" t="n">
        <v>0.06328556353999056</v>
      </c>
      <c r="V59" s="512" t="n">
        <v>0.02940152525481447</v>
      </c>
      <c r="W59" s="512" t="n">
        <v>0.3922916674448261</v>
      </c>
      <c r="X59" s="512" t="n">
        <v>0.1162395894435103</v>
      </c>
      <c r="Y59" s="512" t="n">
        <v>0.5069985689113533</v>
      </c>
      <c r="Z59" s="512" t="n">
        <v>0.5069985689113533</v>
      </c>
      <c r="AA59" s="514" t="n">
        <v>0.08369156687325101</v>
      </c>
    </row>
    <row r="60" customFormat="1" s="112">
      <c r="A60" s="125" t="inlineStr">
        <is>
          <t>Paper/Forest Products</t>
        </is>
      </c>
      <c r="B60" s="296" t="n">
        <v>269</v>
      </c>
      <c r="C60" s="512" t="n">
        <v>0.03171213636363637</v>
      </c>
      <c r="D60" s="512" t="n">
        <v>0.06987799539209932</v>
      </c>
      <c r="E60" s="512" t="n">
        <v>0.05272866685558862</v>
      </c>
      <c r="F60" s="512" t="n">
        <v>0.2053804529709837</v>
      </c>
      <c r="G60" s="513" t="n">
        <v>0.5869170186693181</v>
      </c>
      <c r="H60" s="513" t="n">
        <v>0.8664084913107887</v>
      </c>
      <c r="I60" s="512" t="n">
        <v>0.09527192485384603</v>
      </c>
      <c r="J60" s="512" t="n">
        <v>0.3431638315376204</v>
      </c>
      <c r="K60" s="512" t="n">
        <v>0.06569999999999999</v>
      </c>
      <c r="L60" s="512" t="n">
        <v>0.4510229955123151</v>
      </c>
      <c r="M60" s="512" t="n">
        <v>0.07446106315813819</v>
      </c>
      <c r="N60" s="513" t="n">
        <v>0.8733283412611578</v>
      </c>
      <c r="O60" s="513" t="n">
        <v>1.257442672098448</v>
      </c>
      <c r="P60" s="513" t="n">
        <v>9.390507281629812</v>
      </c>
      <c r="Q60" s="513" t="n">
        <v>17.42238353438877</v>
      </c>
      <c r="R60" s="513" t="n">
        <v>0.8391340044508875</v>
      </c>
      <c r="S60" s="513" t="n">
        <v>564.6642050149882</v>
      </c>
      <c r="T60" s="512" t="n">
        <v>0.2312724856598625</v>
      </c>
      <c r="U60" s="512" t="n">
        <v>0.100163451218125</v>
      </c>
      <c r="V60" s="512" t="n">
        <v>0.06456055436497996</v>
      </c>
      <c r="W60" s="512" t="n">
        <v>1.195000544574761</v>
      </c>
      <c r="X60" s="512" t="n">
        <v>0.03873481201204777</v>
      </c>
      <c r="Y60" s="512" t="n">
        <v>0.8928724648508355</v>
      </c>
      <c r="Z60" s="512" t="n">
        <v>0.8928724648508355</v>
      </c>
      <c r="AA60" s="514" t="n">
        <v>0.07074321381274189</v>
      </c>
    </row>
    <row r="61" customFormat="1" s="112">
      <c r="A61" s="125" t="inlineStr">
        <is>
          <t>Power</t>
        </is>
      </c>
      <c r="B61" s="296" t="n">
        <v>492</v>
      </c>
      <c r="C61" s="512" t="n">
        <v>0.09470596153846161</v>
      </c>
      <c r="D61" s="512" t="n">
        <v>0.1404612299406598</v>
      </c>
      <c r="E61" s="512" t="n">
        <v>0.07050906109597382</v>
      </c>
      <c r="F61" s="512" t="n">
        <v>0.2219302123348121</v>
      </c>
      <c r="G61" s="513" t="n">
        <v>0.4266485225974891</v>
      </c>
      <c r="H61" s="513" t="n">
        <v>0.7029482497612936</v>
      </c>
      <c r="I61" s="512" t="n">
        <v>0.08593834506136985</v>
      </c>
      <c r="J61" s="512" t="n">
        <v>0.2851559907405637</v>
      </c>
      <c r="K61" s="512" t="n">
        <v>0.0612</v>
      </c>
      <c r="L61" s="512" t="n">
        <v>0.4946160583783534</v>
      </c>
      <c r="M61" s="512" t="n">
        <v>0.06606814153702262</v>
      </c>
      <c r="N61" s="513" t="n">
        <v>0.6083593392909591</v>
      </c>
      <c r="O61" s="513" t="n">
        <v>2.242803124149623</v>
      </c>
      <c r="P61" s="513" t="n">
        <v>9.52122498089377</v>
      </c>
      <c r="Q61" s="513" t="n">
        <v>15.89437334936098</v>
      </c>
      <c r="R61" s="513" t="n">
        <v>1.309215672455964</v>
      </c>
      <c r="S61" s="513" t="n">
        <v>23.93712806727288</v>
      </c>
      <c r="T61" s="512" t="n">
        <v>0.04889477797980726</v>
      </c>
      <c r="U61" s="512" t="n">
        <v>0.1896266698542847</v>
      </c>
      <c r="V61" s="512" t="n">
        <v>0.1128212465214012</v>
      </c>
      <c r="W61" s="512" t="n">
        <v>1.074943114960906</v>
      </c>
      <c r="X61" s="512" t="n">
        <v>0.1042038620963393</v>
      </c>
      <c r="Y61" s="512" t="n">
        <v>0.5945260466001989</v>
      </c>
      <c r="Z61" s="512" t="n">
        <v>0.5945260466001989</v>
      </c>
      <c r="AA61" s="514" t="n">
        <v>0.1404434071462865</v>
      </c>
    </row>
    <row r="62" customFormat="1" s="112">
      <c r="A62" s="125" t="inlineStr">
        <is>
          <t>Precious Metals</t>
        </is>
      </c>
      <c r="B62" s="296" t="n">
        <v>823</v>
      </c>
      <c r="C62" s="512" t="n">
        <v>0.2316602732240436</v>
      </c>
      <c r="D62" s="512" t="n">
        <v>0.1267878215363298</v>
      </c>
      <c r="E62" s="512" t="n">
        <v>0.1026989401316818</v>
      </c>
      <c r="F62" s="512" t="n">
        <v>0.2755521803640288</v>
      </c>
      <c r="G62" s="513" t="n">
        <v>1.112227253112715</v>
      </c>
      <c r="H62" s="513" t="n">
        <v>1.173380883839877</v>
      </c>
      <c r="I62" s="512" t="n">
        <v>0.112800048467257</v>
      </c>
      <c r="J62" s="512" t="n">
        <v>0.7078952403894263</v>
      </c>
      <c r="K62" s="512" t="n">
        <v>0.0745</v>
      </c>
      <c r="L62" s="512" t="n">
        <v>0.1575158743424966</v>
      </c>
      <c r="M62" s="512" t="n">
        <v>0.1038076328341433</v>
      </c>
      <c r="N62" s="513" t="n">
        <v>0.8527895141853166</v>
      </c>
      <c r="O62" s="513" t="n">
        <v>2.313833283784029</v>
      </c>
      <c r="P62" s="513" t="n">
        <v>8.191244378046427</v>
      </c>
      <c r="Q62" s="513" t="n">
        <v>16.96132980837211</v>
      </c>
      <c r="R62" s="513" t="n">
        <v>1.659554082875337</v>
      </c>
      <c r="S62" s="513" t="n">
        <v>43.66829753111303</v>
      </c>
      <c r="T62" s="512" t="n">
        <v>0.1045200496032405</v>
      </c>
      <c r="U62" s="512" t="n">
        <v>0.1834254091581986</v>
      </c>
      <c r="V62" s="512" t="n">
        <v>0.08691699560346858</v>
      </c>
      <c r="W62" s="512" t="n">
        <v>1.139981390004475</v>
      </c>
      <c r="X62" s="512" t="n">
        <v>0.03301130425407585</v>
      </c>
      <c r="Y62" s="512" t="n">
        <v>1.5292432877624</v>
      </c>
      <c r="Z62" s="512" t="n">
        <v>1.5292432877624</v>
      </c>
      <c r="AA62" s="514" t="n">
        <v>0.1271977559018368</v>
      </c>
    </row>
    <row r="63" customFormat="1" s="112">
      <c r="A63" s="125" t="inlineStr">
        <is>
          <t>Publishing &amp; Newspapers</t>
        </is>
      </c>
      <c r="B63" s="296" t="n">
        <v>321</v>
      </c>
      <c r="C63" s="512" t="n">
        <v>0.01244481060606062</v>
      </c>
      <c r="D63" s="512" t="n">
        <v>0.07554716472672487</v>
      </c>
      <c r="E63" s="512" t="n">
        <v>0.1034344994606717</v>
      </c>
      <c r="F63" s="512" t="n">
        <v>0.1818283700421587</v>
      </c>
      <c r="G63" s="513" t="n">
        <v>0.8404531985008978</v>
      </c>
      <c r="H63" s="513" t="n">
        <v>0.8338346370959802</v>
      </c>
      <c r="I63" s="512" t="n">
        <v>0.09341195777818047</v>
      </c>
      <c r="J63" s="512" t="n">
        <v>0.3755346113481766</v>
      </c>
      <c r="K63" s="512" t="n">
        <v>0.06569999999999999</v>
      </c>
      <c r="L63" s="512" t="n">
        <v>0.1722552705331182</v>
      </c>
      <c r="M63" s="512" t="n">
        <v>0.08578423639878832</v>
      </c>
      <c r="N63" s="513" t="n">
        <v>1.645954658445394</v>
      </c>
      <c r="O63" s="513" t="n">
        <v>1.328496641887511</v>
      </c>
      <c r="P63" s="513" t="n">
        <v>10.16209480045483</v>
      </c>
      <c r="Q63" s="513" t="n">
        <v>16.33410413148988</v>
      </c>
      <c r="R63" s="513" t="n">
        <v>1.611467319885355</v>
      </c>
      <c r="S63" s="513" t="n">
        <v>40.61420519164698</v>
      </c>
      <c r="T63" s="512" t="n">
        <v>0.08415100551889458</v>
      </c>
      <c r="U63" s="512" t="n">
        <v>0.0361724151369375</v>
      </c>
      <c r="V63" s="512" t="n">
        <v>0.002684791684347779</v>
      </c>
      <c r="W63" s="512" t="n">
        <v>0.06237126560109434</v>
      </c>
      <c r="X63" s="512" t="n">
        <v>0.08810239588654906</v>
      </c>
      <c r="Y63" s="512" t="n">
        <v>0.6645051008166462</v>
      </c>
      <c r="Z63" s="512" t="n">
        <v>0.6645051008166462</v>
      </c>
      <c r="AA63" s="514" t="n">
        <v>0.07660190460993758</v>
      </c>
    </row>
    <row r="64" customFormat="1" s="112">
      <c r="A64" s="125" t="inlineStr">
        <is>
          <t>R.E.I.T.</t>
        </is>
      </c>
      <c r="B64" s="296" t="n">
        <v>650</v>
      </c>
      <c r="C64" s="512" t="n">
        <v>0.08566818548387094</v>
      </c>
      <c r="D64" s="512" t="n">
        <v>0.3111706437703476</v>
      </c>
      <c r="E64" s="512" t="n">
        <v>0.03460415465330588</v>
      </c>
      <c r="F64" s="512" t="n">
        <v>0.03301692565825981</v>
      </c>
      <c r="G64" s="513" t="n">
        <v>0.4945246453821004</v>
      </c>
      <c r="H64" s="513" t="n">
        <v>0.7873467984882381</v>
      </c>
      <c r="I64" s="512" t="n">
        <v>0.0907575021936784</v>
      </c>
      <c r="J64" s="512" t="n">
        <v>0.2518491232448875</v>
      </c>
      <c r="K64" s="512" t="n">
        <v>0.0612</v>
      </c>
      <c r="L64" s="512" t="n">
        <v>0.4571045474085962</v>
      </c>
      <c r="M64" s="512" t="n">
        <v>0.07019138939929383</v>
      </c>
      <c r="N64" s="513" t="n">
        <v>0.1205739955309024</v>
      </c>
      <c r="O64" s="513" t="n">
        <v>10.96376962247573</v>
      </c>
      <c r="P64" s="513" t="n">
        <v>20.05881850007929</v>
      </c>
      <c r="Q64" s="513" t="n">
        <v>33.07993368983288</v>
      </c>
      <c r="R64" s="513" t="n">
        <v>1.45614324862315</v>
      </c>
      <c r="S64" s="513" t="n">
        <v>36.7939803268287</v>
      </c>
      <c r="T64" s="512" t="n">
        <v>1.069664429672774</v>
      </c>
      <c r="U64" s="512" t="n">
        <v>0.04734848211351085</v>
      </c>
      <c r="V64" s="512" t="n">
        <v>-0.06985823211671999</v>
      </c>
      <c r="W64" s="512" t="n">
        <v>-0.2326542151867279</v>
      </c>
      <c r="X64" s="512" t="n">
        <v>0.03518749162884923</v>
      </c>
      <c r="Y64" s="512" t="n">
        <v>1.998598139485014</v>
      </c>
      <c r="Z64" s="512" t="n">
        <v>1.998598139485014</v>
      </c>
      <c r="AA64" s="514" t="n">
        <v>0.2934329893867503</v>
      </c>
    </row>
    <row r="65" customFormat="1" s="112">
      <c r="A65" s="125" t="inlineStr">
        <is>
          <t>Real Estate (Development)</t>
        </is>
      </c>
      <c r="B65" s="296" t="n">
        <v>879</v>
      </c>
      <c r="C65" s="512" t="n">
        <v>0.05772051209103836</v>
      </c>
      <c r="D65" s="512" t="n">
        <v>0.05513288161783046</v>
      </c>
      <c r="E65" s="512" t="n">
        <v>0.0211464491165572</v>
      </c>
      <c r="F65" s="512" t="n">
        <v>0.2968212668744724</v>
      </c>
      <c r="G65" s="513" t="n">
        <v>0.4321952750030903</v>
      </c>
      <c r="H65" s="513" t="n">
        <v>0.9372138252501093</v>
      </c>
      <c r="I65" s="512" t="n">
        <v>0.09931490942178124</v>
      </c>
      <c r="J65" s="512" t="n">
        <v>0.4123540130546617</v>
      </c>
      <c r="K65" s="512" t="n">
        <v>0.06569999999999999</v>
      </c>
      <c r="L65" s="512" t="n">
        <v>0.6742720749004402</v>
      </c>
      <c r="M65" s="512" t="n">
        <v>0.0654769365824206</v>
      </c>
      <c r="N65" s="513" t="n">
        <v>0.4531450560103187</v>
      </c>
      <c r="O65" s="513" t="n">
        <v>1.89012761286875</v>
      </c>
      <c r="P65" s="513" t="n">
        <v>14.91061392678339</v>
      </c>
      <c r="Q65" s="513" t="n">
        <v>24.78304314023075</v>
      </c>
      <c r="R65" s="513" t="n">
        <v>0.4900218720041644</v>
      </c>
      <c r="S65" s="513" t="n">
        <v>53.27971578094697</v>
      </c>
      <c r="T65" s="512" t="n">
        <v>3.245641632996061</v>
      </c>
      <c r="U65" s="512" t="n">
        <v>0.03077430220513581</v>
      </c>
      <c r="V65" s="512" t="n">
        <v>0.02082801674109877</v>
      </c>
      <c r="W65" s="512" t="n">
        <v>-3.670446296951757</v>
      </c>
      <c r="X65" s="512" t="n">
        <v>-0.01711622912280456</v>
      </c>
      <c r="Y65" s="512" t="n">
        <v>0.007090117908196717</v>
      </c>
      <c r="Z65" s="512" t="n">
        <v>0.007090117908196691</v>
      </c>
      <c r="AA65" s="514" t="n">
        <v>0.0548810512167145</v>
      </c>
    </row>
    <row r="66" customFormat="1" s="112">
      <c r="A66" s="125" t="inlineStr">
        <is>
          <t>Real Estate (General/Diversified)</t>
        </is>
      </c>
      <c r="B66" s="296" t="n">
        <v>309</v>
      </c>
      <c r="C66" s="512" t="n">
        <v>0.07175267441860465</v>
      </c>
      <c r="D66" s="512" t="n">
        <v>0.1486332896423503</v>
      </c>
      <c r="E66" s="512" t="n">
        <v>0.03542870514679378</v>
      </c>
      <c r="F66" s="512" t="n">
        <v>0.2725157764203402</v>
      </c>
      <c r="G66" s="513" t="n">
        <v>0.5277516629535361</v>
      </c>
      <c r="H66" s="513" t="n">
        <v>0.9453524190708004</v>
      </c>
      <c r="I66" s="512" t="n">
        <v>0.0997796231289427</v>
      </c>
      <c r="J66" s="512" t="n">
        <v>0.3176306571722835</v>
      </c>
      <c r="K66" s="512" t="n">
        <v>0.06569999999999999</v>
      </c>
      <c r="L66" s="512" t="n">
        <v>0.5546362818921262</v>
      </c>
      <c r="M66" s="512" t="n">
        <v>0.07168775961015815</v>
      </c>
      <c r="N66" s="513" t="n">
        <v>0.2699376089810857</v>
      </c>
      <c r="O66" s="513" t="n">
        <v>3.452341955869263</v>
      </c>
      <c r="P66" s="513" t="n">
        <v>13.78514821778298</v>
      </c>
      <c r="Q66" s="513" t="n">
        <v>20.44697597253071</v>
      </c>
      <c r="R66" s="513" t="n">
        <v>0.716367272664805</v>
      </c>
      <c r="S66" s="513" t="n">
        <v>29.2542097458327</v>
      </c>
      <c r="T66" s="512" t="n">
        <v>1.223140382850318</v>
      </c>
      <c r="U66" s="512" t="n">
        <v>0.08681382014953509</v>
      </c>
      <c r="V66" s="512" t="n">
        <v>0.071181742296746</v>
      </c>
      <c r="W66" s="512" t="n">
        <v>1.172685699963017</v>
      </c>
      <c r="X66" s="512" t="n">
        <v>0.02823096732070132</v>
      </c>
      <c r="Y66" s="512" t="n">
        <v>0.8970300032365812</v>
      </c>
      <c r="Z66" s="512" t="n">
        <v>0.8970300032365812</v>
      </c>
      <c r="AA66" s="514" t="n">
        <v>0.1546492154588396</v>
      </c>
    </row>
    <row r="67" customFormat="1" s="112">
      <c r="A67" s="125" t="inlineStr">
        <is>
          <t>Real Estate (Operations &amp; Services)</t>
        </is>
      </c>
      <c r="B67" s="296" t="n">
        <v>749</v>
      </c>
      <c r="C67" s="512" t="n">
        <v>0.07427590994371487</v>
      </c>
      <c r="D67" s="512" t="n">
        <v>0.1751034588207359</v>
      </c>
      <c r="E67" s="512" t="n">
        <v>0.04144747040045901</v>
      </c>
      <c r="F67" s="512" t="n">
        <v>0.2182428280650663</v>
      </c>
      <c r="G67" s="513" t="n">
        <v>0.5603549860848621</v>
      </c>
      <c r="H67" s="513" t="n">
        <v>0.881998397612396</v>
      </c>
      <c r="I67" s="512" t="n">
        <v>0.0961621085036678</v>
      </c>
      <c r="J67" s="512" t="n">
        <v>0.3596837963604526</v>
      </c>
      <c r="K67" s="512" t="n">
        <v>0.06569999999999999</v>
      </c>
      <c r="L67" s="512" t="n">
        <v>0.4778542445911017</v>
      </c>
      <c r="M67" s="512" t="n">
        <v>0.0736878356360734</v>
      </c>
      <c r="N67" s="513" t="n">
        <v>0.2640283736355531</v>
      </c>
      <c r="O67" s="513" t="n">
        <v>3.994794119647397</v>
      </c>
      <c r="P67" s="513" t="n">
        <v>16.68750493650936</v>
      </c>
      <c r="Q67" s="513" t="n">
        <v>20.40580240199837</v>
      </c>
      <c r="R67" s="513" t="n">
        <v>0.8964444972275748</v>
      </c>
      <c r="S67" s="513" t="n">
        <v>94.64720267040038</v>
      </c>
      <c r="T67" s="512" t="n">
        <v>0.2207877985375925</v>
      </c>
      <c r="U67" s="512" t="n">
        <v>0.02293893357113762</v>
      </c>
      <c r="V67" s="512" t="n">
        <v>0.03087732754433696</v>
      </c>
      <c r="W67" s="512" t="n">
        <v>0.2948218030859899</v>
      </c>
      <c r="X67" s="512" t="n">
        <v>-0.0004276127115410209</v>
      </c>
      <c r="Y67" s="512" t="n">
        <v>0.009063149645655473</v>
      </c>
      <c r="Z67" s="512" t="n">
        <v>0.009063149645655466</v>
      </c>
      <c r="AA67" s="514" t="n">
        <v>0.1793998223572801</v>
      </c>
    </row>
    <row r="68" customFormat="1" s="112">
      <c r="A68" s="125" t="inlineStr">
        <is>
          <t>Recreation</t>
        </is>
      </c>
      <c r="B68" s="296" t="n">
        <v>320</v>
      </c>
      <c r="C68" s="512" t="n">
        <v>0.04994612244897961</v>
      </c>
      <c r="D68" s="512" t="n">
        <v>0.1048325254085806</v>
      </c>
      <c r="E68" s="512" t="n">
        <v>0.09828012461097044</v>
      </c>
      <c r="F68" s="512" t="n">
        <v>0.2447049203175419</v>
      </c>
      <c r="G68" s="513" t="n">
        <v>0.9484442886385445</v>
      </c>
      <c r="H68" s="513" t="n">
        <v>1.066720254590019</v>
      </c>
      <c r="I68" s="512" t="n">
        <v>0.1067097265370901</v>
      </c>
      <c r="J68" s="512" t="n">
        <v>0.3660347727883388</v>
      </c>
      <c r="K68" s="512" t="n">
        <v>0.06569999999999999</v>
      </c>
      <c r="L68" s="512" t="n">
        <v>0.2424978996409959</v>
      </c>
      <c r="M68" s="512" t="n">
        <v>0.09274687533897666</v>
      </c>
      <c r="N68" s="513" t="n">
        <v>1.259054799367932</v>
      </c>
      <c r="O68" s="513" t="n">
        <v>2.017003503545542</v>
      </c>
      <c r="P68" s="513" t="n">
        <v>11.38696168001225</v>
      </c>
      <c r="Q68" s="513" t="n">
        <v>19.43234585894835</v>
      </c>
      <c r="R68" s="513" t="n">
        <v>2.522150411867047</v>
      </c>
      <c r="S68" s="513" t="n">
        <v>78.6687475906874</v>
      </c>
      <c r="T68" s="512" t="n">
        <v>0.1538972261657898</v>
      </c>
      <c r="U68" s="512" t="n">
        <v>0.06279515739288019</v>
      </c>
      <c r="V68" s="512" t="n">
        <v>0.03203300430426912</v>
      </c>
      <c r="W68" s="512" t="n">
        <v>0.288810018290435</v>
      </c>
      <c r="X68" s="512" t="n">
        <v>0.07825262786617852</v>
      </c>
      <c r="Y68" s="512" t="n">
        <v>0.5833095006590824</v>
      </c>
      <c r="Z68" s="512" t="n">
        <v>0.5833095006590824</v>
      </c>
      <c r="AA68" s="514" t="n">
        <v>0.0992410245346695</v>
      </c>
    </row>
    <row r="69" customFormat="1" s="112">
      <c r="A69" s="125" t="inlineStr">
        <is>
          <t>Reinsurance</t>
        </is>
      </c>
      <c r="B69" s="296" t="n">
        <v>33</v>
      </c>
      <c r="C69" s="512" t="n">
        <v>0.06018500000000002</v>
      </c>
      <c r="D69" s="512" t="n">
        <v>0.1273925579670741</v>
      </c>
      <c r="E69" s="512" t="n">
        <v>0.2024103574738493</v>
      </c>
      <c r="F69" s="512" t="n">
        <v>0.1319751636706322</v>
      </c>
      <c r="G69" s="513" t="n">
        <v>1.200909605120938</v>
      </c>
      <c r="H69" s="513" t="n">
        <v>1.195370543210625</v>
      </c>
      <c r="I69" s="512" t="n">
        <v>0.1140556580173267</v>
      </c>
      <c r="J69" s="512" t="n">
        <v>0.3140790807598063</v>
      </c>
      <c r="K69" s="512" t="n">
        <v>0.06569999999999999</v>
      </c>
      <c r="L69" s="512" t="n">
        <v>0.2013574251960103</v>
      </c>
      <c r="M69" s="512" t="n">
        <v>0.1009824873142167</v>
      </c>
      <c r="N69" s="513" t="n">
        <v>1.853261471246749</v>
      </c>
      <c r="O69" s="513" t="n">
        <v>0.9121997194300304</v>
      </c>
      <c r="P69" s="513" t="n">
        <v>9.853351280211657</v>
      </c>
      <c r="Q69" s="513" t="n">
        <v>7.161561197527308</v>
      </c>
      <c r="R69" s="513" t="n">
        <v>1.242381874426846</v>
      </c>
      <c r="S69" s="513" t="n">
        <v>7.533238512888166</v>
      </c>
      <c r="T69" s="512" t="n">
        <v>-0.6464235376069414</v>
      </c>
      <c r="U69" s="512" t="n">
        <v>0.001082445077598424</v>
      </c>
      <c r="V69" s="512" t="n">
        <v>0.005436687489382434</v>
      </c>
      <c r="W69" s="512" t="n">
        <v>0.1109844162211219</v>
      </c>
      <c r="X69" s="512" t="n">
        <v>0.1995703246338004</v>
      </c>
      <c r="Y69" s="512" t="n">
        <v>0.2566759305399446</v>
      </c>
      <c r="Z69" s="512" t="n">
        <v>0.2566759305399446</v>
      </c>
      <c r="AA69" s="514" t="n">
        <v>0.1273449990642002</v>
      </c>
    </row>
    <row r="70" customFormat="1" s="112">
      <c r="A70" s="125" t="inlineStr">
        <is>
          <t>Restaurant/Dining</t>
        </is>
      </c>
      <c r="B70" s="296" t="n">
        <v>401</v>
      </c>
      <c r="C70" s="512" t="n">
        <v>0.03456134482758625</v>
      </c>
      <c r="D70" s="512" t="n">
        <v>0.1040329952395078</v>
      </c>
      <c r="E70" s="512" t="n">
        <v>0.1498047806466248</v>
      </c>
      <c r="F70" s="512" t="n">
        <v>0.1896342847213431</v>
      </c>
      <c r="G70" s="513" t="n">
        <v>0.8135516955790292</v>
      </c>
      <c r="H70" s="513" t="n">
        <v>0.9244926369893237</v>
      </c>
      <c r="I70" s="512" t="n">
        <v>0.09858852957209038</v>
      </c>
      <c r="J70" s="512" t="n">
        <v>0.3370097335554411</v>
      </c>
      <c r="K70" s="512" t="n">
        <v>0.06569999999999999</v>
      </c>
      <c r="L70" s="512" t="n">
        <v>0.1911842056182664</v>
      </c>
      <c r="M70" s="512" t="n">
        <v>0.08913292782953733</v>
      </c>
      <c r="N70" s="513" t="n">
        <v>1.916437779933275</v>
      </c>
      <c r="O70" s="513" t="n">
        <v>2.772622539766317</v>
      </c>
      <c r="P70" s="513" t="n">
        <v>17.09469201688365</v>
      </c>
      <c r="Q70" s="513" t="n">
        <v>27.63793410620004</v>
      </c>
      <c r="R70" s="513" t="n">
        <v>10.08572554789184</v>
      </c>
      <c r="S70" s="513" t="n">
        <v>125.5940324072094</v>
      </c>
      <c r="T70" s="512" t="n">
        <v>-0.02522137590737389</v>
      </c>
      <c r="U70" s="512" t="n">
        <v>0.04557551711955683</v>
      </c>
      <c r="V70" s="512" t="n">
        <v>0.02272873548868911</v>
      </c>
      <c r="W70" s="512" t="n">
        <v>0.2875058666414019</v>
      </c>
      <c r="X70" s="512" t="n">
        <v>0.2902241259735708</v>
      </c>
      <c r="Y70" s="512" t="n">
        <v>0.6028349214565062</v>
      </c>
      <c r="Z70" s="512" t="n">
        <v>0.6028349214565062</v>
      </c>
      <c r="AA70" s="514" t="n">
        <v>0.09706697763499965</v>
      </c>
    </row>
    <row r="71" customFormat="1" s="112">
      <c r="A71" s="125" t="inlineStr">
        <is>
          <t>Retail (Automotive)</t>
        </is>
      </c>
      <c r="B71" s="296" t="n">
        <v>208</v>
      </c>
      <c r="C71" s="512" t="n">
        <v>0.06608078571428573</v>
      </c>
      <c r="D71" s="512" t="n">
        <v>0.05012435553065411</v>
      </c>
      <c r="E71" s="512" t="n">
        <v>0.1028758646959649</v>
      </c>
      <c r="F71" s="512" t="n">
        <v>0.2358945387301442</v>
      </c>
      <c r="G71" s="513" t="n">
        <v>0.6741820924391226</v>
      </c>
      <c r="H71" s="513" t="n">
        <v>0.9302921727911228</v>
      </c>
      <c r="I71" s="512" t="n">
        <v>0.09891968306637311</v>
      </c>
      <c r="J71" s="512" t="n">
        <v>0.365384427810218</v>
      </c>
      <c r="K71" s="512" t="n">
        <v>0.06569999999999999</v>
      </c>
      <c r="L71" s="512" t="n">
        <v>0.3717844602894967</v>
      </c>
      <c r="M71" s="512" t="n">
        <v>0.08040882364040822</v>
      </c>
      <c r="N71" s="513" t="n">
        <v>2.615546430447913</v>
      </c>
      <c r="O71" s="513" t="n">
        <v>0.8360007140361282</v>
      </c>
      <c r="P71" s="513" t="n">
        <v>11.8616395419738</v>
      </c>
      <c r="Q71" s="513" t="n">
        <v>17.18604658530392</v>
      </c>
      <c r="R71" s="513" t="n">
        <v>3.127673636774118</v>
      </c>
      <c r="S71" s="513" t="n">
        <v>81.11607075357556</v>
      </c>
      <c r="T71" s="512" t="n">
        <v>0.1161366399307738</v>
      </c>
      <c r="U71" s="512" t="n">
        <v>0.02132450140762931</v>
      </c>
      <c r="V71" s="512" t="n">
        <v>0.01656719498628506</v>
      </c>
      <c r="W71" s="512" t="n">
        <v>0.6441326788747836</v>
      </c>
      <c r="X71" s="512" t="n">
        <v>0.1840579660107366</v>
      </c>
      <c r="Y71" s="512" t="n">
        <v>0.2947680940994878</v>
      </c>
      <c r="Z71" s="512" t="n">
        <v>0.2947680940994878</v>
      </c>
      <c r="AA71" s="514" t="n">
        <v>0.04815828942347502</v>
      </c>
    </row>
    <row r="72" customFormat="1" s="112">
      <c r="A72" s="125" t="inlineStr">
        <is>
          <t>Retail (Building Supply)</t>
        </is>
      </c>
      <c r="B72" s="296" t="n">
        <v>117</v>
      </c>
      <c r="C72" s="512" t="n">
        <v>0.04441772151898734</v>
      </c>
      <c r="D72" s="512" t="n">
        <v>0.1065611516132138</v>
      </c>
      <c r="E72" s="512" t="n">
        <v>0.2461376398673357</v>
      </c>
      <c r="F72" s="512" t="n">
        <v>0.2430917724026759</v>
      </c>
      <c r="G72" s="513" t="n">
        <v>0.8505019178694755</v>
      </c>
      <c r="H72" s="513" t="n">
        <v>0.9765945052218301</v>
      </c>
      <c r="I72" s="512" t="n">
        <v>0.1015635462481665</v>
      </c>
      <c r="J72" s="512" t="n">
        <v>0.3411248159520811</v>
      </c>
      <c r="K72" s="512" t="n">
        <v>0.06569999999999999</v>
      </c>
      <c r="L72" s="512" t="n">
        <v>0.1847828698175237</v>
      </c>
      <c r="M72" s="512" t="n">
        <v>0.09187481009784054</v>
      </c>
      <c r="N72" s="513" t="n">
        <v>2.8469120837423</v>
      </c>
      <c r="O72" s="513" t="n">
        <v>2.107825907712949</v>
      </c>
      <c r="P72" s="513" t="n">
        <v>14.80987579975336</v>
      </c>
      <c r="Q72" s="513" t="n">
        <v>19.77964437650897</v>
      </c>
      <c r="R72" s="513" t="n">
        <v>19.11768176233563</v>
      </c>
      <c r="S72" s="513" t="n">
        <v>49.09335035729035</v>
      </c>
      <c r="T72" s="512" t="n">
        <v>0.08708499858731492</v>
      </c>
      <c r="U72" s="512" t="n">
        <v>0.02587699148629189</v>
      </c>
      <c r="V72" s="512" t="n">
        <v>0.05477444707113248</v>
      </c>
      <c r="W72" s="512" t="n">
        <v>0.62906203570821</v>
      </c>
      <c r="X72" s="512" t="n">
        <v>0.9921001879984631</v>
      </c>
      <c r="Y72" s="512" t="n">
        <v>0.5333408264813647</v>
      </c>
      <c r="Z72" s="512" t="n">
        <v>0.5333408264813647</v>
      </c>
      <c r="AA72" s="514" t="n">
        <v>0.1051645798586427</v>
      </c>
    </row>
    <row r="73" customFormat="1" s="112">
      <c r="A73" s="125" t="inlineStr">
        <is>
          <t>Retail (Distributors)</t>
        </is>
      </c>
      <c r="B73" s="296" t="n">
        <v>1038</v>
      </c>
      <c r="C73" s="512" t="n">
        <v>0.09791606958762891</v>
      </c>
      <c r="D73" s="512" t="n">
        <v>0.04928295149469039</v>
      </c>
      <c r="E73" s="512" t="n">
        <v>0.0799339959563239</v>
      </c>
      <c r="F73" s="512" t="n">
        <v>0.2311628838990899</v>
      </c>
      <c r="G73" s="513" t="n">
        <v>0.6214126804412217</v>
      </c>
      <c r="H73" s="513" t="n">
        <v>0.8201075345159564</v>
      </c>
      <c r="I73" s="512" t="n">
        <v>0.0926281402208611</v>
      </c>
      <c r="J73" s="512" t="n">
        <v>0.3676124393461729</v>
      </c>
      <c r="K73" s="512" t="n">
        <v>0.06569999999999999</v>
      </c>
      <c r="L73" s="512" t="n">
        <v>0.3671137302019578</v>
      </c>
      <c r="M73" s="512" t="n">
        <v>0.07665954457984886</v>
      </c>
      <c r="N73" s="513" t="n">
        <v>1.943673711701556</v>
      </c>
      <c r="O73" s="513" t="n">
        <v>0.8348356353188954</v>
      </c>
      <c r="P73" s="513" t="n">
        <v>12.08494991277169</v>
      </c>
      <c r="Q73" s="513" t="n">
        <v>16.18538359481047</v>
      </c>
      <c r="R73" s="513" t="n">
        <v>1.583978521599588</v>
      </c>
      <c r="S73" s="513" t="n">
        <v>81.82789179431978</v>
      </c>
      <c r="T73" s="512" t="n">
        <v>0.1654440143044575</v>
      </c>
      <c r="U73" s="512" t="n">
        <v>0.03100555130119276</v>
      </c>
      <c r="V73" s="512" t="n">
        <v>0.02791140877986211</v>
      </c>
      <c r="W73" s="512" t="n">
        <v>0.8570172906842205</v>
      </c>
      <c r="X73" s="512" t="n">
        <v>0.1248822737588899</v>
      </c>
      <c r="Y73" s="512" t="n">
        <v>0.4120966980240126</v>
      </c>
      <c r="Z73" s="512" t="n">
        <v>0.4120966980240126</v>
      </c>
      <c r="AA73" s="514" t="n">
        <v>0.04973450098466439</v>
      </c>
    </row>
    <row r="74" customFormat="1" s="112">
      <c r="A74" s="125" t="inlineStr">
        <is>
          <t>Retail (General)</t>
        </is>
      </c>
      <c r="B74" s="296" t="n">
        <v>253</v>
      </c>
      <c r="C74" s="512" t="n">
        <v>0.01939082901554403</v>
      </c>
      <c r="D74" s="512" t="n">
        <v>0.05924229691082409</v>
      </c>
      <c r="E74" s="512" t="n">
        <v>0.1013397261771892</v>
      </c>
      <c r="F74" s="512" t="n">
        <v>0.1912413265893995</v>
      </c>
      <c r="G74" s="513" t="n">
        <v>1.044558424622381</v>
      </c>
      <c r="H74" s="513" t="n">
        <v>1.104769773812101</v>
      </c>
      <c r="I74" s="512" t="n">
        <v>0.108882354084671</v>
      </c>
      <c r="J74" s="512" t="n">
        <v>0.3437613024921398</v>
      </c>
      <c r="K74" s="512" t="n">
        <v>0.06569999999999999</v>
      </c>
      <c r="L74" s="512" t="n">
        <v>0.1276937535478174</v>
      </c>
      <c r="M74" s="512" t="n">
        <v>0.1012524104474077</v>
      </c>
      <c r="N74" s="513" t="n">
        <v>2.72323533998247</v>
      </c>
      <c r="O74" s="513" t="n">
        <v>1.833014889385423</v>
      </c>
      <c r="P74" s="513" t="n">
        <v>17.20115172792498</v>
      </c>
      <c r="Q74" s="513" t="n">
        <v>31.51981023275394</v>
      </c>
      <c r="R74" s="513" t="n">
        <v>5.601453097562185</v>
      </c>
      <c r="S74" s="513" t="n">
        <v>89.06645505284209</v>
      </c>
      <c r="T74" s="512" t="n">
        <v>0.01502177114868565</v>
      </c>
      <c r="U74" s="512" t="n">
        <v>0.05110068332114653</v>
      </c>
      <c r="V74" s="512" t="n">
        <v>0.01728319881340636</v>
      </c>
      <c r="W74" s="512" t="n">
        <v>0.4032157838454432</v>
      </c>
      <c r="X74" s="512" t="n">
        <v>0.1809302180720614</v>
      </c>
      <c r="Y74" s="512" t="n">
        <v>0.1870138687949028</v>
      </c>
      <c r="Z74" s="512" t="n">
        <v>0.1870138687949028</v>
      </c>
      <c r="AA74" s="514" t="n">
        <v>0.05796713097762505</v>
      </c>
    </row>
    <row r="75" customFormat="1" s="112">
      <c r="A75" s="125" t="inlineStr">
        <is>
          <t>Retail (Grocery and Food)</t>
        </is>
      </c>
      <c r="B75" s="296" t="n">
        <v>204</v>
      </c>
      <c r="C75" s="512" t="n">
        <v>0.0600456603773585</v>
      </c>
      <c r="D75" s="512" t="n">
        <v>0.04024406289998626</v>
      </c>
      <c r="E75" s="512" t="n">
        <v>0.1078222457605617</v>
      </c>
      <c r="F75" s="512" t="n">
        <v>0.2488431199382506</v>
      </c>
      <c r="G75" s="513" t="n">
        <v>0.619685890020288</v>
      </c>
      <c r="H75" s="513" t="n">
        <v>0.7748288746225396</v>
      </c>
      <c r="I75" s="512" t="n">
        <v>0.09004272874094701</v>
      </c>
      <c r="J75" s="512" t="n">
        <v>0.3076379871583256</v>
      </c>
      <c r="K75" s="512" t="n">
        <v>0.06569999999999999</v>
      </c>
      <c r="L75" s="512" t="n">
        <v>0.3219432793061321</v>
      </c>
      <c r="M75" s="512" t="n">
        <v>0.07687129877863277</v>
      </c>
      <c r="N75" s="513" t="n">
        <v>3.570902236560504</v>
      </c>
      <c r="O75" s="513" t="n">
        <v>0.6444372587185917</v>
      </c>
      <c r="P75" s="513" t="n">
        <v>9.636517671162286</v>
      </c>
      <c r="Q75" s="513" t="n">
        <v>15.94376853160873</v>
      </c>
      <c r="R75" s="513" t="n">
        <v>2.49586358033218</v>
      </c>
      <c r="S75" s="513" t="n">
        <v>35.53027722271778</v>
      </c>
      <c r="T75" s="512" t="n">
        <v>-0.02501350483799873</v>
      </c>
      <c r="U75" s="512" t="n">
        <v>0.02857569102927809</v>
      </c>
      <c r="V75" s="512" t="n">
        <v>0.01092709861017801</v>
      </c>
      <c r="W75" s="512" t="n">
        <v>0.3604156139005465</v>
      </c>
      <c r="X75" s="512" t="n">
        <v>0.1104058137541288</v>
      </c>
      <c r="Y75" s="512" t="n">
        <v>0.5955179671666571</v>
      </c>
      <c r="Z75" s="512" t="n">
        <v>0.5955179671666571</v>
      </c>
      <c r="AA75" s="514" t="n">
        <v>0.03845620029910794</v>
      </c>
    </row>
    <row r="76" customFormat="1" s="112">
      <c r="A76" s="125" t="inlineStr">
        <is>
          <t>Retail (REITs)</t>
        </is>
      </c>
      <c r="B76" s="296" t="n">
        <v>121</v>
      </c>
      <c r="C76" s="512" t="n">
        <v>0.08284762376237627</v>
      </c>
      <c r="D76" s="512" t="n">
        <v>0.5001065282249229</v>
      </c>
      <c r="E76" s="512" t="n">
        <v>0.04800161793927835</v>
      </c>
      <c r="F76" s="512" t="n">
        <v>0.04486548628619145</v>
      </c>
      <c r="G76" s="513" t="n">
        <v>0.639896428640752</v>
      </c>
      <c r="H76" s="513" t="n">
        <v>0.974888176214587</v>
      </c>
      <c r="I76" s="512" t="n">
        <v>0.1014661148618529</v>
      </c>
      <c r="J76" s="512" t="n">
        <v>0.2023429927134378</v>
      </c>
      <c r="K76" s="512" t="n">
        <v>0.0612</v>
      </c>
      <c r="L76" s="512" t="n">
        <v>0.4330431695955872</v>
      </c>
      <c r="M76" s="512" t="n">
        <v>0.07734528342760932</v>
      </c>
      <c r="N76" s="513" t="n">
        <v>0.1021370789107221</v>
      </c>
      <c r="O76" s="513" t="n">
        <v>11.51160471609185</v>
      </c>
      <c r="P76" s="513" t="n">
        <v>17.29920246273226</v>
      </c>
      <c r="Q76" s="513" t="n">
        <v>21.39258028271672</v>
      </c>
      <c r="R76" s="513" t="n">
        <v>1.184426488337337</v>
      </c>
      <c r="S76" s="513" t="n">
        <v>81.25625737032763</v>
      </c>
      <c r="T76" s="512" t="n">
        <v>-0.01381452151039267</v>
      </c>
      <c r="U76" s="512" t="n">
        <v>0.03007009009884399</v>
      </c>
      <c r="V76" s="512" t="n">
        <v>-0.05087973237063963</v>
      </c>
      <c r="W76" s="512" t="n">
        <v>-0.09163757152396231</v>
      </c>
      <c r="X76" s="512" t="n">
        <v>0.04043734976178894</v>
      </c>
      <c r="Y76" s="512" t="n">
        <v>1.562077291161109</v>
      </c>
      <c r="Z76" s="512" t="n">
        <v>1.562077291161109</v>
      </c>
      <c r="AA76" s="514" t="n">
        <v>0.4920281072585968</v>
      </c>
    </row>
    <row r="77" customFormat="1" s="112">
      <c r="A77" s="125" t="inlineStr">
        <is>
          <t>Retail (Special Lines)</t>
        </is>
      </c>
      <c r="B77" s="296" t="n">
        <v>633</v>
      </c>
      <c r="C77" s="512" t="n">
        <v>0.05541662763466047</v>
      </c>
      <c r="D77" s="512" t="n">
        <v>0.05890805839097781</v>
      </c>
      <c r="E77" s="512" t="n">
        <v>0.1470399885066467</v>
      </c>
      <c r="F77" s="512" t="n">
        <v>0.2471304524677494</v>
      </c>
      <c r="G77" s="513" t="n">
        <v>0.9619087443665812</v>
      </c>
      <c r="H77" s="513" t="n">
        <v>1.05989130693448</v>
      </c>
      <c r="I77" s="512" t="n">
        <v>0.1063197936259588</v>
      </c>
      <c r="J77" s="512" t="n">
        <v>0.3981427469667038</v>
      </c>
      <c r="K77" s="512" t="n">
        <v>0.06569999999999999</v>
      </c>
      <c r="L77" s="512" t="n">
        <v>0.1932196177111019</v>
      </c>
      <c r="M77" s="512" t="n">
        <v>0.09526969244559839</v>
      </c>
      <c r="N77" s="513" t="n">
        <v>2.958376651218154</v>
      </c>
      <c r="O77" s="513" t="n">
        <v>1.194972977717833</v>
      </c>
      <c r="P77" s="513" t="n">
        <v>11.88975663307345</v>
      </c>
      <c r="Q77" s="513" t="n">
        <v>19.43391330452775</v>
      </c>
      <c r="R77" s="513" t="n">
        <v>3.917883922744967</v>
      </c>
      <c r="S77" s="513" t="n">
        <v>39.73925532516115</v>
      </c>
      <c r="T77" s="512" t="n">
        <v>0.06693670426086686</v>
      </c>
      <c r="U77" s="512" t="n">
        <v>0.02203185383401491</v>
      </c>
      <c r="V77" s="512" t="n">
        <v>0.001241304877115251</v>
      </c>
      <c r="W77" s="512" t="n">
        <v>0.06873217660316387</v>
      </c>
      <c r="X77" s="512" t="n">
        <v>0.1091415799894044</v>
      </c>
      <c r="Y77" s="512" t="n">
        <v>0.5835206099037102</v>
      </c>
      <c r="Z77" s="512" t="n">
        <v>0.5835206099037102</v>
      </c>
      <c r="AA77" s="514" t="n">
        <v>0.06026471746132379</v>
      </c>
    </row>
    <row r="78" customFormat="1" s="112">
      <c r="A78" s="125" t="inlineStr">
        <is>
          <t>Rubber&amp; Tires</t>
        </is>
      </c>
      <c r="B78" s="296" t="n">
        <v>92</v>
      </c>
      <c r="C78" s="512" t="n">
        <v>0.06180455696202532</v>
      </c>
      <c r="D78" s="512" t="n">
        <v>0.1041946189710417</v>
      </c>
      <c r="E78" s="512" t="n">
        <v>0.1003058991148604</v>
      </c>
      <c r="F78" s="512" t="n">
        <v>0.2380629281392605</v>
      </c>
      <c r="G78" s="513" t="n">
        <v>0.7622642218288536</v>
      </c>
      <c r="H78" s="513" t="n">
        <v>0.9130420368678229</v>
      </c>
      <c r="I78" s="512" t="n">
        <v>0.09793470030515269</v>
      </c>
      <c r="J78" s="512" t="n">
        <v>0.3044724668030684</v>
      </c>
      <c r="K78" s="512" t="n">
        <v>0.06569999999999999</v>
      </c>
      <c r="L78" s="512" t="n">
        <v>0.3134426973667879</v>
      </c>
      <c r="M78" s="512" t="n">
        <v>0.08263736758096872</v>
      </c>
      <c r="N78" s="513" t="n">
        <v>1.292148093164426</v>
      </c>
      <c r="O78" s="513" t="n">
        <v>0.937452678036485</v>
      </c>
      <c r="P78" s="513" t="n">
        <v>5.726002461136792</v>
      </c>
      <c r="Q78" s="513" t="n">
        <v>8.938518104009537</v>
      </c>
      <c r="R78" s="513" t="n">
        <v>1.072331173085958</v>
      </c>
      <c r="S78" s="513" t="n">
        <v>22.0085509055484</v>
      </c>
      <c r="T78" s="512" t="n">
        <v>0.2329929488526439</v>
      </c>
      <c r="U78" s="512" t="n">
        <v>0.06890632025380106</v>
      </c>
      <c r="V78" s="512" t="n">
        <v>0.03350593330649226</v>
      </c>
      <c r="W78" s="512" t="n">
        <v>0.5295842969680905</v>
      </c>
      <c r="X78" s="512" t="n">
        <v>0.1010708199490565</v>
      </c>
      <c r="Y78" s="512" t="n">
        <v>0.3947659498802146</v>
      </c>
      <c r="Z78" s="512" t="n">
        <v>0.3947659498802146</v>
      </c>
      <c r="AA78" s="514" t="n">
        <v>0.1035723354397939</v>
      </c>
    </row>
    <row r="79" customFormat="1" s="112">
      <c r="A79" s="125" t="inlineStr">
        <is>
          <t>Semiconductor</t>
        </is>
      </c>
      <c r="B79" s="296" t="n">
        <v>665</v>
      </c>
      <c r="C79" s="512" t="n">
        <v>0.07738432835820887</v>
      </c>
      <c r="D79" s="512" t="n">
        <v>0.2134289280258619</v>
      </c>
      <c r="E79" s="512" t="n">
        <v>0.1591364723497103</v>
      </c>
      <c r="F79" s="512" t="n">
        <v>0.1472849480179872</v>
      </c>
      <c r="G79" s="513" t="n">
        <v>1.661407613998783</v>
      </c>
      <c r="H79" s="513" t="n">
        <v>1.678255972886812</v>
      </c>
      <c r="I79" s="512" t="n">
        <v>0.141628416051837</v>
      </c>
      <c r="J79" s="512" t="n">
        <v>0.4227354225158977</v>
      </c>
      <c r="K79" s="512" t="n">
        <v>0.06569999999999999</v>
      </c>
      <c r="L79" s="512" t="n">
        <v>0.05557689702252343</v>
      </c>
      <c r="M79" s="512" t="n">
        <v>0.1364876666735501</v>
      </c>
      <c r="N79" s="513" t="n">
        <v>1.092679435112814</v>
      </c>
      <c r="O79" s="513" t="n">
        <v>8.708991582214495</v>
      </c>
      <c r="P79" s="513" t="n">
        <v>24.78669820792039</v>
      </c>
      <c r="Q79" s="513" t="n">
        <v>39.72162889779928</v>
      </c>
      <c r="R79" s="513" t="n">
        <v>7.091193528572203</v>
      </c>
      <c r="S79" s="513" t="n">
        <v>137.2049250745923</v>
      </c>
      <c r="T79" s="512" t="n">
        <v>0.156131897008927</v>
      </c>
      <c r="U79" s="512" t="n">
        <v>0.1667449737217072</v>
      </c>
      <c r="V79" s="512" t="n">
        <v>0.1171959426596447</v>
      </c>
      <c r="W79" s="512" t="n">
        <v>0.7822345638055896</v>
      </c>
      <c r="X79" s="512" t="n">
        <v>0.1537207832005421</v>
      </c>
      <c r="Y79" s="512" t="n">
        <v>0.3849747107301451</v>
      </c>
      <c r="Z79" s="512" t="n">
        <v>0.3849747107301451</v>
      </c>
      <c r="AA79" s="514" t="n">
        <v>0.2230499819659656</v>
      </c>
    </row>
    <row r="80" customFormat="1" s="112">
      <c r="A80" s="125" t="inlineStr">
        <is>
          <t>Semiconductor Equip</t>
        </is>
      </c>
      <c r="B80" s="296" t="n">
        <v>375</v>
      </c>
      <c r="C80" s="512" t="n">
        <v>0.09643841328413284</v>
      </c>
      <c r="D80" s="512" t="n">
        <v>0.1864860855722662</v>
      </c>
      <c r="E80" s="512" t="n">
        <v>0.1681612582174975</v>
      </c>
      <c r="F80" s="512" t="n">
        <v>0.1632729299459991</v>
      </c>
      <c r="G80" s="513" t="n">
        <v>2.024574943734371</v>
      </c>
      <c r="H80" s="513" t="n">
        <v>2.018834184990737</v>
      </c>
      <c r="I80" s="512" t="n">
        <v>0.1610754319629711</v>
      </c>
      <c r="J80" s="512" t="n">
        <v>0.4385096135203445</v>
      </c>
      <c r="K80" s="512" t="n">
        <v>0.06569999999999999</v>
      </c>
      <c r="L80" s="512" t="n">
        <v>0.07008560646376134</v>
      </c>
      <c r="M80" s="512" t="n">
        <v>0.1532297007123775</v>
      </c>
      <c r="N80" s="513" t="n">
        <v>1.334711052402637</v>
      </c>
      <c r="O80" s="513" t="n">
        <v>4.788955766357449</v>
      </c>
      <c r="P80" s="513" t="n">
        <v>19.05505098110249</v>
      </c>
      <c r="Q80" s="513" t="n">
        <v>25.04512673421263</v>
      </c>
      <c r="R80" s="513" t="n">
        <v>4.964783270483776</v>
      </c>
      <c r="S80" s="513" t="n">
        <v>62.22820542390951</v>
      </c>
      <c r="T80" s="512" t="n">
        <v>0.3492796829132233</v>
      </c>
      <c r="U80" s="512" t="n">
        <v>0.1013150204340442</v>
      </c>
      <c r="V80" s="512" t="n">
        <v>0.07145248710624737</v>
      </c>
      <c r="W80" s="512" t="n">
        <v>0.7925123576440898</v>
      </c>
      <c r="X80" s="512" t="n">
        <v>0.1839524271594725</v>
      </c>
      <c r="Y80" s="512" t="n">
        <v>0.3692655405261411</v>
      </c>
      <c r="Z80" s="512" t="n">
        <v>0.3692655405261411</v>
      </c>
      <c r="AA80" s="514" t="n">
        <v>0.1946416981491094</v>
      </c>
    </row>
    <row r="81" customFormat="1" s="112">
      <c r="A81" s="125" t="inlineStr">
        <is>
          <t>Shipbuilding &amp; Marine</t>
        </is>
      </c>
      <c r="B81" s="296" t="n">
        <v>357</v>
      </c>
      <c r="C81" s="512" t="n">
        <v>0.09890581881533098</v>
      </c>
      <c r="D81" s="512" t="n">
        <v>0.1456287756982192</v>
      </c>
      <c r="E81" s="512" t="n">
        <v>0.0952899796758431</v>
      </c>
      <c r="F81" s="512" t="n">
        <v>0.1386802569025135</v>
      </c>
      <c r="G81" s="513" t="n">
        <v>0.7506806238343013</v>
      </c>
      <c r="H81" s="513" t="n">
        <v>0.8366730815879405</v>
      </c>
      <c r="I81" s="512" t="n">
        <v>0.09357403295867139</v>
      </c>
      <c r="J81" s="512" t="n">
        <v>0.3438589092487638</v>
      </c>
      <c r="K81" s="512" t="n">
        <v>0.06569999999999999</v>
      </c>
      <c r="L81" s="512" t="n">
        <v>0.3036986179520979</v>
      </c>
      <c r="M81" s="512" t="n">
        <v>0.08007658127426966</v>
      </c>
      <c r="N81" s="513" t="n">
        <v>0.7460415988430965</v>
      </c>
      <c r="O81" s="513" t="n">
        <v>1.563162897903352</v>
      </c>
      <c r="P81" s="513" t="n">
        <v>7.226344141112483</v>
      </c>
      <c r="Q81" s="513" t="n">
        <v>10.40651987386487</v>
      </c>
      <c r="R81" s="513" t="n">
        <v>0.9509744539076272</v>
      </c>
      <c r="S81" s="513" t="n">
        <v>26.43495318106245</v>
      </c>
      <c r="T81" s="512" t="n">
        <v>-0.002094663026314268</v>
      </c>
      <c r="U81" s="512" t="n">
        <v>0.1097348644882023</v>
      </c>
      <c r="V81" s="512" t="n">
        <v>0.0479781078209702</v>
      </c>
      <c r="W81" s="512" t="n">
        <v>0.5127862640843637</v>
      </c>
      <c r="X81" s="512" t="n">
        <v>0.1219280956986612</v>
      </c>
      <c r="Y81" s="512" t="n">
        <v>0.4505601336127409</v>
      </c>
      <c r="Z81" s="512" t="n">
        <v>0.4505601336127409</v>
      </c>
      <c r="AA81" s="514" t="n">
        <v>0.1480148369282353</v>
      </c>
    </row>
    <row r="82" customFormat="1" s="112">
      <c r="A82" s="125" t="inlineStr">
        <is>
          <t>Shoe</t>
        </is>
      </c>
      <c r="B82" s="296" t="n">
        <v>82</v>
      </c>
      <c r="C82" s="512" t="n">
        <v>-0.01184859375</v>
      </c>
      <c r="D82" s="512" t="n">
        <v>0.1110432622284035</v>
      </c>
      <c r="E82" s="512" t="n">
        <v>0.1867464447049137</v>
      </c>
      <c r="F82" s="512" t="n">
        <v>0.1901008196614992</v>
      </c>
      <c r="G82" s="513" t="n">
        <v>0.7518116101350905</v>
      </c>
      <c r="H82" s="513" t="n">
        <v>0.766209790964854</v>
      </c>
      <c r="I82" s="512" t="n">
        <v>0.08955057906409317</v>
      </c>
      <c r="J82" s="512" t="n">
        <v>0.3683787066779569</v>
      </c>
      <c r="K82" s="512" t="n">
        <v>0.06569999999999999</v>
      </c>
      <c r="L82" s="512" t="n">
        <v>0.104973743112913</v>
      </c>
      <c r="M82" s="512" t="n">
        <v>0.08530752786886568</v>
      </c>
      <c r="N82" s="513" t="n">
        <v>2.063054907104521</v>
      </c>
      <c r="O82" s="513" t="n">
        <v>2.119130714823717</v>
      </c>
      <c r="P82" s="513" t="n">
        <v>14.60952929423535</v>
      </c>
      <c r="Q82" s="513" t="n">
        <v>18.74181784305706</v>
      </c>
      <c r="R82" s="513" t="n">
        <v>4.404379392393313</v>
      </c>
      <c r="S82" s="513" t="n">
        <v>49.04608236773148</v>
      </c>
      <c r="T82" s="512" t="n">
        <v>0.1936821865624138</v>
      </c>
      <c r="U82" s="512" t="n">
        <v>0.01402326660278373</v>
      </c>
      <c r="V82" s="512" t="n">
        <v>-0.007404685687047444</v>
      </c>
      <c r="W82" s="512" t="n">
        <v>-0.05006959663994291</v>
      </c>
      <c r="X82" s="512" t="n">
        <v>0.2080101698352004</v>
      </c>
      <c r="Y82" s="512" t="n">
        <v>0.3675676344734462</v>
      </c>
      <c r="Z82" s="512" t="n">
        <v>0.3675676344734462</v>
      </c>
      <c r="AA82" s="514" t="n">
        <v>0.111972293439516</v>
      </c>
    </row>
    <row r="83" customFormat="1" s="112">
      <c r="A83" s="125" t="inlineStr">
        <is>
          <t>Software (Entertainment)</t>
        </is>
      </c>
      <c r="B83" s="296" t="n">
        <v>311</v>
      </c>
      <c r="C83" s="512" t="n">
        <v>0.1296161170212766</v>
      </c>
      <c r="D83" s="512" t="n">
        <v>0.3005706765379933</v>
      </c>
      <c r="E83" s="512" t="n">
        <v>0.2155136928496224</v>
      </c>
      <c r="F83" s="512" t="n">
        <v>0.1601448215602503</v>
      </c>
      <c r="G83" s="513" t="n">
        <v>1.257199498103414</v>
      </c>
      <c r="H83" s="513" t="n">
        <v>1.260101111939436</v>
      </c>
      <c r="I83" s="512" t="n">
        <v>0.1177517734917418</v>
      </c>
      <c r="J83" s="512" t="n">
        <v>0.5291591166446696</v>
      </c>
      <c r="K83" s="512" t="n">
        <v>0.0682</v>
      </c>
      <c r="L83" s="512" t="n">
        <v>0.03700898330572983</v>
      </c>
      <c r="M83" s="512" t="n">
        <v>0.1152813567405987</v>
      </c>
      <c r="N83" s="513" t="n">
        <v>1.210819982098433</v>
      </c>
      <c r="O83" s="513" t="n">
        <v>6.625998304435553</v>
      </c>
      <c r="P83" s="513" t="n">
        <v>17.79794122383781</v>
      </c>
      <c r="Q83" s="513" t="n">
        <v>21.78929709686213</v>
      </c>
      <c r="R83" s="513" t="n">
        <v>6.20336349496695</v>
      </c>
      <c r="S83" s="513" t="n">
        <v>81.08414190587361</v>
      </c>
      <c r="T83" s="512" t="n">
        <v>0.01643653445137837</v>
      </c>
      <c r="U83" s="512" t="n">
        <v>0.1278521972417669</v>
      </c>
      <c r="V83" s="512" t="n">
        <v>0.09488675645353344</v>
      </c>
      <c r="W83" s="512" t="n">
        <v>0.4215383934177944</v>
      </c>
      <c r="X83" s="512" t="n">
        <v>0.2809801054045535</v>
      </c>
      <c r="Y83" s="512" t="n">
        <v>0.0836818043806024</v>
      </c>
      <c r="Z83" s="512" t="n">
        <v>0.08368180438060235</v>
      </c>
      <c r="AA83" s="514" t="n">
        <v>0.3105833818781535</v>
      </c>
    </row>
    <row r="84" customFormat="1" s="112">
      <c r="A84" s="125" t="inlineStr">
        <is>
          <t>Software (Internet)</t>
        </is>
      </c>
      <c r="B84" s="296" t="n">
        <v>147</v>
      </c>
      <c r="C84" s="512" t="n">
        <v>0.1387639999999999</v>
      </c>
      <c r="D84" s="512" t="n">
        <v>0.04859288553482768</v>
      </c>
      <c r="E84" s="512" t="n">
        <v>0.1353424236304706</v>
      </c>
      <c r="F84" s="512" t="n">
        <v>0.1360800774419946</v>
      </c>
      <c r="G84" s="513" t="n">
        <v>1.318329482155285</v>
      </c>
      <c r="H84" s="513" t="n">
        <v>1.370302206754265</v>
      </c>
      <c r="I84" s="512" t="n">
        <v>0.1240442560056685</v>
      </c>
      <c r="J84" s="512" t="n">
        <v>0.4904548708578877</v>
      </c>
      <c r="K84" s="512" t="n">
        <v>0.0682</v>
      </c>
      <c r="L84" s="512" t="n">
        <v>0.09550212624772073</v>
      </c>
      <c r="M84" s="512" t="n">
        <v>0.1170683704268593</v>
      </c>
      <c r="N84" s="513" t="n">
        <v>1.417135821120054</v>
      </c>
      <c r="O84" s="513" t="n">
        <v>6.006606904719914</v>
      </c>
      <c r="P84" s="513" t="n">
        <v>36.67183703007608</v>
      </c>
      <c r="Q84" s="513" t="n">
        <v>95.59569167889396</v>
      </c>
      <c r="R84" s="513" t="n">
        <v>8.096127234595507</v>
      </c>
      <c r="S84" s="513" t="n">
        <v>54.19840720169244</v>
      </c>
      <c r="T84" s="512" t="n">
        <v>0.05965559742004337</v>
      </c>
      <c r="U84" s="512" t="n">
        <v>0.07164938473559157</v>
      </c>
      <c r="V84" s="512" t="n">
        <v>1.886782144198121</v>
      </c>
      <c r="W84" s="512" t="n">
        <v>48.70743875150713</v>
      </c>
      <c r="X84" s="512" t="n">
        <v>0.03675910171257023</v>
      </c>
      <c r="Y84" s="512" t="n">
        <v>0.5031442641398015</v>
      </c>
      <c r="Z84" s="512" t="n">
        <v>0.5031442641398015</v>
      </c>
      <c r="AA84" s="514" t="n">
        <v>1.89933875321686</v>
      </c>
    </row>
    <row r="85" customFormat="1" s="112">
      <c r="A85" s="125" t="inlineStr">
        <is>
          <t>Software (System &amp; Application)</t>
        </is>
      </c>
      <c r="B85" s="296" t="n">
        <v>1567</v>
      </c>
      <c r="C85" s="512" t="n">
        <v>0.1266301997780244</v>
      </c>
      <c r="D85" s="512" t="n">
        <v>0.2352929923241261</v>
      </c>
      <c r="E85" s="512" t="n">
        <v>0.2155025330071699</v>
      </c>
      <c r="F85" s="512" t="n">
        <v>0.1828989098613117</v>
      </c>
      <c r="G85" s="513" t="n">
        <v>1.306290195038676</v>
      </c>
      <c r="H85" s="513" t="n">
        <v>1.322021788823716</v>
      </c>
      <c r="I85" s="512" t="n">
        <v>0.1212874441418342</v>
      </c>
      <c r="J85" s="512" t="n">
        <v>0.5182410676502874</v>
      </c>
      <c r="K85" s="512" t="n">
        <v>0.0682</v>
      </c>
      <c r="L85" s="512" t="n">
        <v>0.04738292708398446</v>
      </c>
      <c r="M85" s="512" t="n">
        <v>0.117957017405825</v>
      </c>
      <c r="N85" s="513" t="n">
        <v>1.72122762438247</v>
      </c>
      <c r="O85" s="513" t="n">
        <v>9.949708907005416</v>
      </c>
      <c r="P85" s="513" t="n">
        <v>28.17549949869055</v>
      </c>
      <c r="Q85" s="513" t="n">
        <v>38.9169595641231</v>
      </c>
      <c r="R85" s="513" t="n">
        <v>9.355734821455885</v>
      </c>
      <c r="S85" s="513" t="n">
        <v>126.9044492188733</v>
      </c>
      <c r="T85" s="512" t="n">
        <v>0.11839954050266</v>
      </c>
      <c r="U85" s="512" t="n">
        <v>0.09893182940943189</v>
      </c>
      <c r="V85" s="512" t="n">
        <v>0.1682762896582041</v>
      </c>
      <c r="W85" s="512" t="n">
        <v>0.9445904808338665</v>
      </c>
      <c r="X85" s="512" t="n">
        <v>0.1999719233392552</v>
      </c>
      <c r="Y85" s="512" t="n">
        <v>0.2923830103788895</v>
      </c>
      <c r="Z85" s="512" t="n">
        <v>0.2923830103788896</v>
      </c>
      <c r="AA85" s="514" t="n">
        <v>0.2485555047805545</v>
      </c>
    </row>
    <row r="86" customFormat="1" s="112">
      <c r="A86" s="125" t="inlineStr">
        <is>
          <t>Steel</t>
        </is>
      </c>
      <c r="B86" s="296" t="n">
        <v>727</v>
      </c>
      <c r="C86" s="512" t="n">
        <v>0.08867734729493887</v>
      </c>
      <c r="D86" s="512" t="n">
        <v>0.05588964379870377</v>
      </c>
      <c r="E86" s="512" t="n">
        <v>0.06714366561929556</v>
      </c>
      <c r="F86" s="512" t="n">
        <v>0.2230562429271802</v>
      </c>
      <c r="G86" s="513" t="n">
        <v>0.9368976981171875</v>
      </c>
      <c r="H86" s="513" t="n">
        <v>1.150316432369312</v>
      </c>
      <c r="I86" s="512" t="n">
        <v>0.1114830682882877</v>
      </c>
      <c r="J86" s="512" t="n">
        <v>0.3647609307279481</v>
      </c>
      <c r="K86" s="512" t="n">
        <v>0.06569999999999999</v>
      </c>
      <c r="L86" s="512" t="n">
        <v>0.3491864839517607</v>
      </c>
      <c r="M86" s="512" t="n">
        <v>0.08971038023487914</v>
      </c>
      <c r="N86" s="513" t="n">
        <v>1.414940928065829</v>
      </c>
      <c r="O86" s="513" t="n">
        <v>0.7378165646184713</v>
      </c>
      <c r="P86" s="513" t="n">
        <v>6.733376406499652</v>
      </c>
      <c r="Q86" s="513" t="n">
        <v>12.41654238966398</v>
      </c>
      <c r="R86" s="513" t="n">
        <v>0.8866040261597283</v>
      </c>
      <c r="S86" s="513" t="n">
        <v>40.6154948930657</v>
      </c>
      <c r="T86" s="512" t="n">
        <v>0.145734352559631</v>
      </c>
      <c r="U86" s="512" t="n">
        <v>0.06920970793009786</v>
      </c>
      <c r="V86" s="512" t="n">
        <v>0.04405337669589425</v>
      </c>
      <c r="W86" s="512" t="n">
        <v>1.148956734332009</v>
      </c>
      <c r="X86" s="512" t="n">
        <v>0.05817759911574916</v>
      </c>
      <c r="Y86" s="512" t="n">
        <v>0.7626058118067116</v>
      </c>
      <c r="Z86" s="512" t="n">
        <v>0.7626058118067116</v>
      </c>
      <c r="AA86" s="514" t="n">
        <v>0.05653804644097683</v>
      </c>
    </row>
    <row r="87" customFormat="1" s="112">
      <c r="A87" s="125" t="inlineStr">
        <is>
          <t>Telecom (Wireless)</t>
        </is>
      </c>
      <c r="B87" s="296" t="n">
        <v>98</v>
      </c>
      <c r="C87" s="512" t="n">
        <v>0.06572124999999999</v>
      </c>
      <c r="D87" s="512" t="n">
        <v>0.1504256110533277</v>
      </c>
      <c r="E87" s="512" t="n">
        <v>0.09125758201669891</v>
      </c>
      <c r="F87" s="512" t="n">
        <v>0.2057394131650504</v>
      </c>
      <c r="G87" s="513" t="n">
        <v>0.6677029437691795</v>
      </c>
      <c r="H87" s="513" t="n">
        <v>0.8966865208041107</v>
      </c>
      <c r="I87" s="512" t="n">
        <v>0.09700080033791472</v>
      </c>
      <c r="J87" s="512" t="n">
        <v>0.2979439172230527</v>
      </c>
      <c r="K87" s="512" t="n">
        <v>0.0612</v>
      </c>
      <c r="L87" s="512" t="n">
        <v>0.3717635077285821</v>
      </c>
      <c r="M87" s="512" t="n">
        <v>0.07795333331787305</v>
      </c>
      <c r="N87" s="513" t="n">
        <v>0.7327045130572793</v>
      </c>
      <c r="O87" s="513" t="n">
        <v>2.416483439592481</v>
      </c>
      <c r="P87" s="513" t="n">
        <v>7.936894151214051</v>
      </c>
      <c r="Q87" s="513" t="n">
        <v>16.18033477434827</v>
      </c>
      <c r="R87" s="513" t="n">
        <v>1.67383663047263</v>
      </c>
      <c r="S87" s="513" t="n">
        <v>37.22539964670565</v>
      </c>
      <c r="T87" s="512" t="n">
        <v>-0.1194451470178758</v>
      </c>
      <c r="U87" s="512" t="n">
        <v>0.14227790591002</v>
      </c>
      <c r="V87" s="512" t="n">
        <v>0.004436514397926499</v>
      </c>
      <c r="W87" s="512" t="n">
        <v>0.2321474878903057</v>
      </c>
      <c r="X87" s="512" t="n">
        <v>0.1214491974487228</v>
      </c>
      <c r="Y87" s="512" t="n">
        <v>0.5651423003823961</v>
      </c>
      <c r="Z87" s="512" t="n">
        <v>0.5651423003823961</v>
      </c>
      <c r="AA87" s="514" t="n">
        <v>0.1546019901495971</v>
      </c>
    </row>
    <row r="88" customFormat="1" s="112">
      <c r="A88" s="125" t="inlineStr">
        <is>
          <t>Telecom. Equipment</t>
        </is>
      </c>
      <c r="B88" s="296" t="n">
        <v>440</v>
      </c>
      <c r="C88" s="512" t="n">
        <v>0.03249771739130435</v>
      </c>
      <c r="D88" s="512" t="n">
        <v>0.1003418947452708</v>
      </c>
      <c r="E88" s="512" t="n">
        <v>0.1150888135688252</v>
      </c>
      <c r="F88" s="512" t="n">
        <v>0.1331589425515209</v>
      </c>
      <c r="G88" s="513" t="n">
        <v>1.16579427862056</v>
      </c>
      <c r="H88" s="513" t="n">
        <v>1.194848437320267</v>
      </c>
      <c r="I88" s="512" t="n">
        <v>0.1140258457709872</v>
      </c>
      <c r="J88" s="512" t="n">
        <v>0.4511005471051283</v>
      </c>
      <c r="K88" s="512" t="n">
        <v>0.0682</v>
      </c>
      <c r="L88" s="512" t="n">
        <v>0.1171775657146383</v>
      </c>
      <c r="M88" s="512" t="n">
        <v>0.1066406258993341</v>
      </c>
      <c r="N88" s="513" t="n">
        <v>2.133449316551066</v>
      </c>
      <c r="O88" s="513" t="n">
        <v>3.124919751515503</v>
      </c>
      <c r="P88" s="513" t="n">
        <v>19.59489330793928</v>
      </c>
      <c r="Q88" s="513" t="n">
        <v>28.77849391695484</v>
      </c>
      <c r="R88" s="513" t="n">
        <v>1.453720569488527</v>
      </c>
      <c r="S88" s="513" t="n">
        <v>1214.147126668584</v>
      </c>
      <c r="T88" s="512" t="n">
        <v>0.2309655917835375</v>
      </c>
      <c r="U88" s="512" t="n">
        <v>0.03140360804582742</v>
      </c>
      <c r="V88" s="512" t="n">
        <v>0.113824999992014</v>
      </c>
      <c r="W88" s="512" t="n">
        <v>1.118233662094995</v>
      </c>
      <c r="X88" s="512" t="n">
        <v>0.08701211123782261</v>
      </c>
      <c r="Y88" s="512" t="n">
        <v>0.7980208714108472</v>
      </c>
      <c r="Z88" s="512" t="n">
        <v>0.7980208714108472</v>
      </c>
      <c r="AA88" s="514" t="n">
        <v>0.1062806517326289</v>
      </c>
    </row>
    <row r="89" customFormat="1" s="112">
      <c r="A89" s="125" t="inlineStr">
        <is>
          <t>Telecom. Services</t>
        </is>
      </c>
      <c r="B89" s="296" t="n">
        <v>274</v>
      </c>
      <c r="C89" s="512" t="n">
        <v>0.09622234741784036</v>
      </c>
      <c r="D89" s="512" t="n">
        <v>0.1584993365699484</v>
      </c>
      <c r="E89" s="512" t="n">
        <v>0.09443635195896061</v>
      </c>
      <c r="F89" s="512" t="n">
        <v>0.2572917715967945</v>
      </c>
      <c r="G89" s="513" t="n">
        <v>0.56153373714287</v>
      </c>
      <c r="H89" s="513" t="n">
        <v>0.8550601614198708</v>
      </c>
      <c r="I89" s="512" t="n">
        <v>0.09462393521707463</v>
      </c>
      <c r="J89" s="512" t="n">
        <v>0.3595014226933627</v>
      </c>
      <c r="K89" s="512" t="n">
        <v>0.06569999999999999</v>
      </c>
      <c r="L89" s="512" t="n">
        <v>0.4439547655066988</v>
      </c>
      <c r="M89" s="512" t="n">
        <v>0.07442689009499344</v>
      </c>
      <c r="N89" s="513" t="n">
        <v>0.7069149298346922</v>
      </c>
      <c r="O89" s="513" t="n">
        <v>2.127035027737329</v>
      </c>
      <c r="P89" s="513" t="n">
        <v>6.591251748080409</v>
      </c>
      <c r="Q89" s="513" t="n">
        <v>13.15051140974644</v>
      </c>
      <c r="R89" s="513" t="n">
        <v>1.444247875615948</v>
      </c>
      <c r="S89" s="513" t="n">
        <v>31.7251055162019</v>
      </c>
      <c r="T89" s="512" t="n">
        <v>0.002494972503375732</v>
      </c>
      <c r="U89" s="512" t="n">
        <v>0.1396116010197613</v>
      </c>
      <c r="V89" s="512" t="n">
        <v>-0.02490411683419638</v>
      </c>
      <c r="W89" s="512" t="n">
        <v>-0.1704302189203261</v>
      </c>
      <c r="X89" s="512" t="n">
        <v>0.07173997369320387</v>
      </c>
      <c r="Y89" s="512" t="n">
        <v>1.040007505483598</v>
      </c>
      <c r="Z89" s="512" t="n">
        <v>1.040007505483598</v>
      </c>
      <c r="AA89" s="514" t="n">
        <v>0.1594038729179847</v>
      </c>
    </row>
    <row r="90" customFormat="1" s="112">
      <c r="A90" s="125" t="inlineStr">
        <is>
          <t>Tobacco</t>
        </is>
      </c>
      <c r="B90" s="296" t="n">
        <v>54</v>
      </c>
      <c r="C90" s="512" t="n">
        <v>0.3216951162790697</v>
      </c>
      <c r="D90" s="512" t="n">
        <v>0.318162035739244</v>
      </c>
      <c r="E90" s="512" t="n">
        <v>0.2107484517030525</v>
      </c>
      <c r="F90" s="512" t="n">
        <v>0.2134054239957402</v>
      </c>
      <c r="G90" s="513" t="n">
        <v>0.4281823452206098</v>
      </c>
      <c r="H90" s="513" t="n">
        <v>0.4991008376020947</v>
      </c>
      <c r="I90" s="512" t="n">
        <v>0.0742986578270796</v>
      </c>
      <c r="J90" s="512" t="n">
        <v>0.435071779899884</v>
      </c>
      <c r="K90" s="512" t="n">
        <v>0.06569999999999999</v>
      </c>
      <c r="L90" s="512" t="n">
        <v>0.2183644232874384</v>
      </c>
      <c r="M90" s="512" t="n">
        <v>0.06880281882338521</v>
      </c>
      <c r="N90" s="513" t="n">
        <v>0.8131276141902394</v>
      </c>
      <c r="O90" s="513" t="n">
        <v>3.811976834989089</v>
      </c>
      <c r="P90" s="513" t="n">
        <v>10.58571883795418</v>
      </c>
      <c r="Q90" s="513" t="n">
        <v>11.9448170729096</v>
      </c>
      <c r="R90" s="513" t="n">
        <v>4.324858735416174</v>
      </c>
      <c r="S90" s="513" t="n">
        <v>24.82542926820578</v>
      </c>
      <c r="T90" s="512" t="n">
        <v>0.1601531856081102</v>
      </c>
      <c r="U90" s="512" t="n">
        <v>0.03031681243343064</v>
      </c>
      <c r="V90" s="512" t="n">
        <v>-0.006124985589879158</v>
      </c>
      <c r="W90" s="512" t="n">
        <v>-0.01554790043416352</v>
      </c>
      <c r="X90" s="512" t="n">
        <v>0.1047431383359657</v>
      </c>
      <c r="Y90" s="512" t="n">
        <v>1.993381002888029</v>
      </c>
      <c r="Z90" s="512" t="n">
        <v>1.993381002888029</v>
      </c>
      <c r="AA90" s="514" t="n">
        <v>0.31851588612351</v>
      </c>
    </row>
    <row r="91" customFormat="1" s="112">
      <c r="A91" s="125" t="inlineStr">
        <is>
          <t>Transportation</t>
        </is>
      </c>
      <c r="B91" s="296" t="n">
        <v>446</v>
      </c>
      <c r="C91" s="512" t="n">
        <v>0.1139862337662337</v>
      </c>
      <c r="D91" s="512" t="n">
        <v>0.06678266624701394</v>
      </c>
      <c r="E91" s="512" t="n">
        <v>0.08771982267279026</v>
      </c>
      <c r="F91" s="512" t="n">
        <v>0.2196352934185786</v>
      </c>
      <c r="G91" s="513" t="n">
        <v>0.7080179718509676</v>
      </c>
      <c r="H91" s="513" t="n">
        <v>0.9208773980068596</v>
      </c>
      <c r="I91" s="512" t="n">
        <v>0.09838209942619169</v>
      </c>
      <c r="J91" s="512" t="n">
        <v>0.3542176323049625</v>
      </c>
      <c r="K91" s="512" t="n">
        <v>0.06569999999999999</v>
      </c>
      <c r="L91" s="512" t="n">
        <v>0.3591640175760828</v>
      </c>
      <c r="M91" s="512" t="n">
        <v>0.08069268273767208</v>
      </c>
      <c r="N91" s="513" t="n">
        <v>1.612314259021662</v>
      </c>
      <c r="O91" s="513" t="n">
        <v>1.229967056576973</v>
      </c>
      <c r="P91" s="513" t="n">
        <v>10.45563391803228</v>
      </c>
      <c r="Q91" s="513" t="n">
        <v>17.31466180013906</v>
      </c>
      <c r="R91" s="513" t="n">
        <v>1.901714276838743</v>
      </c>
      <c r="S91" s="513" t="n">
        <v>45.61218451016317</v>
      </c>
      <c r="T91" s="512" t="n">
        <v>0.03225227136514108</v>
      </c>
      <c r="U91" s="512" t="n">
        <v>0.04328254848549971</v>
      </c>
      <c r="V91" s="512" t="n">
        <v>0.01038876879659005</v>
      </c>
      <c r="W91" s="512" t="n">
        <v>0.3775356642662833</v>
      </c>
      <c r="X91" s="512" t="n">
        <v>0.1192041951026082</v>
      </c>
      <c r="Y91" s="512" t="n">
        <v>0.5543814785773705</v>
      </c>
      <c r="Z91" s="512" t="n">
        <v>0.5543814785773705</v>
      </c>
      <c r="AA91" s="514" t="n">
        <v>0.06730511186864416</v>
      </c>
    </row>
    <row r="92" customFormat="1" s="112">
      <c r="A92" s="125" t="inlineStr">
        <is>
          <t>Transportation (Railroads)</t>
        </is>
      </c>
      <c r="B92" s="296" t="n">
        <v>54</v>
      </c>
      <c r="C92" s="512" t="n">
        <v>0.00119222222222222</v>
      </c>
      <c r="D92" s="512" t="n">
        <v>0.2296815488406483</v>
      </c>
      <c r="E92" s="512" t="n">
        <v>0.0839752026313908</v>
      </c>
      <c r="F92" s="512" t="n">
        <v>0.2374990156186587</v>
      </c>
      <c r="G92" s="513" t="n">
        <v>0.61340248884171</v>
      </c>
      <c r="H92" s="513" t="n">
        <v>0.8009430350904613</v>
      </c>
      <c r="I92" s="512" t="n">
        <v>0.09153384730366534</v>
      </c>
      <c r="J92" s="512" t="n">
        <v>0.217961182275429</v>
      </c>
      <c r="K92" s="512" t="n">
        <v>0.0612</v>
      </c>
      <c r="L92" s="512" t="n">
        <v>0.325199268501528</v>
      </c>
      <c r="M92" s="512" t="n">
        <v>0.0766499687120919</v>
      </c>
      <c r="N92" s="513" t="n">
        <v>0.4635163254662434</v>
      </c>
      <c r="O92" s="513" t="n">
        <v>3.733593144665918</v>
      </c>
      <c r="P92" s="513" t="n">
        <v>11.00604077405667</v>
      </c>
      <c r="Q92" s="513" t="n">
        <v>15.99434821859079</v>
      </c>
      <c r="R92" s="513" t="n">
        <v>1.950665248513421</v>
      </c>
      <c r="S92" s="513" t="n">
        <v>24.63174444725123</v>
      </c>
      <c r="T92" s="512" t="n">
        <v>0.06244499224212902</v>
      </c>
      <c r="U92" s="512" t="n">
        <v>0.1732972644924225</v>
      </c>
      <c r="V92" s="512" t="n">
        <v>0.1113210776486206</v>
      </c>
      <c r="W92" s="512" t="n">
        <v>0.6724574315836479</v>
      </c>
      <c r="X92" s="512" t="n">
        <v>0.1301223688587202</v>
      </c>
      <c r="Y92" s="512" t="n">
        <v>0.3834361301670866</v>
      </c>
      <c r="Z92" s="512" t="n">
        <v>0.3834361301670866</v>
      </c>
      <c r="AA92" s="514" t="n">
        <v>0.2315717443567682</v>
      </c>
    </row>
    <row r="93" customFormat="1" s="112">
      <c r="A93" s="125" t="inlineStr">
        <is>
          <t>Trucking</t>
        </is>
      </c>
      <c r="B93" s="296" t="n">
        <v>113</v>
      </c>
      <c r="C93" s="512" t="n">
        <v>0.04918160493827158</v>
      </c>
      <c r="D93" s="512" t="n">
        <v>0.07532965717991991</v>
      </c>
      <c r="E93" s="512" t="n">
        <v>0.09425862206181831</v>
      </c>
      <c r="F93" s="512" t="n">
        <v>0.2471159366893999</v>
      </c>
      <c r="G93" s="513" t="n">
        <v>0.6972765725709966</v>
      </c>
      <c r="H93" s="513" t="n">
        <v>0.851592078101013</v>
      </c>
      <c r="I93" s="512" t="n">
        <v>0.09442590765956785</v>
      </c>
      <c r="J93" s="512" t="n">
        <v>0.3387245885994393</v>
      </c>
      <c r="K93" s="512" t="n">
        <v>0.06569999999999999</v>
      </c>
      <c r="L93" s="512" t="n">
        <v>0.2602893325868759</v>
      </c>
      <c r="M93" s="512" t="n">
        <v>0.08263598581903517</v>
      </c>
      <c r="N93" s="513" t="n">
        <v>1.529153595252337</v>
      </c>
      <c r="O93" s="513" t="n">
        <v>1.585390519742335</v>
      </c>
      <c r="P93" s="513" t="n">
        <v>10.29076083584007</v>
      </c>
      <c r="Q93" s="513" t="n">
        <v>20.32825742233053</v>
      </c>
      <c r="R93" s="513" t="n">
        <v>2.562233498402618</v>
      </c>
      <c r="S93" s="513" t="n">
        <v>77.87155222990306</v>
      </c>
      <c r="T93" s="512" t="n">
        <v>0.06700264607480963</v>
      </c>
      <c r="U93" s="512" t="n">
        <v>0.1125775099372774</v>
      </c>
      <c r="V93" s="512" t="n">
        <v>0.06889583971237419</v>
      </c>
      <c r="W93" s="512" t="n">
        <v>1.147864554240578</v>
      </c>
      <c r="X93" s="512" t="n">
        <v>0.0917556887503292</v>
      </c>
      <c r="Y93" s="512" t="n">
        <v>0.3022195260212316</v>
      </c>
      <c r="Z93" s="512" t="n">
        <v>0.3022195260212316</v>
      </c>
      <c r="AA93" s="514" t="n">
        <v>0.07681384291412023</v>
      </c>
    </row>
    <row r="94" customFormat="1" s="112">
      <c r="A94" s="125" t="inlineStr">
        <is>
          <t>Utility (General)</t>
        </is>
      </c>
      <c r="B94" s="296" t="n">
        <v>52</v>
      </c>
      <c r="C94" s="512" t="n">
        <v>0.04313956521739129</v>
      </c>
      <c r="D94" s="512" t="n">
        <v>0.1497309632557981</v>
      </c>
      <c r="E94" s="512" t="n">
        <v>0.08406795723580653</v>
      </c>
      <c r="F94" s="512" t="n">
        <v>0.1531684021545398</v>
      </c>
      <c r="G94" s="513" t="n">
        <v>0.4293673465124172</v>
      </c>
      <c r="H94" s="513" t="n">
        <v>0.6529650084393694</v>
      </c>
      <c r="I94" s="512" t="n">
        <v>0.08308430198188799</v>
      </c>
      <c r="J94" s="512" t="n">
        <v>0.2190416088421827</v>
      </c>
      <c r="K94" s="512" t="n">
        <v>0.0612</v>
      </c>
      <c r="L94" s="512" t="n">
        <v>0.4442631238005691</v>
      </c>
      <c r="M94" s="512" t="n">
        <v>0.06650487224008222</v>
      </c>
      <c r="N94" s="513" t="n">
        <v>0.6708962381093332</v>
      </c>
      <c r="O94" s="513" t="n">
        <v>2.408308795454755</v>
      </c>
      <c r="P94" s="513" t="n">
        <v>10.29775989560504</v>
      </c>
      <c r="Q94" s="513" t="n">
        <v>16.1297229951202</v>
      </c>
      <c r="R94" s="513" t="n">
        <v>1.604371431586532</v>
      </c>
      <c r="S94" s="513" t="n">
        <v>16.75160693273575</v>
      </c>
      <c r="T94" s="512" t="n">
        <v>-0.03222569424995128</v>
      </c>
      <c r="U94" s="512" t="n">
        <v>0.1935749285223202</v>
      </c>
      <c r="V94" s="512" t="n">
        <v>0.1166138120213267</v>
      </c>
      <c r="W94" s="512" t="n">
        <v>0.9968959632193806</v>
      </c>
      <c r="X94" s="512" t="n">
        <v>0.1071423371652791</v>
      </c>
      <c r="Y94" s="512" t="n">
        <v>0.6780132743146468</v>
      </c>
      <c r="Z94" s="512" t="n">
        <v>0.6780132743146468</v>
      </c>
      <c r="AA94" s="514" t="n">
        <v>0.1493849348757408</v>
      </c>
    </row>
    <row r="95" customFormat="1" s="112">
      <c r="A95" s="125" t="inlineStr">
        <is>
          <t>Utility (Water)</t>
        </is>
      </c>
      <c r="B95" s="296" t="n">
        <v>106</v>
      </c>
      <c r="C95" s="512" t="n">
        <v>0.06402658823529411</v>
      </c>
      <c r="D95" s="512" t="n">
        <v>0.2619979802373128</v>
      </c>
      <c r="E95" s="512" t="n">
        <v>0.07045633803569709</v>
      </c>
      <c r="F95" s="512" t="n">
        <v>0.2191673495740102</v>
      </c>
      <c r="G95" s="513" t="n">
        <v>0.4070576244109758</v>
      </c>
      <c r="H95" s="513" t="n">
        <v>0.6674612303833111</v>
      </c>
      <c r="I95" s="512" t="n">
        <v>0.08391203625488705</v>
      </c>
      <c r="J95" s="512" t="n">
        <v>0.3134659052139992</v>
      </c>
      <c r="K95" s="512" t="n">
        <v>0.06569999999999999</v>
      </c>
      <c r="L95" s="512" t="n">
        <v>0.4948539301685357</v>
      </c>
      <c r="M95" s="512" t="n">
        <v>0.06670023654769958</v>
      </c>
      <c r="N95" s="513" t="n">
        <v>0.319064500655476</v>
      </c>
      <c r="O95" s="513" t="n">
        <v>4.449026913332253</v>
      </c>
      <c r="P95" s="513" t="n">
        <v>11.22381065887294</v>
      </c>
      <c r="Q95" s="513" t="n">
        <v>16.82997384709699</v>
      </c>
      <c r="R95" s="513" t="n">
        <v>1.354325053370149</v>
      </c>
      <c r="S95" s="513" t="n">
        <v>22.16381608993469</v>
      </c>
      <c r="T95" s="512" t="n">
        <v>0.1081236973475547</v>
      </c>
      <c r="U95" s="512" t="n">
        <v>0.2497598991415582</v>
      </c>
      <c r="V95" s="512" t="n">
        <v>0.1312284591374094</v>
      </c>
      <c r="W95" s="512" t="n">
        <v>0.7639934010248204</v>
      </c>
      <c r="X95" s="512" t="n">
        <v>0.1151064320006313</v>
      </c>
      <c r="Y95" s="512" t="n">
        <v>0.6656255388167998</v>
      </c>
      <c r="Z95" s="512" t="n">
        <v>0.4829794090418202</v>
      </c>
      <c r="AA95" s="514" t="n">
        <v>0.2621675298642708</v>
      </c>
    </row>
    <row r="96" ht="14" customHeight="1">
      <c r="A96" s="125" t="inlineStr">
        <is>
          <t>Tiotal Market</t>
        </is>
      </c>
      <c r="B96" s="296" t="n">
        <v>47810</v>
      </c>
      <c r="C96" s="512" t="n">
        <v>0.09196669412124926</v>
      </c>
      <c r="D96" s="512" t="n">
        <v>0.1024030452341358</v>
      </c>
      <c r="E96" s="512" t="n">
        <v>0.06931334160955732</v>
      </c>
      <c r="F96" s="512" t="n">
        <v>0.2154439821853485</v>
      </c>
      <c r="G96" s="513" t="n">
        <v>0.7944602468554776</v>
      </c>
      <c r="H96" s="513" t="n">
        <v>1.016327909542543</v>
      </c>
      <c r="I96" s="512" t="n">
        <v>0.1038323236348792</v>
      </c>
      <c r="J96" s="512" t="n">
        <v>0.4087040282697168</v>
      </c>
      <c r="K96" s="512" t="n">
        <v>0.06569999999999999</v>
      </c>
      <c r="L96" s="512" t="n">
        <v>0.3708189654054215</v>
      </c>
      <c r="M96" s="512" t="n">
        <v>0.08354783515604486</v>
      </c>
      <c r="N96" s="513" t="n">
        <v>0.796490186309763</v>
      </c>
      <c r="O96" s="513" t="n">
        <v>2.484297149815452</v>
      </c>
      <c r="P96" s="513" t="n">
        <v>13.21342785074356</v>
      </c>
      <c r="Q96" s="513" t="n">
        <v>19.78446438728275</v>
      </c>
      <c r="R96" s="513" t="n">
        <v>2.152652565945667</v>
      </c>
      <c r="S96" s="513" t="n">
        <v>74.52514474933345</v>
      </c>
      <c r="T96" s="512" t="n">
        <v>-1.205490534356751</v>
      </c>
      <c r="U96" s="512" t="n">
        <v>0.06435696483693416</v>
      </c>
      <c r="V96" s="512" t="n">
        <v>0.04155856269057567</v>
      </c>
      <c r="W96" s="512" t="n">
        <v>0.6852248542373072</v>
      </c>
      <c r="X96" s="512" t="n">
        <v>0.1151064320006313</v>
      </c>
      <c r="Y96" s="512" t="n">
        <v>0.4829794090418202</v>
      </c>
      <c r="Z96" s="512" t="n">
        <v>0.4829794090418202</v>
      </c>
      <c r="AA96" s="514" t="n">
        <v>0.1058755167973526</v>
      </c>
    </row>
    <row r="97" ht="14" customHeight="1">
      <c r="A97" s="125" t="inlineStr">
        <is>
          <t>Total Market (without financials)</t>
        </is>
      </c>
      <c r="B97" s="296" t="n">
        <v>42750</v>
      </c>
      <c r="C97" s="512" t="n">
        <v>0.08678596665746692</v>
      </c>
      <c r="D97" s="512" t="n">
        <v>0.09777263014633325</v>
      </c>
      <c r="E97" s="512" t="n">
        <v>0.1099703247185147</v>
      </c>
      <c r="F97" s="512" t="n">
        <v>0.2254787064274162</v>
      </c>
      <c r="G97" s="513" t="n">
        <v>0.915155197428865</v>
      </c>
      <c r="H97" s="513" t="n">
        <v>1.048002001028676</v>
      </c>
      <c r="I97" s="512" t="n">
        <v>0.1056409142587374</v>
      </c>
      <c r="J97" s="512" t="n">
        <v>0.4166436664368041</v>
      </c>
      <c r="K97" s="512" t="n">
        <v>0.06569999999999999</v>
      </c>
      <c r="L97" s="512" t="n">
        <v>0.227717616513529</v>
      </c>
      <c r="M97" s="512" t="n">
        <v>0.0927724883068409</v>
      </c>
      <c r="N97" s="513" t="n">
        <v>1.381505341469207</v>
      </c>
      <c r="O97" s="513" t="n">
        <v>1.895380253966338</v>
      </c>
      <c r="P97" s="513" t="n">
        <v>12.15262751830978</v>
      </c>
      <c r="Q97" s="513" t="n">
        <v>18.66760188720896</v>
      </c>
      <c r="R97" s="513" t="n">
        <v>2.53287279570071</v>
      </c>
      <c r="S97" s="513" t="n">
        <v>77.65897060338989</v>
      </c>
      <c r="T97" s="512" t="n">
        <v>0.1221953615710517</v>
      </c>
      <c r="U97" s="512" t="n">
        <v>0.06476508635962093</v>
      </c>
      <c r="V97" s="512" t="n">
        <v>0.04076020921540295</v>
      </c>
      <c r="W97" s="512" t="n">
        <v>0.7123419882101653</v>
      </c>
      <c r="X97" s="512" t="n">
        <v>0.1112437980672905</v>
      </c>
      <c r="Y97" s="512" t="n">
        <v>0.5354053033856725</v>
      </c>
      <c r="Z97" s="512" t="n">
        <v>0.5354053033856725</v>
      </c>
      <c r="AA97" s="514" t="n">
        <v>0.1014229510350668</v>
      </c>
    </row>
  </sheetData>
  <pageMargins left="0.75" right="0.75" top="1" bottom="1" header="0.5" footer="0.5"/>
  <pageSetup orientation="portrait" horizontalDpi="4294967292" verticalDpi="4294967292"/>
</worksheet>
</file>

<file path=xl/worksheets/sheet17.xml><?xml version="1.0" encoding="utf-8"?>
<worksheet xmlns="http://schemas.openxmlformats.org/spreadsheetml/2006/main">
  <sheetPr>
    <outlinePr summaryBelow="1" summaryRight="1"/>
    <pageSetUpPr/>
  </sheetPr>
  <dimension ref="A1:E40"/>
  <sheetViews>
    <sheetView workbookViewId="0">
      <selection activeCell="E40" sqref="E40"/>
    </sheetView>
  </sheetViews>
  <sheetFormatPr baseColWidth="10" defaultRowHeight="13"/>
  <cols>
    <col width="34" bestFit="1" customWidth="1" min="1" max="1"/>
    <col width="16" customWidth="1" style="695" min="2" max="2"/>
    <col width="19.83203125" bestFit="1" customWidth="1" style="695" min="3" max="3"/>
    <col width="22.1640625" bestFit="1" customWidth="1" style="695" min="4" max="4"/>
    <col width="14.1640625" bestFit="1" customWidth="1" min="5" max="5"/>
  </cols>
  <sheetData>
    <row r="1">
      <c r="B1" s="54" t="inlineStr">
        <is>
          <t>Last 10K</t>
        </is>
      </c>
      <c r="C1" s="54" t="inlineStr">
        <is>
          <t>First X months: Last year</t>
        </is>
      </c>
      <c r="D1" s="54" t="inlineStr">
        <is>
          <t>First X months: Current year</t>
        </is>
      </c>
      <c r="E1" s="54" t="inlineStr">
        <is>
          <t>Trailing 12 month</t>
        </is>
      </c>
    </row>
    <row r="2" ht="14" customHeight="1">
      <c r="A2" s="30" t="inlineStr">
        <is>
          <t>Revenues</t>
        </is>
      </c>
      <c r="B2" s="864" t="n">
        <v>15794.34</v>
      </c>
      <c r="C2" s="864" t="n">
        <v>7608.13</v>
      </c>
      <c r="D2" s="864" t="n">
        <v>9444.110000000001</v>
      </c>
      <c r="E2" s="865">
        <f>B2-C2+D2</f>
        <v/>
      </c>
    </row>
    <row r="3" ht="14" customHeight="1">
      <c r="A3" s="30" t="inlineStr">
        <is>
          <t>Technology &amp; Content</t>
        </is>
      </c>
      <c r="B3" s="864" t="n">
        <v>1221.81</v>
      </c>
      <c r="C3" s="864" t="n">
        <v>581.41</v>
      </c>
      <c r="D3" s="864" t="n">
        <v>756</v>
      </c>
      <c r="E3" s="865">
        <f>B3-C3+D3</f>
        <v/>
      </c>
    </row>
    <row r="4" ht="14" customHeight="1">
      <c r="A4" s="30" t="inlineStr">
        <is>
          <t>Operating income or EBIT</t>
        </is>
      </c>
      <c r="B4" s="864" t="n">
        <v>1605.23</v>
      </c>
      <c r="C4" s="864" t="n">
        <v>908.79</v>
      </c>
      <c r="D4" s="864" t="n">
        <v>1165.5</v>
      </c>
      <c r="E4" s="865">
        <f>B4-C4+D4</f>
        <v/>
      </c>
    </row>
    <row r="5" ht="14" customHeight="1">
      <c r="A5" s="30" t="inlineStr">
        <is>
          <t>Interest expenses</t>
        </is>
      </c>
      <c r="B5" s="864" t="n">
        <v>420.49</v>
      </c>
      <c r="C5" s="864" t="n">
        <v>182.82</v>
      </c>
      <c r="D5" s="864" t="n">
        <v>287.56</v>
      </c>
      <c r="E5" s="865">
        <f>B5-C5+D5</f>
        <v/>
      </c>
    </row>
    <row r="6" ht="14" customHeight="1">
      <c r="A6" s="30" t="inlineStr">
        <is>
          <t>Book value of equity</t>
        </is>
      </c>
      <c r="B6" s="864" t="n">
        <v>5238.77</v>
      </c>
      <c r="C6" s="864" t="n"/>
      <c r="D6" s="864" t="n">
        <v>6105.55</v>
      </c>
      <c r="E6" s="865" t="n"/>
    </row>
    <row r="7" ht="14" customHeight="1">
      <c r="A7" s="30" t="inlineStr">
        <is>
          <t>Book value of debt</t>
        </is>
      </c>
      <c r="B7" s="864" t="n">
        <v>10360</v>
      </c>
      <c r="C7" s="864" t="n"/>
      <c r="D7" s="864" t="n">
        <v>12594.14</v>
      </c>
      <c r="E7" s="865" t="n"/>
    </row>
    <row r="8" ht="14" customHeight="1">
      <c r="A8" s="30" t="inlineStr">
        <is>
          <t>Do you have operating lease commitments?</t>
        </is>
      </c>
      <c r="B8" s="864" t="n"/>
      <c r="C8" s="864" t="n"/>
      <c r="D8" s="864" t="n"/>
      <c r="E8" s="865" t="n"/>
    </row>
    <row r="9" ht="14" customHeight="1">
      <c r="A9" s="30" t="inlineStr">
        <is>
          <t>Cash and cross holdings</t>
        </is>
      </c>
      <c r="B9" s="864" t="n">
        <v>3794.48</v>
      </c>
      <c r="C9" s="864" t="n"/>
      <c r="D9" s="864" t="n">
        <v>5004.25</v>
      </c>
      <c r="E9" s="865" t="n"/>
    </row>
    <row r="10" ht="14" customHeight="1">
      <c r="A10" s="30" t="inlineStr">
        <is>
          <t xml:space="preserve">Non-operating assets </t>
        </is>
      </c>
      <c r="B10" s="864" t="n">
        <v>0</v>
      </c>
      <c r="C10" s="864" t="n"/>
      <c r="D10" s="864" t="n">
        <v>0</v>
      </c>
      <c r="E10" s="865" t="n"/>
    </row>
    <row r="11" ht="14" customHeight="1">
      <c r="A11" s="30" t="inlineStr">
        <is>
          <t>Minority interests</t>
        </is>
      </c>
      <c r="B11" s="864" t="n">
        <v>0</v>
      </c>
      <c r="C11" s="864" t="n"/>
      <c r="D11" s="864" t="n">
        <v>0</v>
      </c>
      <c r="E11" s="865" t="n"/>
    </row>
    <row r="12" ht="14" customHeight="1">
      <c r="A12" s="30" t="inlineStr">
        <is>
          <t>Number of shares outstanding =</t>
        </is>
      </c>
      <c r="B12" s="864" t="n"/>
      <c r="C12" s="864" t="n"/>
      <c r="D12" s="864" t="n"/>
      <c r="E12" s="865" t="n"/>
    </row>
    <row r="13" ht="14" customHeight="1">
      <c r="A13" s="30" t="inlineStr">
        <is>
          <t>Current stock price =</t>
        </is>
      </c>
      <c r="B13" s="866" t="n"/>
      <c r="C13" s="864" t="n"/>
      <c r="D13" s="864" t="n"/>
      <c r="E13" s="865" t="n"/>
    </row>
    <row r="14" ht="14" customHeight="1">
      <c r="A14" s="30" t="inlineStr">
        <is>
          <t>Effective tax rate =</t>
        </is>
      </c>
      <c r="B14" s="68">
        <f>15885/61372</f>
        <v/>
      </c>
      <c r="C14" s="68">
        <f>6965/27030</f>
        <v/>
      </c>
      <c r="D14" s="68">
        <f>3941/23906</f>
        <v/>
      </c>
      <c r="E14" s="1" t="n"/>
    </row>
    <row r="15" ht="14" customHeight="1">
      <c r="A15" s="30" t="inlineStr">
        <is>
          <t>Marginal tax rate =</t>
        </is>
      </c>
      <c r="B15" s="54" t="n"/>
      <c r="C15" s="54" t="n"/>
      <c r="D15" s="54" t="n"/>
      <c r="E15" s="1" t="n"/>
    </row>
    <row r="16" ht="14" customFormat="1" customHeight="1" s="2">
      <c r="A16" s="31" t="inlineStr">
        <is>
          <t>Lease commitments</t>
        </is>
      </c>
      <c r="B16" s="867" t="n"/>
      <c r="C16" s="867" t="n"/>
      <c r="D16" s="867" t="n"/>
      <c r="E16" s="868" t="n"/>
    </row>
    <row r="17" ht="14" customHeight="1">
      <c r="A17" s="29" t="inlineStr">
        <is>
          <t>Year 1</t>
        </is>
      </c>
      <c r="B17" s="869" t="n">
        <v>172.47</v>
      </c>
      <c r="C17" s="870" t="n"/>
      <c r="D17" s="870" t="inlineStr">
        <is>
          <t>NA</t>
        </is>
      </c>
      <c r="E17" s="871" t="n"/>
    </row>
    <row r="18" ht="14" customHeight="1">
      <c r="A18" s="29" t="inlineStr">
        <is>
          <t>Year 2</t>
        </is>
      </c>
      <c r="B18" s="869" t="n">
        <v>139.4</v>
      </c>
      <c r="C18" s="872" t="inlineStr">
        <is>
          <t>Copy into operating lease worksheet</t>
        </is>
      </c>
      <c r="D18" s="870" t="inlineStr">
        <is>
          <t>NA</t>
        </is>
      </c>
      <c r="E18" s="871" t="n"/>
    </row>
    <row r="19" ht="14" customHeight="1">
      <c r="A19" s="29" t="inlineStr">
        <is>
          <t>Year 3</t>
        </is>
      </c>
      <c r="B19" s="869" t="n">
        <v>145.18</v>
      </c>
      <c r="C19" s="746" t="n"/>
      <c r="D19" s="870" t="inlineStr">
        <is>
          <t>NA</t>
        </is>
      </c>
      <c r="E19" s="871" t="n"/>
    </row>
    <row r="20" ht="14" customHeight="1">
      <c r="A20" s="29" t="inlineStr">
        <is>
          <t>Year 4</t>
        </is>
      </c>
      <c r="B20" s="869" t="n">
        <v>156.53</v>
      </c>
      <c r="C20" s="746" t="n"/>
      <c r="D20" s="870" t="inlineStr">
        <is>
          <t>NA</t>
        </is>
      </c>
      <c r="E20" s="871" t="n"/>
    </row>
    <row r="21" ht="14" customHeight="1">
      <c r="A21" s="29" t="inlineStr">
        <is>
          <t>Year 5</t>
        </is>
      </c>
      <c r="B21" s="869" t="n">
        <v>151.2</v>
      </c>
      <c r="C21" s="746" t="n"/>
      <c r="D21" s="870" t="inlineStr">
        <is>
          <t>NA</t>
        </is>
      </c>
      <c r="E21" s="871" t="n"/>
    </row>
    <row r="22" ht="14" customHeight="1">
      <c r="A22" s="29" t="inlineStr">
        <is>
          <t>Beyond year 5</t>
        </is>
      </c>
      <c r="B22" s="116" t="n">
        <v>943.63</v>
      </c>
      <c r="C22" s="746" t="n"/>
      <c r="D22" s="870" t="inlineStr">
        <is>
          <t>NA</t>
        </is>
      </c>
      <c r="E22" s="871" t="n"/>
    </row>
    <row r="23">
      <c r="B23" s="873" t="n"/>
      <c r="C23" s="746" t="n"/>
    </row>
    <row r="25" ht="14" customHeight="1">
      <c r="A25" s="29" t="inlineStr">
        <is>
          <t>Current year's lease expense</t>
        </is>
      </c>
      <c r="B25" s="874" t="n">
        <v>107</v>
      </c>
    </row>
    <row r="29">
      <c r="D29" s="864" t="n">
        <v>75872</v>
      </c>
    </row>
    <row r="30">
      <c r="D30" s="864" t="n">
        <v>2404</v>
      </c>
    </row>
    <row r="31">
      <c r="D31" s="864" t="n">
        <v>24171</v>
      </c>
    </row>
    <row r="32">
      <c r="D32" s="864" t="n">
        <v>276</v>
      </c>
    </row>
    <row r="36">
      <c r="A36" t="inlineStr">
        <is>
          <t>G&amp;A</t>
        </is>
      </c>
      <c r="B36" s="695" t="n">
        <v>630.29</v>
      </c>
      <c r="C36" s="695" t="n">
        <v>286.14</v>
      </c>
      <c r="D36" s="695" t="n">
        <v>426.61</v>
      </c>
      <c r="E36">
        <f>B36-C36+D36</f>
        <v/>
      </c>
    </row>
    <row r="37">
      <c r="A37" t="inlineStr">
        <is>
          <t>Marketing Costs</t>
        </is>
      </c>
      <c r="B37" s="695" t="n">
        <v>2369.47</v>
      </c>
      <c r="C37" s="695" t="n">
        <v>1128.78</v>
      </c>
      <c r="D37" s="695" t="n">
        <v>1219.73</v>
      </c>
      <c r="E37">
        <f>B37-C37+D37</f>
        <v/>
      </c>
    </row>
    <row r="38">
      <c r="A38" t="inlineStr">
        <is>
          <t>Content Costs</t>
        </is>
      </c>
      <c r="B38" s="695" t="n">
        <v>9967.540000000001</v>
      </c>
      <c r="C38" s="695" t="n">
        <v>4703.01</v>
      </c>
      <c r="D38" s="695" t="n">
        <v>5876.21</v>
      </c>
      <c r="E38">
        <f>B38-C38+D38</f>
        <v/>
      </c>
    </row>
    <row r="40">
      <c r="A40" t="inlineStr">
        <is>
          <t>Content Costs (Cash Flows)</t>
        </is>
      </c>
      <c r="B40" s="695" t="n">
        <v>13043</v>
      </c>
      <c r="C40" s="695" t="n">
        <v>6020.47</v>
      </c>
      <c r="D40" s="695" t="n">
        <v>6322.85</v>
      </c>
      <c r="E40">
        <f>B40-C40+D40</f>
        <v/>
      </c>
    </row>
  </sheetData>
  <mergeCells count="1">
    <mergeCell ref="C18:C23"/>
  </mergeCells>
  <pageMargins left="0.75" right="0.75" top="1" bottom="1" header="0.5" footer="0.5"/>
  <pageSetup orientation="landscape" horizontalDpi="4294967292" verticalDpi="4294967292"/>
</worksheet>
</file>

<file path=xl/worksheets/sheet18.xml><?xml version="1.0" encoding="utf-8"?>
<worksheet xmlns="http://schemas.openxmlformats.org/spreadsheetml/2006/main">
  <sheetPr>
    <outlinePr summaryBelow="1" summaryRight="1"/>
    <pageSetUpPr/>
  </sheetPr>
  <dimension ref="A1:K16"/>
  <sheetViews>
    <sheetView workbookViewId="0">
      <selection activeCell="K2" sqref="K2:K6"/>
    </sheetView>
  </sheetViews>
  <sheetFormatPr baseColWidth="10" defaultRowHeight="13"/>
  <cols>
    <col width="6.33203125" bestFit="1" customWidth="1" min="1" max="1"/>
    <col width="16.5" bestFit="1" customWidth="1" min="2" max="2"/>
    <col width="18.33203125" bestFit="1" customWidth="1" min="3" max="3"/>
    <col width="12.33203125" bestFit="1" customWidth="1" min="4" max="5"/>
    <col width="17.6640625" bestFit="1" customWidth="1" min="6" max="6"/>
    <col width="20.33203125" customWidth="1" min="9" max="9"/>
    <col width="18.83203125" customWidth="1" min="10" max="10"/>
  </cols>
  <sheetData>
    <row r="1" customFormat="1" s="121">
      <c r="A1" s="121" t="inlineStr">
        <is>
          <t>Yes/No</t>
        </is>
      </c>
      <c r="B1" s="121" t="inlineStr">
        <is>
          <t>Book or Market Value</t>
        </is>
      </c>
      <c r="C1" s="121" t="inlineStr">
        <is>
          <t>ERP choices</t>
        </is>
      </c>
      <c r="D1" s="121" t="inlineStr">
        <is>
          <t>Cost of debt</t>
        </is>
      </c>
      <c r="E1" s="121" t="inlineStr">
        <is>
          <t>Synthetic rating</t>
        </is>
      </c>
      <c r="F1" s="121" t="inlineStr">
        <is>
          <t>Beta</t>
        </is>
      </c>
      <c r="G1" t="inlineStr">
        <is>
          <t>Rating is</t>
        </is>
      </c>
      <c r="H1" s="121" t="inlineStr">
        <is>
          <t>Region</t>
        </is>
      </c>
      <c r="I1" s="121" t="inlineStr">
        <is>
          <t>Cost of Capital Approach</t>
        </is>
      </c>
      <c r="J1" s="121" t="inlineStr">
        <is>
          <t>Reinvestment lag</t>
        </is>
      </c>
    </row>
    <row r="2">
      <c r="A2" t="inlineStr">
        <is>
          <t>Yes</t>
        </is>
      </c>
      <c r="B2" t="inlineStr">
        <is>
          <t>B</t>
        </is>
      </c>
      <c r="C2" t="inlineStr">
        <is>
          <t>Will input</t>
        </is>
      </c>
      <c r="D2" t="inlineStr">
        <is>
          <t>Direct input</t>
        </is>
      </c>
      <c r="E2" t="n">
        <v>1</v>
      </c>
      <c r="F2" t="inlineStr">
        <is>
          <t>Direct input</t>
        </is>
      </c>
      <c r="G2" t="inlineStr">
        <is>
          <t>Aaa/AAA</t>
        </is>
      </c>
      <c r="H2" t="inlineStr">
        <is>
          <t>US</t>
        </is>
      </c>
      <c r="I2" t="inlineStr">
        <is>
          <t>I will input</t>
        </is>
      </c>
      <c r="J2" s="54" t="n">
        <v>0</v>
      </c>
      <c r="K2" s="502" t="inlineStr">
        <is>
          <t>First Decile</t>
        </is>
      </c>
    </row>
    <row r="3">
      <c r="A3" t="inlineStr">
        <is>
          <t>No</t>
        </is>
      </c>
      <c r="B3" t="inlineStr">
        <is>
          <t>V</t>
        </is>
      </c>
      <c r="C3" t="inlineStr">
        <is>
          <t>Country of incorporation</t>
        </is>
      </c>
      <c r="D3" t="inlineStr">
        <is>
          <t>Synthetic rating</t>
        </is>
      </c>
      <c r="E3" t="n">
        <v>2</v>
      </c>
      <c r="F3" t="inlineStr">
        <is>
          <t>Single Business(US)</t>
        </is>
      </c>
      <c r="G3" t="inlineStr">
        <is>
          <t>Aa2/AA</t>
        </is>
      </c>
      <c r="H3" t="inlineStr">
        <is>
          <t>Emerging Markets</t>
        </is>
      </c>
      <c r="I3" t="inlineStr">
        <is>
          <t>Detailed</t>
        </is>
      </c>
      <c r="J3" s="54" t="n">
        <v>1</v>
      </c>
      <c r="K3" s="508" t="inlineStr">
        <is>
          <t>First Quartile</t>
        </is>
      </c>
    </row>
    <row r="4">
      <c r="C4" t="inlineStr">
        <is>
          <t>Operating countries</t>
        </is>
      </c>
      <c r="D4" t="inlineStr">
        <is>
          <t>Actual rating</t>
        </is>
      </c>
      <c r="F4" t="inlineStr">
        <is>
          <t>Single Business(Global)</t>
        </is>
      </c>
      <c r="G4" t="inlineStr">
        <is>
          <t>A1/A+</t>
        </is>
      </c>
      <c r="H4" t="inlineStr">
        <is>
          <t>Europe</t>
        </is>
      </c>
      <c r="I4" t="inlineStr">
        <is>
          <t>Industry Average</t>
        </is>
      </c>
      <c r="J4" s="54" t="n">
        <v>2</v>
      </c>
      <c r="K4" s="508" t="inlineStr">
        <is>
          <t>Median</t>
        </is>
      </c>
    </row>
    <row r="5">
      <c r="C5" t="inlineStr">
        <is>
          <t>Operating regions</t>
        </is>
      </c>
      <c r="F5" t="inlineStr">
        <is>
          <t>Multibusiness(US)</t>
        </is>
      </c>
      <c r="G5" t="inlineStr">
        <is>
          <t>A2/A</t>
        </is>
      </c>
      <c r="H5" t="inlineStr">
        <is>
          <t>Japan</t>
        </is>
      </c>
      <c r="I5" t="inlineStr">
        <is>
          <t>Distribution</t>
        </is>
      </c>
      <c r="J5" s="54" t="n">
        <v>3</v>
      </c>
      <c r="K5" s="508" t="inlineStr">
        <is>
          <t>Third Quartile</t>
        </is>
      </c>
    </row>
    <row r="6">
      <c r="F6" t="inlineStr">
        <is>
          <t>Multibusiness(Global)</t>
        </is>
      </c>
      <c r="G6" t="inlineStr">
        <is>
          <t>A3/A-</t>
        </is>
      </c>
      <c r="H6" t="inlineStr">
        <is>
          <t>Global</t>
        </is>
      </c>
      <c r="K6" s="508" t="inlineStr">
        <is>
          <t>Ninth Decile</t>
        </is>
      </c>
    </row>
    <row r="7">
      <c r="G7" t="inlineStr">
        <is>
          <t>Baa2/BBB</t>
        </is>
      </c>
    </row>
    <row r="8">
      <c r="G8" t="inlineStr">
        <is>
          <t>Ba1/BB+</t>
        </is>
      </c>
    </row>
    <row r="9">
      <c r="G9" t="inlineStr">
        <is>
          <t>Ba2/BB</t>
        </is>
      </c>
    </row>
    <row r="10">
      <c r="G10" t="inlineStr">
        <is>
          <t>B1/B+</t>
        </is>
      </c>
    </row>
    <row r="11">
      <c r="G11" t="inlineStr">
        <is>
          <t>B2/B</t>
        </is>
      </c>
    </row>
    <row r="12">
      <c r="G12" t="inlineStr">
        <is>
          <t>B3/B-</t>
        </is>
      </c>
    </row>
    <row r="13">
      <c r="G13" t="inlineStr">
        <is>
          <t>C2/C</t>
        </is>
      </c>
    </row>
    <row r="14">
      <c r="G14" t="inlineStr">
        <is>
          <t>Ca2/CC</t>
        </is>
      </c>
    </row>
    <row r="15">
      <c r="G15" t="inlineStr">
        <is>
          <t>Caa/CCC</t>
        </is>
      </c>
    </row>
    <row r="16">
      <c r="G16" t="inlineStr">
        <is>
          <t>D2/D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Aswath Damodaran</dc:creator>
  <dcterms:created xsi:type="dcterms:W3CDTF">2000-02-22T13:53:50Z</dcterms:created>
  <dcterms:modified xsi:type="dcterms:W3CDTF">2026-04-29T05:46:30Z</dcterms:modified>
  <cp:lastModifiedBy>Microsoft Office User</cp:lastModifiedBy>
  <cp:lastPrinted>2011-01-17T15:04:26Z</cp:lastPrinted>
</cp:coreProperties>
</file>